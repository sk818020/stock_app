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showInkAnnotation="0" codeName="ThisWorkbook" autoCompressPictures="0"/>
  <mc:AlternateContent xmlns:mc="http://schemas.openxmlformats.org/markup-compatibility/2006">
    <mc:Choice Requires="x15">
      <x15ac:absPath xmlns:x15ac="http://schemas.microsoft.com/office/spreadsheetml/2010/11/ac" url="D:\Excel_Stock_Analysis\stock_analysis3\"/>
    </mc:Choice>
  </mc:AlternateContent>
  <xr:revisionPtr revIDLastSave="0" documentId="13_ncr:1_{B6C1B4E3-8FCB-4EE9-AEDB-583A58E613DD}" xr6:coauthVersionLast="47" xr6:coauthVersionMax="47" xr10:uidLastSave="{00000000-0000-0000-0000-000000000000}"/>
  <bookViews>
    <workbookView xWindow="-120" yWindow="-120" windowWidth="29040" windowHeight="15720" tabRatio="500" xr2:uid="{00000000-000D-0000-FFFF-FFFF00000000}"/>
  </bookViews>
  <sheets>
    <sheet name="user_input_and_overview" sheetId="3" r:id="rId1"/>
    <sheet name="price_data" sheetId="1" r:id="rId2"/>
    <sheet name="comp_metrics" sheetId="5" r:id="rId3"/>
    <sheet name="symbols" sheetId="6" state="hidden" r:id="rId4"/>
    <sheet name="Sheet1" sheetId="4" r:id="rId5"/>
    <sheet name="_xlwings.conf" sheetId="2" r:id="rId6"/>
  </sheets>
  <functionGroups builtInGroupCount="19">
    <functionGroup name="xlwings"/>
  </functionGroups>
  <calcPr calcId="191029" concurrentCalc="0"/>
  <pivotCaches>
    <pivotCache cacheId="15" r:id="rId7"/>
  </pivotCaches>
  <extLst>
    <ext xmlns:x14="http://schemas.microsoft.com/office/spreadsheetml/2009/9/main" uri="{8193D73E-4604-4355-AFF4-8A2333D13BE4}">
      <x14:definedNames>
        <x14:definedName name="get_data">
          <x14:argumentDescriptions count="3">
            <x14:argumentDescription index="0">Machine IDs: A range of max 5 cells</x14:argumentDescription>
            <x14:argumentDescription index="1">A date-formatted cell</x14:argumentDescription>
            <x14:argumentDescription index="2">A date-formatted cell</x14:argumentDescription>
          </x14:argumentDescriptions>
        </x14:definedName>
        <x14:definedName name="get_metrics">
          <x14:argumentDescriptions count="1">
            <x14:argumentDescription index="0">Positional argument 1</x14:argumentDescription>
          </x14:argumentDescriptions>
        </x14:definedName>
        <x14:definedName name="get_stock_price">
          <x14:argumentDescriptions count="1">
            <x14:argumentDescription index="0">Positional argument 1</x14:argumentDescription>
          </x14:argumentDescriptions>
        </x14:definedName>
        <x14:definedName name="get_ticker_data">
          <x14:argumentDescriptions count="1">
            <x14:argumentDescription index="0">Positional argument 1</x14:argumentDescription>
          </x14:argumentDescriptions>
        </x14:definedName>
        <x14:definedName name="hello">
          <x14:argumentDescriptions count="1">
            <x14:argumentDescription index="0">Positional argument 1</x14:argumentDescription>
          </x14:argumentDescriptions>
        </x14:definedName>
        <x14:definedName name="plot">
          <x14:argumentDescriptions count="2">
            <x14:argumentDescription index="0">Positional argument 1</x14:argumentDescription>
            <x14:argumentDescription index="1">Positional argument 2</x14:argumentDescription>
          </x14:argumentDescriptions>
        </x14:definedName>
        <x14:definedName name="return_desc">
          <x14:argumentDescriptions count="1">
            <x14:argumentDescription index="0">Positional argument 1</x14:argumentDescription>
          </x14:argumentDescriptions>
        </x14:definedName>
        <x14:definedName name="return_employee_count">
          <x14:argumentDescriptions count="1">
            <x14:argumentDescription index="0">Positional argument 1</x14:argumentDescription>
          </x14:argumentDescriptions>
        </x14:definedName>
        <x14:definedName name="return_industry">
          <x14:argumentDescriptions count="1">
            <x14:argumentDescription index="0">Positional argument 1</x14:argumentDescription>
          </x14:argumentDescriptions>
        </x14:definedName>
        <x14:definedName name="return_name">
          <x14:argumentDescriptions count="1">
            <x14:argumentDescription index="0">Positional argument 1</x14:argumentDescription>
          </x14:argumentDescriptions>
        </x14:definedName>
        <x14:definedName name="return_plot">
          <x14:argumentDescriptions count="1">
            <x14:argumentDescription index="0">Positional argument 1</x14:argumentDescription>
          </x14:argumentDescriptions>
        </x14:definedName>
        <x14:definedName name="return_website">
          <x14:argumentDescriptions count="1">
            <x14:argumentDescription index="0">Positional argument 1</x14:argumentDescription>
          </x14:argumentDescriptions>
        </x14:definedName>
      </x14:definedNames>
    </ex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A6" i="1" l="1" a="1"/>
  <c r="A6" i="1"/>
  <c r="E7" i="3" a="1"/>
  <c r="E7" i="3"/>
  <c r="B1" i="1"/>
  <c r="C2" i="3"/>
  <c r="B2" i="3"/>
  <c r="B1" i="5"/>
  <c r="E8" i="3" a="1"/>
  <c r="E8" i="3"/>
  <c r="E10" i="3" a="1"/>
  <c r="E10" i="3"/>
  <c r="E11" i="3" a="1"/>
  <c r="E11" i="3"/>
  <c r="E9" i="3" a="1"/>
  <c r="E9" i="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<sst xmlns="http://schemas.openxmlformats.org/spreadsheetml/2006/main" count="14556" uniqueCount="14545">
  <si>
    <t>PYTHONPATH</t>
  </si>
  <si>
    <t>UDF Modules</t>
  </si>
  <si>
    <t>Debug UDFs</t>
  </si>
  <si>
    <t>Use UDF Server</t>
  </si>
  <si>
    <t>Instructions:</t>
  </si>
  <si>
    <t>Conda Env</t>
  </si>
  <si>
    <t>When activated, these settings override the settings in the addin (.xlwings/xlwings.conf file in the user directory) and xlwings.conf in the same directory as this Excel file.</t>
  </si>
  <si>
    <t>Conda Path</t>
  </si>
  <si>
    <t>Interpreter_Win</t>
  </si>
  <si>
    <t>Interpreter_Mac</t>
  </si>
  <si>
    <t>If you want to rely on the settings in the addin or an xlwings.conf file, you can delete this sheet.</t>
  </si>
  <si>
    <t>Rename this sheet to "xlwings.conf" to activate it.  The settings have to start in cell A1.</t>
  </si>
  <si>
    <t>If you delete a row from here, it will fall back to the first non-empty value xlwings finds in an xlwings.conf file and otherwise use the default values.</t>
  </si>
  <si>
    <t>python</t>
  </si>
  <si>
    <t>Show Console</t>
  </si>
  <si>
    <t>Stock Analysis Template - User Input</t>
  </si>
  <si>
    <t>Stock Ticker</t>
  </si>
  <si>
    <t>Industry</t>
  </si>
  <si>
    <t>Website</t>
  </si>
  <si>
    <t>Company Desc</t>
  </si>
  <si>
    <t>Employees</t>
  </si>
  <si>
    <t>Company Name</t>
  </si>
  <si>
    <t>BBY</t>
  </si>
  <si>
    <t>XOM</t>
  </si>
  <si>
    <t>Start Date:</t>
  </si>
  <si>
    <t>End Date:</t>
  </si>
  <si>
    <t>&lt;-manual  input</t>
  </si>
  <si>
    <t>&lt;-manual input</t>
  </si>
  <si>
    <t>Symbol</t>
  </si>
  <si>
    <t>A</t>
  </si>
  <si>
    <t>AA</t>
  </si>
  <si>
    <t>AACG</t>
  </si>
  <si>
    <t>AACI</t>
  </si>
  <si>
    <t>AACT</t>
  </si>
  <si>
    <t>AADI</t>
  </si>
  <si>
    <t>AAGR</t>
  </si>
  <si>
    <t>AAGRW</t>
  </si>
  <si>
    <t>AAIN</t>
  </si>
  <si>
    <t>AAL</t>
  </si>
  <si>
    <t>AAMC</t>
  </si>
  <si>
    <t>AAME</t>
  </si>
  <si>
    <t>AAN</t>
  </si>
  <si>
    <t>AAOI</t>
  </si>
  <si>
    <t>AAON</t>
  </si>
  <si>
    <t>AAP</t>
  </si>
  <si>
    <t>AAPL</t>
  </si>
  <si>
    <t>AAT</t>
  </si>
  <si>
    <t>AAU</t>
  </si>
  <si>
    <t>AB</t>
  </si>
  <si>
    <t>ABAT</t>
  </si>
  <si>
    <t>ABBV</t>
  </si>
  <si>
    <t>ABCB</t>
  </si>
  <si>
    <t>ABCL</t>
  </si>
  <si>
    <t>ABEO</t>
  </si>
  <si>
    <t>ABEV</t>
  </si>
  <si>
    <t>ABG</t>
  </si>
  <si>
    <t>ABIO</t>
  </si>
  <si>
    <t>ABL</t>
  </si>
  <si>
    <t>ABLLL</t>
  </si>
  <si>
    <t>ABLLW</t>
  </si>
  <si>
    <t>ABLV</t>
  </si>
  <si>
    <t>ABLVW</t>
  </si>
  <si>
    <t>ABM</t>
  </si>
  <si>
    <t>ABNB</t>
  </si>
  <si>
    <t>ABOS</t>
  </si>
  <si>
    <t>ABR</t>
  </si>
  <si>
    <t>ABR^D</t>
  </si>
  <si>
    <t>ABR^E</t>
  </si>
  <si>
    <t>ABR^F</t>
  </si>
  <si>
    <t>ABSI</t>
  </si>
  <si>
    <t>ABT</t>
  </si>
  <si>
    <t>ABTS</t>
  </si>
  <si>
    <t>ABUS</t>
  </si>
  <si>
    <t>ABVC</t>
  </si>
  <si>
    <t>ABVX</t>
  </si>
  <si>
    <t>AC</t>
  </si>
  <si>
    <t>ACA</t>
  </si>
  <si>
    <t>ACAB</t>
  </si>
  <si>
    <t>ACABW</t>
  </si>
  <si>
    <t>ACAC</t>
  </si>
  <si>
    <t>ACAD</t>
  </si>
  <si>
    <t>ACAH</t>
  </si>
  <si>
    <t>ACAHU</t>
  </si>
  <si>
    <t>ACAHW</t>
  </si>
  <si>
    <t>ACAX</t>
  </si>
  <si>
    <t>ACB</t>
  </si>
  <si>
    <t>ACBA</t>
  </si>
  <si>
    <t>ACBAU</t>
  </si>
  <si>
    <t>ACBAW</t>
  </si>
  <si>
    <t>ACCD</t>
  </si>
  <si>
    <t>ACCO</t>
  </si>
  <si>
    <t>ACDC</t>
  </si>
  <si>
    <t>ACEL</t>
  </si>
  <si>
    <t>ACET</t>
  </si>
  <si>
    <t>ACGL</t>
  </si>
  <si>
    <t>ACGLN</t>
  </si>
  <si>
    <t>ACGLO</t>
  </si>
  <si>
    <t>ACHC</t>
  </si>
  <si>
    <t>ACHL</t>
  </si>
  <si>
    <t>ACHR</t>
  </si>
  <si>
    <t>ACHV</t>
  </si>
  <si>
    <t>ACI</t>
  </si>
  <si>
    <t>ACIC</t>
  </si>
  <si>
    <t>ACIU</t>
  </si>
  <si>
    <t>ACIW</t>
  </si>
  <si>
    <t>ACLS</t>
  </si>
  <si>
    <t>ACLX</t>
  </si>
  <si>
    <t>ACM</t>
  </si>
  <si>
    <t>ACMR</t>
  </si>
  <si>
    <t>ACN</t>
  </si>
  <si>
    <t>ACNB</t>
  </si>
  <si>
    <t>ACNT</t>
  </si>
  <si>
    <t>ACON</t>
  </si>
  <si>
    <t>ACONW</t>
  </si>
  <si>
    <t>ACOR</t>
  </si>
  <si>
    <t>ACP</t>
  </si>
  <si>
    <t>ACP^A</t>
  </si>
  <si>
    <t>ACR</t>
  </si>
  <si>
    <t>ACR^C</t>
  </si>
  <si>
    <t>ACR^D</t>
  </si>
  <si>
    <t>ACRE</t>
  </si>
  <si>
    <t>ACRS</t>
  </si>
  <si>
    <t>ACRV</t>
  </si>
  <si>
    <t>ACRX</t>
  </si>
  <si>
    <t>ACST</t>
  </si>
  <si>
    <t>ACT</t>
  </si>
  <si>
    <t>ACTG</t>
  </si>
  <si>
    <t>ACU</t>
  </si>
  <si>
    <t>ACV</t>
  </si>
  <si>
    <t>ACVA</t>
  </si>
  <si>
    <t>ACXP</t>
  </si>
  <si>
    <t>ADAG</t>
  </si>
  <si>
    <t>ADAP</t>
  </si>
  <si>
    <t>ADBE</t>
  </si>
  <si>
    <t>ADC</t>
  </si>
  <si>
    <t>ADC^A</t>
  </si>
  <si>
    <t>ADCT</t>
  </si>
  <si>
    <t>ADD</t>
  </si>
  <si>
    <t>ADEA</t>
  </si>
  <si>
    <t>ADES</t>
  </si>
  <si>
    <t>ADI</t>
  </si>
  <si>
    <t>ADIL</t>
  </si>
  <si>
    <t>ADM</t>
  </si>
  <si>
    <t>ADMA</t>
  </si>
  <si>
    <t>ADN</t>
  </si>
  <si>
    <t>ADNT</t>
  </si>
  <si>
    <t>ADNWW</t>
  </si>
  <si>
    <t>ADOC</t>
  </si>
  <si>
    <t>ADP</t>
  </si>
  <si>
    <t>ADPT</t>
  </si>
  <si>
    <t>ADRT</t>
  </si>
  <si>
    <t>ADSE</t>
  </si>
  <si>
    <t>ADSEW</t>
  </si>
  <si>
    <t>ADSK</t>
  </si>
  <si>
    <t>ADT</t>
  </si>
  <si>
    <t>ADTH</t>
  </si>
  <si>
    <t>ADTHW</t>
  </si>
  <si>
    <t>ADTN</t>
  </si>
  <si>
    <t>ADTX</t>
  </si>
  <si>
    <t>ADUS</t>
  </si>
  <si>
    <t>ADV</t>
  </si>
  <si>
    <t>ADVM</t>
  </si>
  <si>
    <t>ADVWW</t>
  </si>
  <si>
    <t>ADX</t>
  </si>
  <si>
    <t>ADXN</t>
  </si>
  <si>
    <t>AE</t>
  </si>
  <si>
    <t>AEAE</t>
  </si>
  <si>
    <t>AEE</t>
  </si>
  <si>
    <t>AEF</t>
  </si>
  <si>
    <t>AEFC</t>
  </si>
  <si>
    <t>AEG</t>
  </si>
  <si>
    <t>AEHL</t>
  </si>
  <si>
    <t>AEHR</t>
  </si>
  <si>
    <t>AEI</t>
  </si>
  <si>
    <t>AEIS</t>
  </si>
  <si>
    <t>AEL</t>
  </si>
  <si>
    <t>AEL^A</t>
  </si>
  <si>
    <t>AEL^B</t>
  </si>
  <si>
    <t>AEM</t>
  </si>
  <si>
    <t>AEMD</t>
  </si>
  <si>
    <t>AENT</t>
  </si>
  <si>
    <t>AENTW</t>
  </si>
  <si>
    <t>AEO</t>
  </si>
  <si>
    <t>AEON</t>
  </si>
  <si>
    <t>AEP</t>
  </si>
  <si>
    <t>AER</t>
  </si>
  <si>
    <t>AERT</t>
  </si>
  <si>
    <t>AES</t>
  </si>
  <si>
    <t>AESC</t>
  </si>
  <si>
    <t>AESI</t>
  </si>
  <si>
    <t>AEVA</t>
  </si>
  <si>
    <t>AEY</t>
  </si>
  <si>
    <t>AEYE</t>
  </si>
  <si>
    <t>AEZS</t>
  </si>
  <si>
    <t>AFAR</t>
  </si>
  <si>
    <t>AFARW</t>
  </si>
  <si>
    <t>AFB</t>
  </si>
  <si>
    <t>AFBI</t>
  </si>
  <si>
    <t>AFCG</t>
  </si>
  <si>
    <t>AFG</t>
  </si>
  <si>
    <t>AFGB</t>
  </si>
  <si>
    <t>AFGC</t>
  </si>
  <si>
    <t>AFGD</t>
  </si>
  <si>
    <t>AFGE</t>
  </si>
  <si>
    <t>AFIB</t>
  </si>
  <si>
    <t>AFJKU</t>
  </si>
  <si>
    <t>AFL</t>
  </si>
  <si>
    <t>AFMD</t>
  </si>
  <si>
    <t>AFRI</t>
  </si>
  <si>
    <t>AFRIW</t>
  </si>
  <si>
    <t>AFRM</t>
  </si>
  <si>
    <t>AFT</t>
  </si>
  <si>
    <t>AFYA</t>
  </si>
  <si>
    <t>AG</t>
  </si>
  <si>
    <t>AGAE</t>
  </si>
  <si>
    <t>AGBA</t>
  </si>
  <si>
    <t>AGBAW</t>
  </si>
  <si>
    <t>AGCO</t>
  </si>
  <si>
    <t>AGD</t>
  </si>
  <si>
    <t>AGE</t>
  </si>
  <si>
    <t>AGEN</t>
  </si>
  <si>
    <t>AGFY</t>
  </si>
  <si>
    <t>AGI</t>
  </si>
  <si>
    <t>AGIO</t>
  </si>
  <si>
    <t>AGL</t>
  </si>
  <si>
    <t>AGM</t>
  </si>
  <si>
    <t>AGM^C</t>
  </si>
  <si>
    <t>AGM^D</t>
  </si>
  <si>
    <t>AGM^E</t>
  </si>
  <si>
    <t>AGM^F</t>
  </si>
  <si>
    <t>AGM^G</t>
  </si>
  <si>
    <t>AGMH</t>
  </si>
  <si>
    <t>AGNC</t>
  </si>
  <si>
    <t>AGNCL</t>
  </si>
  <si>
    <t>AGNCM</t>
  </si>
  <si>
    <t>AGNCN</t>
  </si>
  <si>
    <t>AGNCO</t>
  </si>
  <si>
    <t>AGNCP</t>
  </si>
  <si>
    <t>AGO</t>
  </si>
  <si>
    <t>AGR</t>
  </si>
  <si>
    <t>AGRI</t>
  </si>
  <si>
    <t>AGRIW</t>
  </si>
  <si>
    <t>AGRO</t>
  </si>
  <si>
    <t>AGRX</t>
  </si>
  <si>
    <t>AGS</t>
  </si>
  <si>
    <t>AGTI</t>
  </si>
  <si>
    <t>AGX</t>
  </si>
  <si>
    <t>AGYS</t>
  </si>
  <si>
    <t>AHCO</t>
  </si>
  <si>
    <t>AHG</t>
  </si>
  <si>
    <t>AHH</t>
  </si>
  <si>
    <t>AHH^A</t>
  </si>
  <si>
    <t>AHI</t>
  </si>
  <si>
    <t>AHL^C</t>
  </si>
  <si>
    <t>AHL^D</t>
  </si>
  <si>
    <t>AHL^E</t>
  </si>
  <si>
    <t>AHT</t>
  </si>
  <si>
    <t>AHT^D</t>
  </si>
  <si>
    <t>AHT^F</t>
  </si>
  <si>
    <t>AHT^G</t>
  </si>
  <si>
    <t>AHT^H</t>
  </si>
  <si>
    <t>AHT^I</t>
  </si>
  <si>
    <t>AI</t>
  </si>
  <si>
    <t>AIB</t>
  </si>
  <si>
    <t>AIC</t>
  </si>
  <si>
    <t>AIF</t>
  </si>
  <si>
    <t>AIG</t>
  </si>
  <si>
    <t>AIG^A</t>
  </si>
  <si>
    <t>AIH</t>
  </si>
  <si>
    <t>AIHS</t>
  </si>
  <si>
    <t>AIM</t>
  </si>
  <si>
    <t>AIMAU</t>
  </si>
  <si>
    <t>AIMBU</t>
  </si>
  <si>
    <t>AIMD</t>
  </si>
  <si>
    <t>AIMDW</t>
  </si>
  <si>
    <t>AIN</t>
  </si>
  <si>
    <t>AINC</t>
  </si>
  <si>
    <t>AIO</t>
  </si>
  <si>
    <t>AIP</t>
  </si>
  <si>
    <t>AIR</t>
  </si>
  <si>
    <t>AIRC</t>
  </si>
  <si>
    <t>AIRE</t>
  </si>
  <si>
    <t>AIRG</t>
  </si>
  <si>
    <t>AIRI</t>
  </si>
  <si>
    <t>AIRS</t>
  </si>
  <si>
    <t>AIRT</t>
  </si>
  <si>
    <t>AIRTP</t>
  </si>
  <si>
    <t>AISP</t>
  </si>
  <si>
    <t>AISPW</t>
  </si>
  <si>
    <t>AIT</t>
  </si>
  <si>
    <t>AITR</t>
  </si>
  <si>
    <t>AITRR</t>
  </si>
  <si>
    <t>AITRU</t>
  </si>
  <si>
    <t>AIU</t>
  </si>
  <si>
    <t>AIV</t>
  </si>
  <si>
    <t>AIXI</t>
  </si>
  <si>
    <t>AIZ</t>
  </si>
  <si>
    <t>AIZN</t>
  </si>
  <si>
    <t>AJG</t>
  </si>
  <si>
    <t>AJX</t>
  </si>
  <si>
    <t>AJXA</t>
  </si>
  <si>
    <t>AKA</t>
  </si>
  <si>
    <t>AKAM</t>
  </si>
  <si>
    <t>AKAN</t>
  </si>
  <si>
    <t>AKBA</t>
  </si>
  <si>
    <t>AKLI</t>
  </si>
  <si>
    <t>AKO/A</t>
  </si>
  <si>
    <t>AKO/B</t>
  </si>
  <si>
    <t>AKR</t>
  </si>
  <si>
    <t>AKRO</t>
  </si>
  <si>
    <t>AKTS</t>
  </si>
  <si>
    <t>AKTX</t>
  </si>
  <si>
    <t>AKYA</t>
  </si>
  <si>
    <t>AL</t>
  </si>
  <si>
    <t>AL^A</t>
  </si>
  <si>
    <t>ALAR</t>
  </si>
  <si>
    <t>ALB</t>
  </si>
  <si>
    <t>ALBT</t>
  </si>
  <si>
    <t>ALC</t>
  </si>
  <si>
    <t>ALCC</t>
  </si>
  <si>
    <t>ALCE</t>
  </si>
  <si>
    <t>ALCO</t>
  </si>
  <si>
    <t>ALCY</t>
  </si>
  <si>
    <t>ALCYW</t>
  </si>
  <si>
    <t>ALDX</t>
  </si>
  <si>
    <t>ALE</t>
  </si>
  <si>
    <t>ALEC</t>
  </si>
  <si>
    <t>ALEX</t>
  </si>
  <si>
    <t>ALG</t>
  </si>
  <si>
    <t>ALGM</t>
  </si>
  <si>
    <t>ALGN</t>
  </si>
  <si>
    <t>ALGS</t>
  </si>
  <si>
    <t>ALGT</t>
  </si>
  <si>
    <t>ALHC</t>
  </si>
  <si>
    <t>ALIM</t>
  </si>
  <si>
    <t>ALIT</t>
  </si>
  <si>
    <t>ALK</t>
  </si>
  <si>
    <t>ALKS</t>
  </si>
  <si>
    <t>ALKT</t>
  </si>
  <si>
    <t>ALL</t>
  </si>
  <si>
    <t>ALL^B</t>
  </si>
  <si>
    <t>ALL^H</t>
  </si>
  <si>
    <t>ALL^I</t>
  </si>
  <si>
    <t>ALL^J</t>
  </si>
  <si>
    <t>ALLE</t>
  </si>
  <si>
    <t>ALLG</t>
  </si>
  <si>
    <t>ALLK</t>
  </si>
  <si>
    <t>ALLO</t>
  </si>
  <si>
    <t>ALLR</t>
  </si>
  <si>
    <t>ALLT</t>
  </si>
  <si>
    <t>ALLY</t>
  </si>
  <si>
    <t>ALNT</t>
  </si>
  <si>
    <t>ALNY</t>
  </si>
  <si>
    <t>ALOT</t>
  </si>
  <si>
    <t>ALPN</t>
  </si>
  <si>
    <t>ALPP</t>
  </si>
  <si>
    <t>ALRM</t>
  </si>
  <si>
    <t>ALRN</t>
  </si>
  <si>
    <t>ALRS</t>
  </si>
  <si>
    <t>ALSA</t>
  </si>
  <si>
    <t>ALSAR</t>
  </si>
  <si>
    <t>ALSN</t>
  </si>
  <si>
    <t>ALT</t>
  </si>
  <si>
    <t>ALTG</t>
  </si>
  <si>
    <t>ALTG^A</t>
  </si>
  <si>
    <t>ALTI</t>
  </si>
  <si>
    <t>ALTM</t>
  </si>
  <si>
    <t>ALTO</t>
  </si>
  <si>
    <t>ALTR</t>
  </si>
  <si>
    <t>ALTU</t>
  </si>
  <si>
    <t>ALUR</t>
  </si>
  <si>
    <t>ALV</t>
  </si>
  <si>
    <t>ALVO</t>
  </si>
  <si>
    <t>ALVOW</t>
  </si>
  <si>
    <t>ALVR</t>
  </si>
  <si>
    <t>ALX</t>
  </si>
  <si>
    <t>ALXO</t>
  </si>
  <si>
    <t>ALYA</t>
  </si>
  <si>
    <t>ALZN</t>
  </si>
  <si>
    <t>AM</t>
  </si>
  <si>
    <t>AMAL</t>
  </si>
  <si>
    <t>AMAM</t>
  </si>
  <si>
    <t>AMAT</t>
  </si>
  <si>
    <t>AMBA</t>
  </si>
  <si>
    <t>AMBC</t>
  </si>
  <si>
    <t>AMBI</t>
  </si>
  <si>
    <t>AMBO</t>
  </si>
  <si>
    <t>AMBP</t>
  </si>
  <si>
    <t>AMC</t>
  </si>
  <si>
    <t>AMCR</t>
  </si>
  <si>
    <t>AMCX</t>
  </si>
  <si>
    <t>AMD</t>
  </si>
  <si>
    <t>AME</t>
  </si>
  <si>
    <t>AMED</t>
  </si>
  <si>
    <t>AMEH</t>
  </si>
  <si>
    <t>AMG</t>
  </si>
  <si>
    <t>AMGN</t>
  </si>
  <si>
    <t>AMH</t>
  </si>
  <si>
    <t>AMH^G</t>
  </si>
  <si>
    <t>AMH^H</t>
  </si>
  <si>
    <t>AMK</t>
  </si>
  <si>
    <t>AMKR</t>
  </si>
  <si>
    <t>AMLI</t>
  </si>
  <si>
    <t>AMLX</t>
  </si>
  <si>
    <t>AMN</t>
  </si>
  <si>
    <t>AMNB</t>
  </si>
  <si>
    <t>AMP</t>
  </si>
  <si>
    <t>AMPE</t>
  </si>
  <si>
    <t>AMPG</t>
  </si>
  <si>
    <t>AMPGW</t>
  </si>
  <si>
    <t>AMPH</t>
  </si>
  <si>
    <t>AMPL</t>
  </si>
  <si>
    <t>AMPS</t>
  </si>
  <si>
    <t>AMPX</t>
  </si>
  <si>
    <t>AMPY</t>
  </si>
  <si>
    <t>AMR</t>
  </si>
  <si>
    <t>AMRC</t>
  </si>
  <si>
    <t>AMRK</t>
  </si>
  <si>
    <t>AMRN</t>
  </si>
  <si>
    <t>AMRX</t>
  </si>
  <si>
    <t>AMS</t>
  </si>
  <si>
    <t>AMSC</t>
  </si>
  <si>
    <t>AMSF</t>
  </si>
  <si>
    <t>AMST</t>
  </si>
  <si>
    <t>AMSWA</t>
  </si>
  <si>
    <t>AMT</t>
  </si>
  <si>
    <t>AMTB</t>
  </si>
  <si>
    <t>AMTD</t>
  </si>
  <si>
    <t>AMTX</t>
  </si>
  <si>
    <t>AMWD</t>
  </si>
  <si>
    <t>AMWL</t>
  </si>
  <si>
    <t>AMX</t>
  </si>
  <si>
    <t>AMZN</t>
  </si>
  <si>
    <t>AN</t>
  </si>
  <si>
    <t>ANAB</t>
  </si>
  <si>
    <t>ANDE</t>
  </si>
  <si>
    <t>ANEB</t>
  </si>
  <si>
    <t>ANET</t>
  </si>
  <si>
    <t>ANF</t>
  </si>
  <si>
    <t>ANGH</t>
  </si>
  <si>
    <t>ANGHW</t>
  </si>
  <si>
    <t>ANGI</t>
  </si>
  <si>
    <t>ANGO</t>
  </si>
  <si>
    <t>ANIK</t>
  </si>
  <si>
    <t>ANIP</t>
  </si>
  <si>
    <t>ANIX</t>
  </si>
  <si>
    <t>ANL</t>
  </si>
  <si>
    <t>ANNX</t>
  </si>
  <si>
    <t>ANSC</t>
  </si>
  <si>
    <t>ANSCU</t>
  </si>
  <si>
    <t>ANSCW</t>
  </si>
  <si>
    <t>ANSS</t>
  </si>
  <si>
    <t>ANTE</t>
  </si>
  <si>
    <t>ANTX</t>
  </si>
  <si>
    <t>ANVS</t>
  </si>
  <si>
    <t>ANY</t>
  </si>
  <si>
    <t>AOD</t>
  </si>
  <si>
    <t>AOGO</t>
  </si>
  <si>
    <t>AOGOW</t>
  </si>
  <si>
    <t>AOMR</t>
  </si>
  <si>
    <t>AON</t>
  </si>
  <si>
    <t>AONC</t>
  </si>
  <si>
    <t>AORT</t>
  </si>
  <si>
    <t>AOS</t>
  </si>
  <si>
    <t>AOSL</t>
  </si>
  <si>
    <t>AOUT</t>
  </si>
  <si>
    <t>AP</t>
  </si>
  <si>
    <t>APA</t>
  </si>
  <si>
    <t>APAC</t>
  </si>
  <si>
    <t>APACW</t>
  </si>
  <si>
    <t>APAM</t>
  </si>
  <si>
    <t>APCA</t>
  </si>
  <si>
    <t>APCX</t>
  </si>
  <si>
    <t>APCXW</t>
  </si>
  <si>
    <t>APD</t>
  </si>
  <si>
    <t>APDN</t>
  </si>
  <si>
    <t>APEI</t>
  </si>
  <si>
    <t>APG</t>
  </si>
  <si>
    <t>APGE</t>
  </si>
  <si>
    <t>APH</t>
  </si>
  <si>
    <t>API</t>
  </si>
  <si>
    <t>APLD</t>
  </si>
  <si>
    <t>APLE</t>
  </si>
  <si>
    <t>APLM</t>
  </si>
  <si>
    <t>APLMW</t>
  </si>
  <si>
    <t>APLS</t>
  </si>
  <si>
    <t>APLT</t>
  </si>
  <si>
    <t>APM</t>
  </si>
  <si>
    <t>APO</t>
  </si>
  <si>
    <t>APO^A</t>
  </si>
  <si>
    <t>APOG</t>
  </si>
  <si>
    <t>APOS</t>
  </si>
  <si>
    <t>APP</t>
  </si>
  <si>
    <t>APPF</t>
  </si>
  <si>
    <t>APPN</t>
  </si>
  <si>
    <t>APPS</t>
  </si>
  <si>
    <t>APRE</t>
  </si>
  <si>
    <t>APT</t>
  </si>
  <si>
    <t>APTM</t>
  </si>
  <si>
    <t>APTMU</t>
  </si>
  <si>
    <t>APTMW</t>
  </si>
  <si>
    <t>APTO</t>
  </si>
  <si>
    <t>APTV</t>
  </si>
  <si>
    <t>APVO</t>
  </si>
  <si>
    <t>APWC</t>
  </si>
  <si>
    <t>APXI</t>
  </si>
  <si>
    <t>APYX</t>
  </si>
  <si>
    <t>AQB</t>
  </si>
  <si>
    <t>AQMS</t>
  </si>
  <si>
    <t>AQN</t>
  </si>
  <si>
    <t>AQNB</t>
  </si>
  <si>
    <t>AQNU</t>
  </si>
  <si>
    <t>AQST</t>
  </si>
  <si>
    <t>AQU</t>
  </si>
  <si>
    <t>AR</t>
  </si>
  <si>
    <t>ARAV</t>
  </si>
  <si>
    <t>ARAY</t>
  </si>
  <si>
    <t>ARBB</t>
  </si>
  <si>
    <t>ARBE</t>
  </si>
  <si>
    <t>ARBEW</t>
  </si>
  <si>
    <t>ARBK</t>
  </si>
  <si>
    <t>ARBKL</t>
  </si>
  <si>
    <t>ARC</t>
  </si>
  <si>
    <t>ARCB</t>
  </si>
  <si>
    <t>ARCC</t>
  </si>
  <si>
    <t>ARCH</t>
  </si>
  <si>
    <t>ARCO</t>
  </si>
  <si>
    <t>ARCT</t>
  </si>
  <si>
    <t>ARDC</t>
  </si>
  <si>
    <t>ARDX</t>
  </si>
  <si>
    <t>ARE</t>
  </si>
  <si>
    <t>AREB</t>
  </si>
  <si>
    <t>AREBW</t>
  </si>
  <si>
    <t>AREC</t>
  </si>
  <si>
    <t>AREN</t>
  </si>
  <si>
    <t>ARES</t>
  </si>
  <si>
    <t>ARGD</t>
  </si>
  <si>
    <t>ARGO^A</t>
  </si>
  <si>
    <t>ARGX</t>
  </si>
  <si>
    <t>ARHS</t>
  </si>
  <si>
    <t>ARI</t>
  </si>
  <si>
    <t>ARIS</t>
  </si>
  <si>
    <t>ARIZ</t>
  </si>
  <si>
    <t>ARIZR</t>
  </si>
  <si>
    <t>ARIZW</t>
  </si>
  <si>
    <t>ARKO</t>
  </si>
  <si>
    <t>ARKOW</t>
  </si>
  <si>
    <t>ARKR</t>
  </si>
  <si>
    <t>ARL</t>
  </si>
  <si>
    <t>ARLO</t>
  </si>
  <si>
    <t>ARLP</t>
  </si>
  <si>
    <t>ARM</t>
  </si>
  <si>
    <t>ARMK</t>
  </si>
  <si>
    <t>ARMN</t>
  </si>
  <si>
    <t>ARMP</t>
  </si>
  <si>
    <t>AROC</t>
  </si>
  <si>
    <t>AROW</t>
  </si>
  <si>
    <t>ARQQ</t>
  </si>
  <si>
    <t>ARQQW</t>
  </si>
  <si>
    <t>ARQT</t>
  </si>
  <si>
    <t>ARR</t>
  </si>
  <si>
    <t>ARR^C</t>
  </si>
  <si>
    <t>ARRW</t>
  </si>
  <si>
    <t>ARRWU</t>
  </si>
  <si>
    <t>ARRWW</t>
  </si>
  <si>
    <t>ARRY</t>
  </si>
  <si>
    <t>ARTL</t>
  </si>
  <si>
    <t>ARTLW</t>
  </si>
  <si>
    <t>ARTNA</t>
  </si>
  <si>
    <t>ARTW</t>
  </si>
  <si>
    <t>ARVL</t>
  </si>
  <si>
    <t>ARVN</t>
  </si>
  <si>
    <t>ARW</t>
  </si>
  <si>
    <t>ARWR</t>
  </si>
  <si>
    <t>ARYD</t>
  </si>
  <si>
    <t>ASA</t>
  </si>
  <si>
    <t>ASAI</t>
  </si>
  <si>
    <t>ASAN</t>
  </si>
  <si>
    <t>ASB</t>
  </si>
  <si>
    <t>ASB^E</t>
  </si>
  <si>
    <t>ASB^F</t>
  </si>
  <si>
    <t>ASBA</t>
  </si>
  <si>
    <t>ASC</t>
  </si>
  <si>
    <t>ASCA</t>
  </si>
  <si>
    <t>ASCAW</t>
  </si>
  <si>
    <t>ASCB</t>
  </si>
  <si>
    <t>ASCBR</t>
  </si>
  <si>
    <t>ASCBW</t>
  </si>
  <si>
    <t>ASG</t>
  </si>
  <si>
    <t>ASGI</t>
  </si>
  <si>
    <t>ASGN</t>
  </si>
  <si>
    <t>ASH</t>
  </si>
  <si>
    <t>ASIX</t>
  </si>
  <si>
    <t>ASLE</t>
  </si>
  <si>
    <t>ASLN</t>
  </si>
  <si>
    <t>ASM</t>
  </si>
  <si>
    <t>ASMB</t>
  </si>
  <si>
    <t>ASML</t>
  </si>
  <si>
    <t>ASND</t>
  </si>
  <si>
    <t>ASNS</t>
  </si>
  <si>
    <t>ASO</t>
  </si>
  <si>
    <t>ASPI</t>
  </si>
  <si>
    <t>ASPN</t>
  </si>
  <si>
    <t>ASPS</t>
  </si>
  <si>
    <t>ASR</t>
  </si>
  <si>
    <t>ASRT</t>
  </si>
  <si>
    <t>ASRV</t>
  </si>
  <si>
    <t>ASST</t>
  </si>
  <si>
    <t>ASTC</t>
  </si>
  <si>
    <t>ASTE</t>
  </si>
  <si>
    <t>ASTI</t>
  </si>
  <si>
    <t>ASTL</t>
  </si>
  <si>
    <t>ASTLW</t>
  </si>
  <si>
    <t>ASTR</t>
  </si>
  <si>
    <t>ASTS</t>
  </si>
  <si>
    <t>ASTSW</t>
  </si>
  <si>
    <t>ASUR</t>
  </si>
  <si>
    <t>ASX</t>
  </si>
  <si>
    <t>ASXC</t>
  </si>
  <si>
    <t>ASYS</t>
  </si>
  <si>
    <t>ATAI</t>
  </si>
  <si>
    <t>ATAK</t>
  </si>
  <si>
    <t>ATAKR</t>
  </si>
  <si>
    <t>ATAKU</t>
  </si>
  <si>
    <t>ATAT</t>
  </si>
  <si>
    <t>ATCO^D</t>
  </si>
  <si>
    <t>ATCO^H</t>
  </si>
  <si>
    <t>ATCOL</t>
  </si>
  <si>
    <t>ATEC</t>
  </si>
  <si>
    <t>ATEK</t>
  </si>
  <si>
    <t>ATEN</t>
  </si>
  <si>
    <t>ATER</t>
  </si>
  <si>
    <t>ATEX</t>
  </si>
  <si>
    <t>ATGE</t>
  </si>
  <si>
    <t>ATGL</t>
  </si>
  <si>
    <t>ATH^A</t>
  </si>
  <si>
    <t>ATH^B</t>
  </si>
  <si>
    <t>ATH^C</t>
  </si>
  <si>
    <t>ATH^D</t>
  </si>
  <si>
    <t>ATH^E</t>
  </si>
  <si>
    <t>ATHA</t>
  </si>
  <si>
    <t>ATHE</t>
  </si>
  <si>
    <t>ATHM</t>
  </si>
  <si>
    <t>ATI</t>
  </si>
  <si>
    <t>ATIF</t>
  </si>
  <si>
    <t>ATIP</t>
  </si>
  <si>
    <t>ATKR</t>
  </si>
  <si>
    <t>ATLC</t>
  </si>
  <si>
    <t>ATLCL</t>
  </si>
  <si>
    <t>ATLCP</t>
  </si>
  <si>
    <t>ATLO</t>
  </si>
  <si>
    <t>ATLX</t>
  </si>
  <si>
    <t>ATMC</t>
  </si>
  <si>
    <t>ATMCR</t>
  </si>
  <si>
    <t>ATMU</t>
  </si>
  <si>
    <t>ATNF</t>
  </si>
  <si>
    <t>ATNFW</t>
  </si>
  <si>
    <t>ATNI</t>
  </si>
  <si>
    <t>ATNM</t>
  </si>
  <si>
    <t>ATO</t>
  </si>
  <si>
    <t>ATOM</t>
  </si>
  <si>
    <t>ATOS</t>
  </si>
  <si>
    <t>ATPC</t>
  </si>
  <si>
    <t>ATR</t>
  </si>
  <si>
    <t>ATRA</t>
  </si>
  <si>
    <t>ATRC</t>
  </si>
  <si>
    <t>ATRI</t>
  </si>
  <si>
    <t>ATRO</t>
  </si>
  <si>
    <t>ATS</t>
  </si>
  <si>
    <t>ATSG</t>
  </si>
  <si>
    <t>ATUS</t>
  </si>
  <si>
    <t>ATXG</t>
  </si>
  <si>
    <t>ATXI</t>
  </si>
  <si>
    <t>ATXS</t>
  </si>
  <si>
    <t>AU</t>
  </si>
  <si>
    <t>AUB</t>
  </si>
  <si>
    <t>AUB^A</t>
  </si>
  <si>
    <t>AUBN</t>
  </si>
  <si>
    <t>AUDC</t>
  </si>
  <si>
    <t>AUGX</t>
  </si>
  <si>
    <t>AUID</t>
  </si>
  <si>
    <t>AULT</t>
  </si>
  <si>
    <t>AULT^D</t>
  </si>
  <si>
    <t>AUMN</t>
  </si>
  <si>
    <t>AUPH</t>
  </si>
  <si>
    <t>AUR</t>
  </si>
  <si>
    <t>AURA</t>
  </si>
  <si>
    <t>AUROW</t>
  </si>
  <si>
    <t>AUST</t>
  </si>
  <si>
    <t>AUTL</t>
  </si>
  <si>
    <t>AUUD</t>
  </si>
  <si>
    <t>AUUDW</t>
  </si>
  <si>
    <t>AUVI</t>
  </si>
  <si>
    <t>AUVIP</t>
  </si>
  <si>
    <t>AVA</t>
  </si>
  <si>
    <t>AVAH</t>
  </si>
  <si>
    <t>AVAL</t>
  </si>
  <si>
    <t>AVAV</t>
  </si>
  <si>
    <t>AVB</t>
  </si>
  <si>
    <t>AVD</t>
  </si>
  <si>
    <t>AVDL</t>
  </si>
  <si>
    <t>AVDX</t>
  </si>
  <si>
    <t>AVGO</t>
  </si>
  <si>
    <t>AVGR</t>
  </si>
  <si>
    <t>AVHI</t>
  </si>
  <si>
    <t>AVIR</t>
  </si>
  <si>
    <t>AVK</t>
  </si>
  <si>
    <t>AVNS</t>
  </si>
  <si>
    <t>AVNT</t>
  </si>
  <si>
    <t>AVNW</t>
  </si>
  <si>
    <t>AVO</t>
  </si>
  <si>
    <t>AVPT</t>
  </si>
  <si>
    <t>AVPTW</t>
  </si>
  <si>
    <t>AVRO</t>
  </si>
  <si>
    <t>AVT</t>
  </si>
  <si>
    <t>AVTE</t>
  </si>
  <si>
    <t>AVTR</t>
  </si>
  <si>
    <t>AVTX</t>
  </si>
  <si>
    <t>AVXL</t>
  </si>
  <si>
    <t>AVY</t>
  </si>
  <si>
    <t>AWF</t>
  </si>
  <si>
    <t>AWH</t>
  </si>
  <si>
    <t>AWI</t>
  </si>
  <si>
    <t>AWIN</t>
  </si>
  <si>
    <t>AWINW</t>
  </si>
  <si>
    <t>AWK</t>
  </si>
  <si>
    <t>AWP</t>
  </si>
  <si>
    <t>AWR</t>
  </si>
  <si>
    <t>AWRE</t>
  </si>
  <si>
    <t>AWX</t>
  </si>
  <si>
    <t>AX</t>
  </si>
  <si>
    <t>AXDX</t>
  </si>
  <si>
    <t>AXGN</t>
  </si>
  <si>
    <t>AXL</t>
  </si>
  <si>
    <t>AXNX</t>
  </si>
  <si>
    <t>AXON</t>
  </si>
  <si>
    <t>AXP</t>
  </si>
  <si>
    <t>AXR</t>
  </si>
  <si>
    <t>AXS</t>
  </si>
  <si>
    <t>AXS^E</t>
  </si>
  <si>
    <t>AXSM</t>
  </si>
  <si>
    <t>AXTA</t>
  </si>
  <si>
    <t>AXTI</t>
  </si>
  <si>
    <t>AY</t>
  </si>
  <si>
    <t>AYI</t>
  </si>
  <si>
    <t>AYRO</t>
  </si>
  <si>
    <t>AYTU</t>
  </si>
  <si>
    <t>AYX</t>
  </si>
  <si>
    <t>AZ</t>
  </si>
  <si>
    <t>AZEK</t>
  </si>
  <si>
    <t>AZN</t>
  </si>
  <si>
    <t>AZO</t>
  </si>
  <si>
    <t>AZPN</t>
  </si>
  <si>
    <t>AZTA</t>
  </si>
  <si>
    <t>AZTR</t>
  </si>
  <si>
    <t>AZUL</t>
  </si>
  <si>
    <t>AZZ</t>
  </si>
  <si>
    <t>B</t>
  </si>
  <si>
    <t>BA</t>
  </si>
  <si>
    <t>BABA</t>
  </si>
  <si>
    <t>BAC</t>
  </si>
  <si>
    <t>BAC^B</t>
  </si>
  <si>
    <t>BAC^E</t>
  </si>
  <si>
    <t>BAC^K</t>
  </si>
  <si>
    <t>BAC^L</t>
  </si>
  <si>
    <t>BAC^M</t>
  </si>
  <si>
    <t>BAC^N</t>
  </si>
  <si>
    <t>BAC^O</t>
  </si>
  <si>
    <t>BAC^P</t>
  </si>
  <si>
    <t>BAC^Q</t>
  </si>
  <si>
    <t>BAC^S</t>
  </si>
  <si>
    <t>BACA</t>
  </si>
  <si>
    <t>BACK</t>
  </si>
  <si>
    <t>BAER</t>
  </si>
  <si>
    <t>BAERW</t>
  </si>
  <si>
    <t>BAFN</t>
  </si>
  <si>
    <t>BAH</t>
  </si>
  <si>
    <t>BAK</t>
  </si>
  <si>
    <t>BALL</t>
  </si>
  <si>
    <t>BALY</t>
  </si>
  <si>
    <t>BAM</t>
  </si>
  <si>
    <t>BANC</t>
  </si>
  <si>
    <t>BANC^F</t>
  </si>
  <si>
    <t>BAND</t>
  </si>
  <si>
    <t>BANF</t>
  </si>
  <si>
    <t>BANFP</t>
  </si>
  <si>
    <t>BANL</t>
  </si>
  <si>
    <t>BANR</t>
  </si>
  <si>
    <t>BANX</t>
  </si>
  <si>
    <t>BAOS</t>
  </si>
  <si>
    <t>BAP</t>
  </si>
  <si>
    <t>BARK</t>
  </si>
  <si>
    <t>BASE</t>
  </si>
  <si>
    <t>BATL</t>
  </si>
  <si>
    <t>BATRA</t>
  </si>
  <si>
    <t>BATRK</t>
  </si>
  <si>
    <t>BAX</t>
  </si>
  <si>
    <t>BAYA</t>
  </si>
  <si>
    <t>BAYAR</t>
  </si>
  <si>
    <t>BAYAU</t>
  </si>
  <si>
    <t>BB</t>
  </si>
  <si>
    <t>BBAI</t>
  </si>
  <si>
    <t>BBAR</t>
  </si>
  <si>
    <t>BBCP</t>
  </si>
  <si>
    <t>BBD</t>
  </si>
  <si>
    <t>BBDC</t>
  </si>
  <si>
    <t>BBDO</t>
  </si>
  <si>
    <t>BBGI</t>
  </si>
  <si>
    <t>BBIO</t>
  </si>
  <si>
    <t>BBLG</t>
  </si>
  <si>
    <t>BBLGW</t>
  </si>
  <si>
    <t>BBN</t>
  </si>
  <si>
    <t>BBSI</t>
  </si>
  <si>
    <t>BBU</t>
  </si>
  <si>
    <t>BBUC</t>
  </si>
  <si>
    <t>BBVA</t>
  </si>
  <si>
    <t>BBW</t>
  </si>
  <si>
    <t>BBWI</t>
  </si>
  <si>
    <t>BC</t>
  </si>
  <si>
    <t>BC^A</t>
  </si>
  <si>
    <t>BC^B</t>
  </si>
  <si>
    <t>BC^C</t>
  </si>
  <si>
    <t>BCAB</t>
  </si>
  <si>
    <t>BCAL</t>
  </si>
  <si>
    <t>BCAN</t>
  </si>
  <si>
    <t>BCAT</t>
  </si>
  <si>
    <t>BCBP</t>
  </si>
  <si>
    <t>BCC</t>
  </si>
  <si>
    <t>BCDA</t>
  </si>
  <si>
    <t>BCDAW</t>
  </si>
  <si>
    <t>BCE</t>
  </si>
  <si>
    <t>BCEL</t>
  </si>
  <si>
    <t>BCH</t>
  </si>
  <si>
    <t>BCLI</t>
  </si>
  <si>
    <t>BCML</t>
  </si>
  <si>
    <t>BCO</t>
  </si>
  <si>
    <t>BCOV</t>
  </si>
  <si>
    <t>BCOW</t>
  </si>
  <si>
    <t>BCPC</t>
  </si>
  <si>
    <t>BCRX</t>
  </si>
  <si>
    <t>BCS</t>
  </si>
  <si>
    <t>BCSA</t>
  </si>
  <si>
    <t>BCSAU</t>
  </si>
  <si>
    <t>BCSAW</t>
  </si>
  <si>
    <t>BCSF</t>
  </si>
  <si>
    <t>BCTX</t>
  </si>
  <si>
    <t>BCTXW</t>
  </si>
  <si>
    <t>BCV</t>
  </si>
  <si>
    <t>BCV^A</t>
  </si>
  <si>
    <t>BCX</t>
  </si>
  <si>
    <t>BCYC</t>
  </si>
  <si>
    <t>BDC</t>
  </si>
  <si>
    <t>BDJ</t>
  </si>
  <si>
    <t>BDL</t>
  </si>
  <si>
    <t>BDN</t>
  </si>
  <si>
    <t>BDRX</t>
  </si>
  <si>
    <t>BDSX</t>
  </si>
  <si>
    <t>BDTX</t>
  </si>
  <si>
    <t>BDX</t>
  </si>
  <si>
    <t>BE</t>
  </si>
  <si>
    <t>BEAM</t>
  </si>
  <si>
    <t>BEAT</t>
  </si>
  <si>
    <t>BEATW</t>
  </si>
  <si>
    <t>BECN</t>
  </si>
  <si>
    <t>BEDU</t>
  </si>
  <si>
    <t>BEEM</t>
  </si>
  <si>
    <t>BEEMW</t>
  </si>
  <si>
    <t>BEEP</t>
  </si>
  <si>
    <t>BEKE</t>
  </si>
  <si>
    <t>BELFA</t>
  </si>
  <si>
    <t>BELFB</t>
  </si>
  <si>
    <t>BEN</t>
  </si>
  <si>
    <t>BENF</t>
  </si>
  <si>
    <t>BENFW</t>
  </si>
  <si>
    <t>BEP</t>
  </si>
  <si>
    <t>BEP^A</t>
  </si>
  <si>
    <t>BEPC</t>
  </si>
  <si>
    <t>BEPH</t>
  </si>
  <si>
    <t>BEPI</t>
  </si>
  <si>
    <t>BERY</t>
  </si>
  <si>
    <t>BEST</t>
  </si>
  <si>
    <t>BETR</t>
  </si>
  <si>
    <t>BETRW</t>
  </si>
  <si>
    <t>BETS</t>
  </si>
  <si>
    <t>BF/A</t>
  </si>
  <si>
    <t>BF/B</t>
  </si>
  <si>
    <t>BFAC</t>
  </si>
  <si>
    <t>BFAM</t>
  </si>
  <si>
    <t>BFC</t>
  </si>
  <si>
    <t>BFH</t>
  </si>
  <si>
    <t>BFI</t>
  </si>
  <si>
    <t>BFIIW</t>
  </si>
  <si>
    <t>BFIN</t>
  </si>
  <si>
    <t>BFK</t>
  </si>
  <si>
    <t>BFLY</t>
  </si>
  <si>
    <t>BFRG</t>
  </si>
  <si>
    <t>BFRGW</t>
  </si>
  <si>
    <t>BFRI</t>
  </si>
  <si>
    <t>BFRIW</t>
  </si>
  <si>
    <t>BFS</t>
  </si>
  <si>
    <t>BFS^D</t>
  </si>
  <si>
    <t>BFS^E</t>
  </si>
  <si>
    <t>BFST</t>
  </si>
  <si>
    <t>BFX</t>
  </si>
  <si>
    <t>BFZ</t>
  </si>
  <si>
    <t>BG</t>
  </si>
  <si>
    <t>BGB</t>
  </si>
  <si>
    <t>BGC</t>
  </si>
  <si>
    <t>BGFV</t>
  </si>
  <si>
    <t>BGH</t>
  </si>
  <si>
    <t>BGI</t>
  </si>
  <si>
    <t>BGLC</t>
  </si>
  <si>
    <t>BGNE</t>
  </si>
  <si>
    <t>BGR</t>
  </si>
  <si>
    <t>BGS</t>
  </si>
  <si>
    <t>BGSF</t>
  </si>
  <si>
    <t>BGT</t>
  </si>
  <si>
    <t>BGX</t>
  </si>
  <si>
    <t>BGXX</t>
  </si>
  <si>
    <t>BGY</t>
  </si>
  <si>
    <t>BH</t>
  </si>
  <si>
    <t>BHAC</t>
  </si>
  <si>
    <t>BHACW</t>
  </si>
  <si>
    <t>BHAT</t>
  </si>
  <si>
    <t>BHB</t>
  </si>
  <si>
    <t>BHC</t>
  </si>
  <si>
    <t>BHE</t>
  </si>
  <si>
    <t>BHF</t>
  </si>
  <si>
    <t>BHFAL</t>
  </si>
  <si>
    <t>BHFAM</t>
  </si>
  <si>
    <t>BHFAN</t>
  </si>
  <si>
    <t>BHFAO</t>
  </si>
  <si>
    <t>BHFAP</t>
  </si>
  <si>
    <t>BHG</t>
  </si>
  <si>
    <t>BHIL</t>
  </si>
  <si>
    <t>BHK</t>
  </si>
  <si>
    <t>BHLB</t>
  </si>
  <si>
    <t>BHM</t>
  </si>
  <si>
    <t>BHP</t>
  </si>
  <si>
    <t>BHR</t>
  </si>
  <si>
    <t>BHR^B</t>
  </si>
  <si>
    <t>BHR^D</t>
  </si>
  <si>
    <t>BHRB</t>
  </si>
  <si>
    <t>BHV</t>
  </si>
  <si>
    <t>BHVN</t>
  </si>
  <si>
    <t>BIAF</t>
  </si>
  <si>
    <t>BIAFW</t>
  </si>
  <si>
    <t>BIDU</t>
  </si>
  <si>
    <t>BIG</t>
  </si>
  <si>
    <t>BIGC</t>
  </si>
  <si>
    <t>BIGZ</t>
  </si>
  <si>
    <t>BIIB</t>
  </si>
  <si>
    <t>BILI</t>
  </si>
  <si>
    <t>BILL</t>
  </si>
  <si>
    <t>BIMI</t>
  </si>
  <si>
    <t>BIO</t>
  </si>
  <si>
    <t>BIO/B</t>
  </si>
  <si>
    <t>BIOL</t>
  </si>
  <si>
    <t>BIOR</t>
  </si>
  <si>
    <t>BIOX</t>
  </si>
  <si>
    <t>BIP</t>
  </si>
  <si>
    <t>BIP^A</t>
  </si>
  <si>
    <t>BIP^B</t>
  </si>
  <si>
    <t>BIPC</t>
  </si>
  <si>
    <t>BIPH</t>
  </si>
  <si>
    <t>BIPI</t>
  </si>
  <si>
    <t>BIRD</t>
  </si>
  <si>
    <t>BIRK</t>
  </si>
  <si>
    <t>BIT</t>
  </si>
  <si>
    <t>BITE</t>
  </si>
  <si>
    <t>BITF</t>
  </si>
  <si>
    <t>BIVI</t>
  </si>
  <si>
    <t>BJ</t>
  </si>
  <si>
    <t>BJDX</t>
  </si>
  <si>
    <t>BJRI</t>
  </si>
  <si>
    <t>BK</t>
  </si>
  <si>
    <t>BKCC</t>
  </si>
  <si>
    <t>BKD</t>
  </si>
  <si>
    <t>BKDT</t>
  </si>
  <si>
    <t>BKE</t>
  </si>
  <si>
    <t>BKH</t>
  </si>
  <si>
    <t>BKKT</t>
  </si>
  <si>
    <t>BKN</t>
  </si>
  <si>
    <t>BKNG</t>
  </si>
  <si>
    <t>BKR</t>
  </si>
  <si>
    <t>BKSY</t>
  </si>
  <si>
    <t>BKT</t>
  </si>
  <si>
    <t>BKTI</t>
  </si>
  <si>
    <t>BKU</t>
  </si>
  <si>
    <t>BKYI</t>
  </si>
  <si>
    <t>BL</t>
  </si>
  <si>
    <t>BLAC</t>
  </si>
  <si>
    <t>BLACR</t>
  </si>
  <si>
    <t>BLBD</t>
  </si>
  <si>
    <t>BLBX</t>
  </si>
  <si>
    <t>BLCO</t>
  </si>
  <si>
    <t>BLD</t>
  </si>
  <si>
    <t>BLDE</t>
  </si>
  <si>
    <t>BLDEW</t>
  </si>
  <si>
    <t>BLDP</t>
  </si>
  <si>
    <t>BLDR</t>
  </si>
  <si>
    <t>BLE</t>
  </si>
  <si>
    <t>BLEU</t>
  </si>
  <si>
    <t>BLEUR</t>
  </si>
  <si>
    <t>BLEUW</t>
  </si>
  <si>
    <t>BLFS</t>
  </si>
  <si>
    <t>BLFY</t>
  </si>
  <si>
    <t>BLIN</t>
  </si>
  <si>
    <t>BLK</t>
  </si>
  <si>
    <t>BLKB</t>
  </si>
  <si>
    <t>BLMN</t>
  </si>
  <si>
    <t>BLND</t>
  </si>
  <si>
    <t>BLNK</t>
  </si>
  <si>
    <t>BLRX</t>
  </si>
  <si>
    <t>BLTE</t>
  </si>
  <si>
    <t>BLUA</t>
  </si>
  <si>
    <t>BLUE</t>
  </si>
  <si>
    <t>BLW</t>
  </si>
  <si>
    <t>BLX</t>
  </si>
  <si>
    <t>BLZE</t>
  </si>
  <si>
    <t>BMA</t>
  </si>
  <si>
    <t>BMBL</t>
  </si>
  <si>
    <t>BME</t>
  </si>
  <si>
    <t>BMEA</t>
  </si>
  <si>
    <t>BMEZ</t>
  </si>
  <si>
    <t>BMI</t>
  </si>
  <si>
    <t>BML^G</t>
  </si>
  <si>
    <t>BML^H</t>
  </si>
  <si>
    <t>BML^J</t>
  </si>
  <si>
    <t>BML^L</t>
  </si>
  <si>
    <t>BMN</t>
  </si>
  <si>
    <t>BMO</t>
  </si>
  <si>
    <t>BMR</t>
  </si>
  <si>
    <t>BMRA</t>
  </si>
  <si>
    <t>BMRC</t>
  </si>
  <si>
    <t>BMRN</t>
  </si>
  <si>
    <t>BMTX</t>
  </si>
  <si>
    <t>BMY</t>
  </si>
  <si>
    <t>BN</t>
  </si>
  <si>
    <t>BNED</t>
  </si>
  <si>
    <t>BNGO</t>
  </si>
  <si>
    <t>BNH</t>
  </si>
  <si>
    <t>BNIX</t>
  </si>
  <si>
    <t>BNIXW</t>
  </si>
  <si>
    <t>BNJ</t>
  </si>
  <si>
    <t>BNL</t>
  </si>
  <si>
    <t>BNOX</t>
  </si>
  <si>
    <t>BNR</t>
  </si>
  <si>
    <t>BNRE</t>
  </si>
  <si>
    <t>BNRG</t>
  </si>
  <si>
    <t>BNS</t>
  </si>
  <si>
    <t>BNTC</t>
  </si>
  <si>
    <t>BNTX</t>
  </si>
  <si>
    <t>BNY</t>
  </si>
  <si>
    <t>BNZI</t>
  </si>
  <si>
    <t>BNZIW</t>
  </si>
  <si>
    <t>BOC</t>
  </si>
  <si>
    <t>BOCN</t>
  </si>
  <si>
    <t>BOCNW</t>
  </si>
  <si>
    <t>BODY</t>
  </si>
  <si>
    <t>BOE</t>
  </si>
  <si>
    <t>BOF</t>
  </si>
  <si>
    <t>BOH</t>
  </si>
  <si>
    <t>BOH^A</t>
  </si>
  <si>
    <t>BOKF</t>
  </si>
  <si>
    <t>BOLT</t>
  </si>
  <si>
    <t>BON</t>
  </si>
  <si>
    <t>BOOM</t>
  </si>
  <si>
    <t>BOOT</t>
  </si>
  <si>
    <t>BORR</t>
  </si>
  <si>
    <t>BOSC</t>
  </si>
  <si>
    <t>BOTJ</t>
  </si>
  <si>
    <t>BOWL</t>
  </si>
  <si>
    <t>BOWN</t>
  </si>
  <si>
    <t>BOX</t>
  </si>
  <si>
    <t>BOXL</t>
  </si>
  <si>
    <t>BP</t>
  </si>
  <si>
    <t>BPMC</t>
  </si>
  <si>
    <t>BPOP</t>
  </si>
  <si>
    <t>BPOPM</t>
  </si>
  <si>
    <t>BPRN</t>
  </si>
  <si>
    <t>BPT</t>
  </si>
  <si>
    <t>BPTH</t>
  </si>
  <si>
    <t>BPTS</t>
  </si>
  <si>
    <t>BPYPM</t>
  </si>
  <si>
    <t>BPYPN</t>
  </si>
  <si>
    <t>BPYPO</t>
  </si>
  <si>
    <t>BPYPP</t>
  </si>
  <si>
    <t>BQ</t>
  </si>
  <si>
    <t>BR</t>
  </si>
  <si>
    <t>BRAC</t>
  </si>
  <si>
    <t>BRACR</t>
  </si>
  <si>
    <t>BRAG</t>
  </si>
  <si>
    <t>BRBR</t>
  </si>
  <si>
    <t>BRBS</t>
  </si>
  <si>
    <t>BRC</t>
  </si>
  <si>
    <t>BRCC</t>
  </si>
  <si>
    <t>BRDG</t>
  </si>
  <si>
    <t>BREA</t>
  </si>
  <si>
    <t>BREZ</t>
  </si>
  <si>
    <t>BREZR</t>
  </si>
  <si>
    <t>BREZW</t>
  </si>
  <si>
    <t>BRFH</t>
  </si>
  <si>
    <t>BRFS</t>
  </si>
  <si>
    <t>BRID</t>
  </si>
  <si>
    <t>BRK/A</t>
  </si>
  <si>
    <t>BRK/B</t>
  </si>
  <si>
    <t>BRKH</t>
  </si>
  <si>
    <t>BRKHW</t>
  </si>
  <si>
    <t>BRKL</t>
  </si>
  <si>
    <t>BRKR</t>
  </si>
  <si>
    <t>BRLT</t>
  </si>
  <si>
    <t>BRN</t>
  </si>
  <si>
    <t>BRNS</t>
  </si>
  <si>
    <t>BRO</t>
  </si>
  <si>
    <t>BROG</t>
  </si>
  <si>
    <t>BROGW</t>
  </si>
  <si>
    <t>BROS</t>
  </si>
  <si>
    <t>BRP</t>
  </si>
  <si>
    <t>BRSH</t>
  </si>
  <si>
    <t>BRSHW</t>
  </si>
  <si>
    <t>BRSP</t>
  </si>
  <si>
    <t>BRT</t>
  </si>
  <si>
    <t>BRTX</t>
  </si>
  <si>
    <t>BRW</t>
  </si>
  <si>
    <t>BRX</t>
  </si>
  <si>
    <t>BRY</t>
  </si>
  <si>
    <t>BRZE</t>
  </si>
  <si>
    <t>BSAC</t>
  </si>
  <si>
    <t>BSBK</t>
  </si>
  <si>
    <t>BSBR</t>
  </si>
  <si>
    <t>BSET</t>
  </si>
  <si>
    <t>BSFC</t>
  </si>
  <si>
    <t>BSGM</t>
  </si>
  <si>
    <t>BSIG</t>
  </si>
  <si>
    <t>BSL</t>
  </si>
  <si>
    <t>BSM</t>
  </si>
  <si>
    <t>BSRR</t>
  </si>
  <si>
    <t>BST</t>
  </si>
  <si>
    <t>BSTZ</t>
  </si>
  <si>
    <t>BSVN</t>
  </si>
  <si>
    <t>BSX</t>
  </si>
  <si>
    <t>BSY</t>
  </si>
  <si>
    <t>BTA</t>
  </si>
  <si>
    <t>BTAI</t>
  </si>
  <si>
    <t>BTBD</t>
  </si>
  <si>
    <t>BTBDW</t>
  </si>
  <si>
    <t>BTBT</t>
  </si>
  <si>
    <t>BTCM</t>
  </si>
  <si>
    <t>BTCS</t>
  </si>
  <si>
    <t>BTCT</t>
  </si>
  <si>
    <t>BTCTW</t>
  </si>
  <si>
    <t>BTCY</t>
  </si>
  <si>
    <t>BTDR</t>
  </si>
  <si>
    <t>BTE</t>
  </si>
  <si>
    <t>BTG</t>
  </si>
  <si>
    <t>BTI</t>
  </si>
  <si>
    <t>BTM</t>
  </si>
  <si>
    <t>BTMD</t>
  </si>
  <si>
    <t>BTMWW</t>
  </si>
  <si>
    <t>BTO</t>
  </si>
  <si>
    <t>BTOG</t>
  </si>
  <si>
    <t>BTT</t>
  </si>
  <si>
    <t>BTTR</t>
  </si>
  <si>
    <t>BTTX</t>
  </si>
  <si>
    <t>BTU</t>
  </si>
  <si>
    <t>BTZ</t>
  </si>
  <si>
    <t>BUD</t>
  </si>
  <si>
    <t>BUI</t>
  </si>
  <si>
    <t>BUJA</t>
  </si>
  <si>
    <t>BUR</t>
  </si>
  <si>
    <t>BURL</t>
  </si>
  <si>
    <t>BURU</t>
  </si>
  <si>
    <t>BUSE</t>
  </si>
  <si>
    <t>BV</t>
  </si>
  <si>
    <t>BVFL</t>
  </si>
  <si>
    <t>BVH</t>
  </si>
  <si>
    <t>BVN</t>
  </si>
  <si>
    <t>BVS</t>
  </si>
  <si>
    <t>BW</t>
  </si>
  <si>
    <t>BW^A</t>
  </si>
  <si>
    <t>BWA</t>
  </si>
  <si>
    <t>BWAQ</t>
  </si>
  <si>
    <t>BWAY</t>
  </si>
  <si>
    <t>BWB</t>
  </si>
  <si>
    <t>BWBBP</t>
  </si>
  <si>
    <t>BWEN</t>
  </si>
  <si>
    <t>BWFG</t>
  </si>
  <si>
    <t>BWG</t>
  </si>
  <si>
    <t>BWMN</t>
  </si>
  <si>
    <t>BWMX</t>
  </si>
  <si>
    <t>BWNB</t>
  </si>
  <si>
    <t>BWSN</t>
  </si>
  <si>
    <t>BWXT</t>
  </si>
  <si>
    <t>BX</t>
  </si>
  <si>
    <t>BXC</t>
  </si>
  <si>
    <t>BXMT</t>
  </si>
  <si>
    <t>BXMX</t>
  </si>
  <si>
    <t>BXP</t>
  </si>
  <si>
    <t>BXSL</t>
  </si>
  <si>
    <t>BY</t>
  </si>
  <si>
    <t>BYD</t>
  </si>
  <si>
    <t>BYFC</t>
  </si>
  <si>
    <t>BYM</t>
  </si>
  <si>
    <t>BYND</t>
  </si>
  <si>
    <t>BYNO</t>
  </si>
  <si>
    <t>BYON</t>
  </si>
  <si>
    <t>BYRN</t>
  </si>
  <si>
    <t>BYSI</t>
  </si>
  <si>
    <t>BYU</t>
  </si>
  <si>
    <t>BZ</t>
  </si>
  <si>
    <t>BZFD</t>
  </si>
  <si>
    <t>BZFDW</t>
  </si>
  <si>
    <t>BZH</t>
  </si>
  <si>
    <t>BZUN</t>
  </si>
  <si>
    <t>C</t>
  </si>
  <si>
    <t>C^J</t>
  </si>
  <si>
    <t>C^N</t>
  </si>
  <si>
    <t>CAAP</t>
  </si>
  <si>
    <t>CAAS</t>
  </si>
  <si>
    <t>CABA</t>
  </si>
  <si>
    <t>CABO</t>
  </si>
  <si>
    <t>CAC</t>
  </si>
  <si>
    <t>CACC</t>
  </si>
  <si>
    <t>CACI</t>
  </si>
  <si>
    <t>CACO</t>
  </si>
  <si>
    <t>CADE</t>
  </si>
  <si>
    <t>CADE^A</t>
  </si>
  <si>
    <t>CADL</t>
  </si>
  <si>
    <t>CAE</t>
  </si>
  <si>
    <t>CAF</t>
  </si>
  <si>
    <t>CAG</t>
  </si>
  <si>
    <t>CAH</t>
  </si>
  <si>
    <t>CAKE</t>
  </si>
  <si>
    <t>CAL</t>
  </si>
  <si>
    <t>CALB</t>
  </si>
  <si>
    <t>CALC</t>
  </si>
  <si>
    <t>CALM</t>
  </si>
  <si>
    <t>CALT</t>
  </si>
  <si>
    <t>CALX</t>
  </si>
  <si>
    <t>CAMP</t>
  </si>
  <si>
    <t>CAMT</t>
  </si>
  <si>
    <t>CAN</t>
  </si>
  <si>
    <t>CANF</t>
  </si>
  <si>
    <t>CANG</t>
  </si>
  <si>
    <t>CANO</t>
  </si>
  <si>
    <t>CAPL</t>
  </si>
  <si>
    <t>CAPR</t>
  </si>
  <si>
    <t>CAPT</t>
  </si>
  <si>
    <t>CAPTW</t>
  </si>
  <si>
    <t>CAR</t>
  </si>
  <si>
    <t>CARA</t>
  </si>
  <si>
    <t>CARE</t>
  </si>
  <si>
    <t>CARG</t>
  </si>
  <si>
    <t>CARM</t>
  </si>
  <si>
    <t>CARR</t>
  </si>
  <si>
    <t>CARS</t>
  </si>
  <si>
    <t>CART</t>
  </si>
  <si>
    <t>CARV</t>
  </si>
  <si>
    <t>CASA</t>
  </si>
  <si>
    <t>CASH</t>
  </si>
  <si>
    <t>CASI</t>
  </si>
  <si>
    <t>CASS</t>
  </si>
  <si>
    <t>CASY</t>
  </si>
  <si>
    <t>CAT</t>
  </si>
  <si>
    <t>CATC</t>
  </si>
  <si>
    <t>CATO</t>
  </si>
  <si>
    <t>CATX</t>
  </si>
  <si>
    <t>CATY</t>
  </si>
  <si>
    <t>CAUD</t>
  </si>
  <si>
    <t>CAVA</t>
  </si>
  <si>
    <t>CB</t>
  </si>
  <si>
    <t>CBAN</t>
  </si>
  <si>
    <t>CBAT</t>
  </si>
  <si>
    <t>CBAY</t>
  </si>
  <si>
    <t>CBD</t>
  </si>
  <si>
    <t>CBFV</t>
  </si>
  <si>
    <t>CBH</t>
  </si>
  <si>
    <t>CBL</t>
  </si>
  <si>
    <t>CBNK</t>
  </si>
  <si>
    <t>CBOE</t>
  </si>
  <si>
    <t>CBRE</t>
  </si>
  <si>
    <t>CBRG</t>
  </si>
  <si>
    <t>CBRGU</t>
  </si>
  <si>
    <t>CBRL</t>
  </si>
  <si>
    <t>CBSH</t>
  </si>
  <si>
    <t>CBT</t>
  </si>
  <si>
    <t>CBU</t>
  </si>
  <si>
    <t>CBUS</t>
  </si>
  <si>
    <t>CBZ</t>
  </si>
  <si>
    <t>CC</t>
  </si>
  <si>
    <t>CCAP</t>
  </si>
  <si>
    <t>CCB</t>
  </si>
  <si>
    <t>CCBG</t>
  </si>
  <si>
    <t>CCCC</t>
  </si>
  <si>
    <t>CCCS</t>
  </si>
  <si>
    <t>CCD</t>
  </si>
  <si>
    <t>CCEL</t>
  </si>
  <si>
    <t>CCEP</t>
  </si>
  <si>
    <t>CCG</t>
  </si>
  <si>
    <t>CCGWW</t>
  </si>
  <si>
    <t>CCI</t>
  </si>
  <si>
    <t>CCIA</t>
  </si>
  <si>
    <t>CCIF</t>
  </si>
  <si>
    <t>CCJ</t>
  </si>
  <si>
    <t>CCK</t>
  </si>
  <si>
    <t>CCL</t>
  </si>
  <si>
    <t>CCLD</t>
  </si>
  <si>
    <t>CCLDO</t>
  </si>
  <si>
    <t>CCLDP</t>
  </si>
  <si>
    <t>CCLP</t>
  </si>
  <si>
    <t>CCM</t>
  </si>
  <si>
    <t>CCNE</t>
  </si>
  <si>
    <t>CCNEP</t>
  </si>
  <si>
    <t>CCO</t>
  </si>
  <si>
    <t>CCOI</t>
  </si>
  <si>
    <t>CCRD</t>
  </si>
  <si>
    <t>CCRN</t>
  </si>
  <si>
    <t>CCS</t>
  </si>
  <si>
    <t>CCSI</t>
  </si>
  <si>
    <t>CCTS</t>
  </si>
  <si>
    <t>CCU</t>
  </si>
  <si>
    <t>CCZ</t>
  </si>
  <si>
    <t>CDAQ</t>
  </si>
  <si>
    <t>CDAY</t>
  </si>
  <si>
    <t>CDE</t>
  </si>
  <si>
    <t>CDIO</t>
  </si>
  <si>
    <t>CDIOW</t>
  </si>
  <si>
    <t>CDLR</t>
  </si>
  <si>
    <t>CDLX</t>
  </si>
  <si>
    <t>CDMO</t>
  </si>
  <si>
    <t>CDNA</t>
  </si>
  <si>
    <t>CDNS</t>
  </si>
  <si>
    <t>CDP</t>
  </si>
  <si>
    <t>CDR^B</t>
  </si>
  <si>
    <t>CDR^C</t>
  </si>
  <si>
    <t>CDRE</t>
  </si>
  <si>
    <t>CDRO</t>
  </si>
  <si>
    <t>CDROW</t>
  </si>
  <si>
    <t>CDT</t>
  </si>
  <si>
    <t>CDTTW</t>
  </si>
  <si>
    <t>CDTX</t>
  </si>
  <si>
    <t>CDW</t>
  </si>
  <si>
    <t>CDXC</t>
  </si>
  <si>
    <t>CDXS</t>
  </si>
  <si>
    <t>CDZI</t>
  </si>
  <si>
    <t>CDZIP</t>
  </si>
  <si>
    <t>CE</t>
  </si>
  <si>
    <t>CEAD</t>
  </si>
  <si>
    <t>CECO</t>
  </si>
  <si>
    <t>CEE</t>
  </si>
  <si>
    <t>CEG</t>
  </si>
  <si>
    <t>CEI</t>
  </si>
  <si>
    <t>CEIX</t>
  </si>
  <si>
    <t>CELC</t>
  </si>
  <si>
    <t>CELH</t>
  </si>
  <si>
    <t>CELU</t>
  </si>
  <si>
    <t>CELUW</t>
  </si>
  <si>
    <t>CELZ</t>
  </si>
  <si>
    <t>CEM</t>
  </si>
  <si>
    <t>CENN</t>
  </si>
  <si>
    <t>CENT</t>
  </si>
  <si>
    <t>CENTA</t>
  </si>
  <si>
    <t>CENX</t>
  </si>
  <si>
    <t>CEPU</t>
  </si>
  <si>
    <t>CERE</t>
  </si>
  <si>
    <t>CERS</t>
  </si>
  <si>
    <t>CERT</t>
  </si>
  <si>
    <t>CET</t>
  </si>
  <si>
    <t>CETU</t>
  </si>
  <si>
    <t>CETUR</t>
  </si>
  <si>
    <t>CETUW</t>
  </si>
  <si>
    <t>CETX</t>
  </si>
  <si>
    <t>CETXP</t>
  </si>
  <si>
    <t>CETY</t>
  </si>
  <si>
    <t>CEV</t>
  </si>
  <si>
    <t>CEVA</t>
  </si>
  <si>
    <t>CF</t>
  </si>
  <si>
    <t>CFB</t>
  </si>
  <si>
    <t>CFBK</t>
  </si>
  <si>
    <t>CFFI</t>
  </si>
  <si>
    <t>CFFN</t>
  </si>
  <si>
    <t>CFFS</t>
  </si>
  <si>
    <t>CFG</t>
  </si>
  <si>
    <t>CFG^D</t>
  </si>
  <si>
    <t>CFG^E</t>
  </si>
  <si>
    <t>CFLT</t>
  </si>
  <si>
    <t>CFR</t>
  </si>
  <si>
    <t>CFR^B</t>
  </si>
  <si>
    <t>CFSB</t>
  </si>
  <si>
    <t>CG</t>
  </si>
  <si>
    <t>CGA</t>
  </si>
  <si>
    <t>CGABL</t>
  </si>
  <si>
    <t>CGAU</t>
  </si>
  <si>
    <t>CGBD</t>
  </si>
  <si>
    <t>CGBDL</t>
  </si>
  <si>
    <t>CGC</t>
  </si>
  <si>
    <t>CGEM</t>
  </si>
  <si>
    <t>CGEN</t>
  </si>
  <si>
    <t>CGNT</t>
  </si>
  <si>
    <t>CGNX</t>
  </si>
  <si>
    <t>CGO</t>
  </si>
  <si>
    <t>CGTX</t>
  </si>
  <si>
    <t>CHAA</t>
  </si>
  <si>
    <t>CHCI</t>
  </si>
  <si>
    <t>CHCO</t>
  </si>
  <si>
    <t>CHCT</t>
  </si>
  <si>
    <t>CHD</t>
  </si>
  <si>
    <t>CHDN</t>
  </si>
  <si>
    <t>CHE</t>
  </si>
  <si>
    <t>CHEA</t>
  </si>
  <si>
    <t>CHEF</t>
  </si>
  <si>
    <t>CHEK</t>
  </si>
  <si>
    <t>CHGG</t>
  </si>
  <si>
    <t>CHH</t>
  </si>
  <si>
    <t>CHI</t>
  </si>
  <si>
    <t>CHK</t>
  </si>
  <si>
    <t>CHKEL</t>
  </si>
  <si>
    <t>CHKEW</t>
  </si>
  <si>
    <t>CHKEZ</t>
  </si>
  <si>
    <t>CHKP</t>
  </si>
  <si>
    <t>CHMG</t>
  </si>
  <si>
    <t>CHMI</t>
  </si>
  <si>
    <t>CHMI^A</t>
  </si>
  <si>
    <t>CHMI^B</t>
  </si>
  <si>
    <t>CHN</t>
  </si>
  <si>
    <t>CHNR</t>
  </si>
  <si>
    <t>CHPT</t>
  </si>
  <si>
    <t>CHR</t>
  </si>
  <si>
    <t>CHRD</t>
  </si>
  <si>
    <t>CHRS</t>
  </si>
  <si>
    <t>CHRW</t>
  </si>
  <si>
    <t>CHSCL</t>
  </si>
  <si>
    <t>CHSCM</t>
  </si>
  <si>
    <t>CHSCN</t>
  </si>
  <si>
    <t>CHSCO</t>
  </si>
  <si>
    <t>CHSCP</t>
  </si>
  <si>
    <t>CHSN</t>
  </si>
  <si>
    <t>CHT</t>
  </si>
  <si>
    <t>CHTR</t>
  </si>
  <si>
    <t>CHUY</t>
  </si>
  <si>
    <t>CHW</t>
  </si>
  <si>
    <t>CHWY</t>
  </si>
  <si>
    <t>CHX</t>
  </si>
  <si>
    <t>CHY</t>
  </si>
  <si>
    <t>CI</t>
  </si>
  <si>
    <t>CIA</t>
  </si>
  <si>
    <t>CIB</t>
  </si>
  <si>
    <t>CIEN</t>
  </si>
  <si>
    <t>CIF</t>
  </si>
  <si>
    <t>CIFR</t>
  </si>
  <si>
    <t>CIFRW</t>
  </si>
  <si>
    <t>CIG</t>
  </si>
  <si>
    <t>CIGI</t>
  </si>
  <si>
    <t>CII</t>
  </si>
  <si>
    <t>CIK</t>
  </si>
  <si>
    <t>CIM</t>
  </si>
  <si>
    <t>CIM^A</t>
  </si>
  <si>
    <t>CIM^B</t>
  </si>
  <si>
    <t>CIM^C</t>
  </si>
  <si>
    <t>CIM^D</t>
  </si>
  <si>
    <t>CINF</t>
  </si>
  <si>
    <t>CING</t>
  </si>
  <si>
    <t>CINGW</t>
  </si>
  <si>
    <t>CINT</t>
  </si>
  <si>
    <t>CIO</t>
  </si>
  <si>
    <t>CIO^A</t>
  </si>
  <si>
    <t>CION</t>
  </si>
  <si>
    <t>CISO</t>
  </si>
  <si>
    <t>CISS</t>
  </si>
  <si>
    <t>CITE</t>
  </si>
  <si>
    <t>CIVB</t>
  </si>
  <si>
    <t>CIVI</t>
  </si>
  <si>
    <t>CIX</t>
  </si>
  <si>
    <t>CJET</t>
  </si>
  <si>
    <t>CJJD</t>
  </si>
  <si>
    <t>CKPT</t>
  </si>
  <si>
    <t>CKX</t>
  </si>
  <si>
    <t>CL</t>
  </si>
  <si>
    <t>CLAR</t>
  </si>
  <si>
    <t>CLB</t>
  </si>
  <si>
    <t>CLBK</t>
  </si>
  <si>
    <t>CLBT</t>
  </si>
  <si>
    <t>CLBTW</t>
  </si>
  <si>
    <t>CLCO</t>
  </si>
  <si>
    <t>CLDI</t>
  </si>
  <si>
    <t>CLDT</t>
  </si>
  <si>
    <t>CLDT^A</t>
  </si>
  <si>
    <t>CLDX</t>
  </si>
  <si>
    <t>CLEU</t>
  </si>
  <si>
    <t>CLF</t>
  </si>
  <si>
    <t>CLFD</t>
  </si>
  <si>
    <t>CLGN</t>
  </si>
  <si>
    <t>CLH</t>
  </si>
  <si>
    <t>CLIR</t>
  </si>
  <si>
    <t>CLLS</t>
  </si>
  <si>
    <t>CLM</t>
  </si>
  <si>
    <t>CLMB</t>
  </si>
  <si>
    <t>CLMT</t>
  </si>
  <si>
    <t>CLNE</t>
  </si>
  <si>
    <t>CLNN</t>
  </si>
  <si>
    <t>CLNNW</t>
  </si>
  <si>
    <t>CLOE</t>
  </si>
  <si>
    <t>CLOER</t>
  </si>
  <si>
    <t>CLOV</t>
  </si>
  <si>
    <t>CLPR</t>
  </si>
  <si>
    <t>CLPS</t>
  </si>
  <si>
    <t>CLPT</t>
  </si>
  <si>
    <t>CLRB</t>
  </si>
  <si>
    <t>CLRC</t>
  </si>
  <si>
    <t>CLRCR</t>
  </si>
  <si>
    <t>CLRCW</t>
  </si>
  <si>
    <t>CLRO</t>
  </si>
  <si>
    <t>CLS</t>
  </si>
  <si>
    <t>CLSD</t>
  </si>
  <si>
    <t>CLSK</t>
  </si>
  <si>
    <t>CLST</t>
  </si>
  <si>
    <t>CLVR</t>
  </si>
  <si>
    <t>CLVRW</t>
  </si>
  <si>
    <t>CLVT</t>
  </si>
  <si>
    <t>CLVT^A</t>
  </si>
  <si>
    <t>CLW</t>
  </si>
  <si>
    <t>CLWT</t>
  </si>
  <si>
    <t>CLX</t>
  </si>
  <si>
    <t>CM</t>
  </si>
  <si>
    <t>CMA</t>
  </si>
  <si>
    <t>CMAX</t>
  </si>
  <si>
    <t>CMAXW</t>
  </si>
  <si>
    <t>CMBM</t>
  </si>
  <si>
    <t>CMC</t>
  </si>
  <si>
    <t>CMCA</t>
  </si>
  <si>
    <t>CMCL</t>
  </si>
  <si>
    <t>CMCM</t>
  </si>
  <si>
    <t>CMCO</t>
  </si>
  <si>
    <t>CMCSA</t>
  </si>
  <si>
    <t>CMCT</t>
  </si>
  <si>
    <t>CME</t>
  </si>
  <si>
    <t>CMG</t>
  </si>
  <si>
    <t>CMI</t>
  </si>
  <si>
    <t>CMLS</t>
  </si>
  <si>
    <t>CMMB</t>
  </si>
  <si>
    <t>CMND</t>
  </si>
  <si>
    <t>CMP</t>
  </si>
  <si>
    <t>CMPO</t>
  </si>
  <si>
    <t>CMPOW</t>
  </si>
  <si>
    <t>CMPR</t>
  </si>
  <si>
    <t>CMPS</t>
  </si>
  <si>
    <t>CMPX</t>
  </si>
  <si>
    <t>CMRE</t>
  </si>
  <si>
    <t>CMRE^B</t>
  </si>
  <si>
    <t>CMRE^C</t>
  </si>
  <si>
    <t>CMRE^D</t>
  </si>
  <si>
    <t>CMRE^E</t>
  </si>
  <si>
    <t>CMRX</t>
  </si>
  <si>
    <t>CMS</t>
  </si>
  <si>
    <t>CMS^B</t>
  </si>
  <si>
    <t>CMS^C</t>
  </si>
  <si>
    <t>CMSA</t>
  </si>
  <si>
    <t>CMSC</t>
  </si>
  <si>
    <t>CMSD</t>
  </si>
  <si>
    <t>CMT</t>
  </si>
  <si>
    <t>CMTG</t>
  </si>
  <si>
    <t>CMTL</t>
  </si>
  <si>
    <t>CMU</t>
  </si>
  <si>
    <t>CNA</t>
  </si>
  <si>
    <t>CNC</t>
  </si>
  <si>
    <t>CNDA</t>
  </si>
  <si>
    <t>CNDB</t>
  </si>
  <si>
    <t>CNDT</t>
  </si>
  <si>
    <t>CNET</t>
  </si>
  <si>
    <t>CNEY</t>
  </si>
  <si>
    <t>CNF</t>
  </si>
  <si>
    <t>CNFR</t>
  </si>
  <si>
    <t>CNFRZ</t>
  </si>
  <si>
    <t>CNGL</t>
  </si>
  <si>
    <t>CNGLU</t>
  </si>
  <si>
    <t>CNHI</t>
  </si>
  <si>
    <t>CNI</t>
  </si>
  <si>
    <t>CNK</t>
  </si>
  <si>
    <t>CNM</t>
  </si>
  <si>
    <t>CNMD</t>
  </si>
  <si>
    <t>CNNE</t>
  </si>
  <si>
    <t>CNO</t>
  </si>
  <si>
    <t>CNO^A</t>
  </si>
  <si>
    <t>CNOB</t>
  </si>
  <si>
    <t>CNOBP</t>
  </si>
  <si>
    <t>CNP</t>
  </si>
  <si>
    <t>CNQ</t>
  </si>
  <si>
    <t>CNS</t>
  </si>
  <si>
    <t>CNSL</t>
  </si>
  <si>
    <t>CNSP</t>
  </si>
  <si>
    <t>CNTA</t>
  </si>
  <si>
    <t>CNTB</t>
  </si>
  <si>
    <t>CNTG</t>
  </si>
  <si>
    <t>CNTX</t>
  </si>
  <si>
    <t>CNTY</t>
  </si>
  <si>
    <t>CNVS</t>
  </si>
  <si>
    <t>CNX</t>
  </si>
  <si>
    <t>CNXA</t>
  </si>
  <si>
    <t>CNXC</t>
  </si>
  <si>
    <t>CNXN</t>
  </si>
  <si>
    <t>COCH</t>
  </si>
  <si>
    <t>COCHW</t>
  </si>
  <si>
    <t>COCO</t>
  </si>
  <si>
    <t>COCP</t>
  </si>
  <si>
    <t>CODA</t>
  </si>
  <si>
    <t>CODI</t>
  </si>
  <si>
    <t>CODI^A</t>
  </si>
  <si>
    <t>CODI^B</t>
  </si>
  <si>
    <t>CODI^C</t>
  </si>
  <si>
    <t>CODX</t>
  </si>
  <si>
    <t>COE</t>
  </si>
  <si>
    <t>COEP</t>
  </si>
  <si>
    <t>COEPW</t>
  </si>
  <si>
    <t>COF</t>
  </si>
  <si>
    <t>COF^I</t>
  </si>
  <si>
    <t>COF^J</t>
  </si>
  <si>
    <t>COF^K</t>
  </si>
  <si>
    <t>COF^L</t>
  </si>
  <si>
    <t>COF^N</t>
  </si>
  <si>
    <t>COFS</t>
  </si>
  <si>
    <t>COGT</t>
  </si>
  <si>
    <t>COHN</t>
  </si>
  <si>
    <t>COHR</t>
  </si>
  <si>
    <t>COHU</t>
  </si>
  <si>
    <t>COIN</t>
  </si>
  <si>
    <t>COKE</t>
  </si>
  <si>
    <t>COLB</t>
  </si>
  <si>
    <t>COLD</t>
  </si>
  <si>
    <t>COLL</t>
  </si>
  <si>
    <t>COLM</t>
  </si>
  <si>
    <t>COMM</t>
  </si>
  <si>
    <t>COMP</t>
  </si>
  <si>
    <t>COMS</t>
  </si>
  <si>
    <t>COMSP</t>
  </si>
  <si>
    <t>CONN</t>
  </si>
  <si>
    <t>CONX</t>
  </si>
  <si>
    <t>CONXW</t>
  </si>
  <si>
    <t>COO</t>
  </si>
  <si>
    <t>COOK</t>
  </si>
  <si>
    <t>COOL</t>
  </si>
  <si>
    <t>COOLU</t>
  </si>
  <si>
    <t>COOLW</t>
  </si>
  <si>
    <t>COOP</t>
  </si>
  <si>
    <t>COP</t>
  </si>
  <si>
    <t>COR</t>
  </si>
  <si>
    <t>CORT</t>
  </si>
  <si>
    <t>COSM</t>
  </si>
  <si>
    <t>COST</t>
  </si>
  <si>
    <t>COTY</t>
  </si>
  <si>
    <t>COUR</t>
  </si>
  <si>
    <t>COYA</t>
  </si>
  <si>
    <t>CP</t>
  </si>
  <si>
    <t>CPA</t>
  </si>
  <si>
    <t>CPAC</t>
  </si>
  <si>
    <t>CPB</t>
  </si>
  <si>
    <t>CPBI</t>
  </si>
  <si>
    <t>CPE</t>
  </si>
  <si>
    <t>CPF</t>
  </si>
  <si>
    <t>CPG</t>
  </si>
  <si>
    <t>CPHC</t>
  </si>
  <si>
    <t>CPHI</t>
  </si>
  <si>
    <t>CPIX</t>
  </si>
  <si>
    <t>CPK</t>
  </si>
  <si>
    <t>CPLP</t>
  </si>
  <si>
    <t>CPNG</t>
  </si>
  <si>
    <t>CPOP</t>
  </si>
  <si>
    <t>CPRI</t>
  </si>
  <si>
    <t>CPRT</t>
  </si>
  <si>
    <t>CPRX</t>
  </si>
  <si>
    <t>CPS</t>
  </si>
  <si>
    <t>CPSH</t>
  </si>
  <si>
    <t>CPSI</t>
  </si>
  <si>
    <t>CPSS</t>
  </si>
  <si>
    <t>CPT</t>
  </si>
  <si>
    <t>CPTK</t>
  </si>
  <si>
    <t>CPTN</t>
  </si>
  <si>
    <t>CPTNW</t>
  </si>
  <si>
    <t>CPZ</t>
  </si>
  <si>
    <t>CQP</t>
  </si>
  <si>
    <t>CR</t>
  </si>
  <si>
    <t>CRAI</t>
  </si>
  <si>
    <t>CRBG</t>
  </si>
  <si>
    <t>CRBP</t>
  </si>
  <si>
    <t>CRBU</t>
  </si>
  <si>
    <t>CRC</t>
  </si>
  <si>
    <t>CRCT</t>
  </si>
  <si>
    <t>CRD/A</t>
  </si>
  <si>
    <t>CRD/B</t>
  </si>
  <si>
    <t>CRDF</t>
  </si>
  <si>
    <t>CRDL</t>
  </si>
  <si>
    <t>CRDO</t>
  </si>
  <si>
    <t>CREG</t>
  </si>
  <si>
    <t>CRESW</t>
  </si>
  <si>
    <t>CRESY</t>
  </si>
  <si>
    <t>CREV</t>
  </si>
  <si>
    <t>CREVW</t>
  </si>
  <si>
    <t>CREX</t>
  </si>
  <si>
    <t>CRF</t>
  </si>
  <si>
    <t>CRGE</t>
  </si>
  <si>
    <t>CRGO</t>
  </si>
  <si>
    <t>CRGOW</t>
  </si>
  <si>
    <t>CRGX</t>
  </si>
  <si>
    <t>CRGY</t>
  </si>
  <si>
    <t>CRH</t>
  </si>
  <si>
    <t>CRI</t>
  </si>
  <si>
    <t>CRIS</t>
  </si>
  <si>
    <t>CRK</t>
  </si>
  <si>
    <t>CRKN</t>
  </si>
  <si>
    <t>CRL</t>
  </si>
  <si>
    <t>CRM</t>
  </si>
  <si>
    <t>CRMD</t>
  </si>
  <si>
    <t>CRMT</t>
  </si>
  <si>
    <t>CRNC</t>
  </si>
  <si>
    <t>CRNT</t>
  </si>
  <si>
    <t>CRNX</t>
  </si>
  <si>
    <t>CRON</t>
  </si>
  <si>
    <t>CROX</t>
  </si>
  <si>
    <t>CRS</t>
  </si>
  <si>
    <t>CRSP</t>
  </si>
  <si>
    <t>CRSR</t>
  </si>
  <si>
    <t>CRT</t>
  </si>
  <si>
    <t>CRTO</t>
  </si>
  <si>
    <t>CRUS</t>
  </si>
  <si>
    <t>CRVL</t>
  </si>
  <si>
    <t>CRVO</t>
  </si>
  <si>
    <t>CRVS</t>
  </si>
  <si>
    <t>CRWD</t>
  </si>
  <si>
    <t>CRWS</t>
  </si>
  <si>
    <t>CSAN</t>
  </si>
  <si>
    <t>CSBR</t>
  </si>
  <si>
    <t>CSCO</t>
  </si>
  <si>
    <t>CSGP</t>
  </si>
  <si>
    <t>CSGS</t>
  </si>
  <si>
    <t>CSIQ</t>
  </si>
  <si>
    <t>CSL</t>
  </si>
  <si>
    <t>CSLM</t>
  </si>
  <si>
    <t>CSLMR</t>
  </si>
  <si>
    <t>CSLR</t>
  </si>
  <si>
    <t>CSLRW</t>
  </si>
  <si>
    <t>CSPI</t>
  </si>
  <si>
    <t>CSQ</t>
  </si>
  <si>
    <t>CSR</t>
  </si>
  <si>
    <t>CSR^C</t>
  </si>
  <si>
    <t>CSSE</t>
  </si>
  <si>
    <t>CSSEL</t>
  </si>
  <si>
    <t>CSSEN</t>
  </si>
  <si>
    <t>CSSEP</t>
  </si>
  <si>
    <t>CSTA</t>
  </si>
  <si>
    <t>CSTE</t>
  </si>
  <si>
    <t>CSTL</t>
  </si>
  <si>
    <t>CSTM</t>
  </si>
  <si>
    <t>CSTR</t>
  </si>
  <si>
    <t>CSV</t>
  </si>
  <si>
    <t>CSWC</t>
  </si>
  <si>
    <t>CSWCZ</t>
  </si>
  <si>
    <t>CSWI</t>
  </si>
  <si>
    <t>CSX</t>
  </si>
  <si>
    <t>CTA^A</t>
  </si>
  <si>
    <t>CTA^B</t>
  </si>
  <si>
    <t>CTAS</t>
  </si>
  <si>
    <t>CTBB</t>
  </si>
  <si>
    <t>CTBI</t>
  </si>
  <si>
    <t>CTCX</t>
  </si>
  <si>
    <t>CTCXW</t>
  </si>
  <si>
    <t>CTDD</t>
  </si>
  <si>
    <t>CTGO</t>
  </si>
  <si>
    <t>CTHR</t>
  </si>
  <si>
    <t>CTKB</t>
  </si>
  <si>
    <t>CTLP</t>
  </si>
  <si>
    <t>CTLT</t>
  </si>
  <si>
    <t>CTM</t>
  </si>
  <si>
    <t>CTMX</t>
  </si>
  <si>
    <t>CTNT</t>
  </si>
  <si>
    <t>CTO</t>
  </si>
  <si>
    <t>CTO^A</t>
  </si>
  <si>
    <t>CTOS</t>
  </si>
  <si>
    <t>CTR</t>
  </si>
  <si>
    <t>CTRA</t>
  </si>
  <si>
    <t>CTRE</t>
  </si>
  <si>
    <t>CTRM</t>
  </si>
  <si>
    <t>CTRN</t>
  </si>
  <si>
    <t>CTS</t>
  </si>
  <si>
    <t>CTSH</t>
  </si>
  <si>
    <t>CTSO</t>
  </si>
  <si>
    <t>CTV</t>
  </si>
  <si>
    <t>CTVA</t>
  </si>
  <si>
    <t>CTXR</t>
  </si>
  <si>
    <t>CUBA</t>
  </si>
  <si>
    <t>CUBB</t>
  </si>
  <si>
    <t>CUBE</t>
  </si>
  <si>
    <t>CUBI</t>
  </si>
  <si>
    <t>CUBI^E</t>
  </si>
  <si>
    <t>CUBI^F</t>
  </si>
  <si>
    <t>CUE</t>
  </si>
  <si>
    <t>CUK</t>
  </si>
  <si>
    <t>CULL</t>
  </si>
  <si>
    <t>CULP</t>
  </si>
  <si>
    <t>CURI</t>
  </si>
  <si>
    <t>CURIW</t>
  </si>
  <si>
    <t>CURO</t>
  </si>
  <si>
    <t>CURV</t>
  </si>
  <si>
    <t>CUTR</t>
  </si>
  <si>
    <t>CUZ</t>
  </si>
  <si>
    <t>CVAC</t>
  </si>
  <si>
    <t>CVBF</t>
  </si>
  <si>
    <t>CVCO</t>
  </si>
  <si>
    <t>CVCY</t>
  </si>
  <si>
    <t>CVE</t>
  </si>
  <si>
    <t>CVEO</t>
  </si>
  <si>
    <t>CVGI</t>
  </si>
  <si>
    <t>CVGW</t>
  </si>
  <si>
    <t>CVI</t>
  </si>
  <si>
    <t>CVII</t>
  </si>
  <si>
    <t>CVKD</t>
  </si>
  <si>
    <t>CVLG</t>
  </si>
  <si>
    <t>CVLT</t>
  </si>
  <si>
    <t>CVLY</t>
  </si>
  <si>
    <t>CVM</t>
  </si>
  <si>
    <t>CVNA</t>
  </si>
  <si>
    <t>CVR</t>
  </si>
  <si>
    <t>CVRX</t>
  </si>
  <si>
    <t>CVS</t>
  </si>
  <si>
    <t>CVU</t>
  </si>
  <si>
    <t>CVV</t>
  </si>
  <si>
    <t>CVX</t>
  </si>
  <si>
    <t>CW</t>
  </si>
  <si>
    <t>CWAN</t>
  </si>
  <si>
    <t>CWBC</t>
  </si>
  <si>
    <t>CWCO</t>
  </si>
  <si>
    <t>CWD</t>
  </si>
  <si>
    <t>CWEN</t>
  </si>
  <si>
    <t>CWH</t>
  </si>
  <si>
    <t>CWK</t>
  </si>
  <si>
    <t>CWST</t>
  </si>
  <si>
    <t>CWT</t>
  </si>
  <si>
    <t>CX</t>
  </si>
  <si>
    <t>CXAI</t>
  </si>
  <si>
    <t>CXAIW</t>
  </si>
  <si>
    <t>CXDO</t>
  </si>
  <si>
    <t>CXE</t>
  </si>
  <si>
    <t>CXH</t>
  </si>
  <si>
    <t>CXM</t>
  </si>
  <si>
    <t>CXT</t>
  </si>
  <si>
    <t>CXW</t>
  </si>
  <si>
    <t>CYAN</t>
  </si>
  <si>
    <t>CYBN</t>
  </si>
  <si>
    <t>CYBR</t>
  </si>
  <si>
    <t>CYCC</t>
  </si>
  <si>
    <t>CYCCP</t>
  </si>
  <si>
    <t>CYCN</t>
  </si>
  <si>
    <t>CYD</t>
  </si>
  <si>
    <t>CYH</t>
  </si>
  <si>
    <t>CYN</t>
  </si>
  <si>
    <t>CYRX</t>
  </si>
  <si>
    <t>CYT</t>
  </si>
  <si>
    <t>CYTH</t>
  </si>
  <si>
    <t>CYTHW</t>
  </si>
  <si>
    <t>CYTK</t>
  </si>
  <si>
    <t>CYTO</t>
  </si>
  <si>
    <t>CZFS</t>
  </si>
  <si>
    <t>CZNC</t>
  </si>
  <si>
    <t>CZOO</t>
  </si>
  <si>
    <t>CZR</t>
  </si>
  <si>
    <t>CZWI</t>
  </si>
  <si>
    <t>D</t>
  </si>
  <si>
    <t>DAC</t>
  </si>
  <si>
    <t>DADA</t>
  </si>
  <si>
    <t>DAIO</t>
  </si>
  <si>
    <t>DAKT</t>
  </si>
  <si>
    <t>DAL</t>
  </si>
  <si>
    <t>DALN</t>
  </si>
  <si>
    <t>DAN</t>
  </si>
  <si>
    <t>DAO</t>
  </si>
  <si>
    <t>DAR</t>
  </si>
  <si>
    <t>DARE</t>
  </si>
  <si>
    <t>DASH</t>
  </si>
  <si>
    <t>DATS</t>
  </si>
  <si>
    <t>DATSW</t>
  </si>
  <si>
    <t>DAVA</t>
  </si>
  <si>
    <t>DAVE</t>
  </si>
  <si>
    <t>DAVEW</t>
  </si>
  <si>
    <t>DAWN</t>
  </si>
  <si>
    <t>DB</t>
  </si>
  <si>
    <t>DBD</t>
  </si>
  <si>
    <t>DBGI</t>
  </si>
  <si>
    <t>DBGIW</t>
  </si>
  <si>
    <t>DBI</t>
  </si>
  <si>
    <t>DBL</t>
  </si>
  <si>
    <t>DBRG</t>
  </si>
  <si>
    <t>DBRG^H</t>
  </si>
  <si>
    <t>DBRG^I</t>
  </si>
  <si>
    <t>DBRG^J</t>
  </si>
  <si>
    <t>DBVT</t>
  </si>
  <si>
    <t>DBX</t>
  </si>
  <si>
    <t>DC</t>
  </si>
  <si>
    <t>DCBO</t>
  </si>
  <si>
    <t>DCF</t>
  </si>
  <si>
    <t>DCFC</t>
  </si>
  <si>
    <t>DCFCW</t>
  </si>
  <si>
    <t>DCGO</t>
  </si>
  <si>
    <t>DCI</t>
  </si>
  <si>
    <t>DCO</t>
  </si>
  <si>
    <t>DCOM</t>
  </si>
  <si>
    <t>DCOMP</t>
  </si>
  <si>
    <t>DCPH</t>
  </si>
  <si>
    <t>DCTH</t>
  </si>
  <si>
    <t>DD</t>
  </si>
  <si>
    <t>DDC</t>
  </si>
  <si>
    <t>DDD</t>
  </si>
  <si>
    <t>DDI</t>
  </si>
  <si>
    <t>DDL</t>
  </si>
  <si>
    <t>DDOG</t>
  </si>
  <si>
    <t>DDS</t>
  </si>
  <si>
    <t>DDT</t>
  </si>
  <si>
    <t>DE</t>
  </si>
  <si>
    <t>DEA</t>
  </si>
  <si>
    <t>DEC</t>
  </si>
  <si>
    <t>DECA</t>
  </si>
  <si>
    <t>DECAU</t>
  </si>
  <si>
    <t>DECK</t>
  </si>
  <si>
    <t>DEI</t>
  </si>
  <si>
    <t>DELL</t>
  </si>
  <si>
    <t>DENN</t>
  </si>
  <si>
    <t>DEO</t>
  </si>
  <si>
    <t>DERM</t>
  </si>
  <si>
    <t>DESP</t>
  </si>
  <si>
    <t>DFH</t>
  </si>
  <si>
    <t>DFIN</t>
  </si>
  <si>
    <t>DFLI</t>
  </si>
  <si>
    <t>DFLIW</t>
  </si>
  <si>
    <t>DFP</t>
  </si>
  <si>
    <t>DFS</t>
  </si>
  <si>
    <t>DG</t>
  </si>
  <si>
    <t>DGHI</t>
  </si>
  <si>
    <t>DGICA</t>
  </si>
  <si>
    <t>DGICB</t>
  </si>
  <si>
    <t>DGII</t>
  </si>
  <si>
    <t>DGLY</t>
  </si>
  <si>
    <t>DGX</t>
  </si>
  <si>
    <t>DH</t>
  </si>
  <si>
    <t>DHAC</t>
  </si>
  <si>
    <t>DHACW</t>
  </si>
  <si>
    <t>DHC</t>
  </si>
  <si>
    <t>DHCA</t>
  </si>
  <si>
    <t>DHCAW</t>
  </si>
  <si>
    <t>DHCNI</t>
  </si>
  <si>
    <t>DHCNL</t>
  </si>
  <si>
    <t>DHF</t>
  </si>
  <si>
    <t>DHI</t>
  </si>
  <si>
    <t>DHIL</t>
  </si>
  <si>
    <t>DHR</t>
  </si>
  <si>
    <t>DHT</t>
  </si>
  <si>
    <t>DHX</t>
  </si>
  <si>
    <t>DHY</t>
  </si>
  <si>
    <t>DIAX</t>
  </si>
  <si>
    <t>DIBS</t>
  </si>
  <si>
    <t>DIN</t>
  </si>
  <si>
    <t>DINO</t>
  </si>
  <si>
    <t>DIOD</t>
  </si>
  <si>
    <t>DIS</t>
  </si>
  <si>
    <t>DIST</t>
  </si>
  <si>
    <t>DISTR</t>
  </si>
  <si>
    <t>DISTW</t>
  </si>
  <si>
    <t>DIT</t>
  </si>
  <si>
    <t>DJCO</t>
  </si>
  <si>
    <t>DK</t>
  </si>
  <si>
    <t>DKL</t>
  </si>
  <si>
    <t>DKNG</t>
  </si>
  <si>
    <t>DKS</t>
  </si>
  <si>
    <t>DLA</t>
  </si>
  <si>
    <t>DLB</t>
  </si>
  <si>
    <t>DLHC</t>
  </si>
  <si>
    <t>DLNG</t>
  </si>
  <si>
    <t>DLNG^A</t>
  </si>
  <si>
    <t>DLNG^B</t>
  </si>
  <si>
    <t>DLO</t>
  </si>
  <si>
    <t>DLPN</t>
  </si>
  <si>
    <t>DLR</t>
  </si>
  <si>
    <t>DLR^J</t>
  </si>
  <si>
    <t>DLR^K</t>
  </si>
  <si>
    <t>DLR^L</t>
  </si>
  <si>
    <t>DLTH</t>
  </si>
  <si>
    <t>DLTR</t>
  </si>
  <si>
    <t>DLX</t>
  </si>
  <si>
    <t>DLY</t>
  </si>
  <si>
    <t>DM</t>
  </si>
  <si>
    <t>DMA</t>
  </si>
  <si>
    <t>DMAC</t>
  </si>
  <si>
    <t>DMAQ</t>
  </si>
  <si>
    <t>DMAQR</t>
  </si>
  <si>
    <t>DMB</t>
  </si>
  <si>
    <t>DMF</t>
  </si>
  <si>
    <t>DMK</t>
  </si>
  <si>
    <t>DMLP</t>
  </si>
  <si>
    <t>DMO</t>
  </si>
  <si>
    <t>DMRC</t>
  </si>
  <si>
    <t>DMTK</t>
  </si>
  <si>
    <t>DMYY</t>
  </si>
  <si>
    <t>DNA</t>
  </si>
  <si>
    <t>DNB</t>
  </si>
  <si>
    <t>DNLI</t>
  </si>
  <si>
    <t>DNMR</t>
  </si>
  <si>
    <t>DNN</t>
  </si>
  <si>
    <t>DNOW</t>
  </si>
  <si>
    <t>DNP</t>
  </si>
  <si>
    <t>DNTH</t>
  </si>
  <si>
    <t>DNUT</t>
  </si>
  <si>
    <t>DO</t>
  </si>
  <si>
    <t>DOC</t>
  </si>
  <si>
    <t>DOCN</t>
  </si>
  <si>
    <t>DOCS</t>
  </si>
  <si>
    <t>DOCU</t>
  </si>
  <si>
    <t>DOGZ</t>
  </si>
  <si>
    <t>DOLE</t>
  </si>
  <si>
    <t>DOMA</t>
  </si>
  <si>
    <t>DOMH</t>
  </si>
  <si>
    <t>DOMO</t>
  </si>
  <si>
    <t>DOOO</t>
  </si>
  <si>
    <t>DOOR</t>
  </si>
  <si>
    <t>DORM</t>
  </si>
  <si>
    <t>DOUG</t>
  </si>
  <si>
    <t>DOV</t>
  </si>
  <si>
    <t>DOW</t>
  </si>
  <si>
    <t>DOX</t>
  </si>
  <si>
    <t>DOYU</t>
  </si>
  <si>
    <t>DPCS</t>
  </si>
  <si>
    <t>DPCSW</t>
  </si>
  <si>
    <t>DPG</t>
  </si>
  <si>
    <t>DPRO</t>
  </si>
  <si>
    <t>DPSI</t>
  </si>
  <si>
    <t>DPZ</t>
  </si>
  <si>
    <t>DQ</t>
  </si>
  <si>
    <t>DRCT</t>
  </si>
  <si>
    <t>DRD</t>
  </si>
  <si>
    <t>DRH</t>
  </si>
  <si>
    <t>DRH^A</t>
  </si>
  <si>
    <t>DRI</t>
  </si>
  <si>
    <t>DRIO</t>
  </si>
  <si>
    <t>DRMA</t>
  </si>
  <si>
    <t>DRMAW</t>
  </si>
  <si>
    <t>DRQ</t>
  </si>
  <si>
    <t>DRRX</t>
  </si>
  <si>
    <t>DRS</t>
  </si>
  <si>
    <t>DRTS</t>
  </si>
  <si>
    <t>DRTSW</t>
  </si>
  <si>
    <t>DRUG</t>
  </si>
  <si>
    <t>DRVN</t>
  </si>
  <si>
    <t>DSAQ</t>
  </si>
  <si>
    <t>DSGN</t>
  </si>
  <si>
    <t>DSGR</t>
  </si>
  <si>
    <t>DSGX</t>
  </si>
  <si>
    <t>DSKE</t>
  </si>
  <si>
    <t>DSL</t>
  </si>
  <si>
    <t>DSM</t>
  </si>
  <si>
    <t>DSP</t>
  </si>
  <si>
    <t>DSS</t>
  </si>
  <si>
    <t>DSU</t>
  </si>
  <si>
    <t>DSWL</t>
  </si>
  <si>
    <t>DSX</t>
  </si>
  <si>
    <t>DSX^B</t>
  </si>
  <si>
    <t>DT</t>
  </si>
  <si>
    <t>DTB</t>
  </si>
  <si>
    <t>DTC</t>
  </si>
  <si>
    <t>DTCK</t>
  </si>
  <si>
    <t>DTE</t>
  </si>
  <si>
    <t>DTF</t>
  </si>
  <si>
    <t>DTG</t>
  </si>
  <si>
    <t>DTI</t>
  </si>
  <si>
    <t>DTIL</t>
  </si>
  <si>
    <t>DTM</t>
  </si>
  <si>
    <t>DTSS</t>
  </si>
  <si>
    <t>DTST</t>
  </si>
  <si>
    <t>DTSTW</t>
  </si>
  <si>
    <t>DTW</t>
  </si>
  <si>
    <t>DUET</t>
  </si>
  <si>
    <t>DUETU</t>
  </si>
  <si>
    <t>DUETW</t>
  </si>
  <si>
    <t>DUK</t>
  </si>
  <si>
    <t>DUK^A</t>
  </si>
  <si>
    <t>DUKB</t>
  </si>
  <si>
    <t>DUO</t>
  </si>
  <si>
    <t>DUOL</t>
  </si>
  <si>
    <t>DUOT</t>
  </si>
  <si>
    <t>DV</t>
  </si>
  <si>
    <t>DVA</t>
  </si>
  <si>
    <t>DVAX</t>
  </si>
  <si>
    <t>DVN</t>
  </si>
  <si>
    <t>DWAC</t>
  </si>
  <si>
    <t>DWACU</t>
  </si>
  <si>
    <t>DWACW</t>
  </si>
  <si>
    <t>DWSN</t>
  </si>
  <si>
    <t>DX</t>
  </si>
  <si>
    <t>DX^C</t>
  </si>
  <si>
    <t>DXC</t>
  </si>
  <si>
    <t>DXCM</t>
  </si>
  <si>
    <t>DXF</t>
  </si>
  <si>
    <t>DXLG</t>
  </si>
  <si>
    <t>DXPE</t>
  </si>
  <si>
    <t>DXR</t>
  </si>
  <si>
    <t>DXYN</t>
  </si>
  <si>
    <t>DY</t>
  </si>
  <si>
    <t>DYAI</t>
  </si>
  <si>
    <t>DYN</t>
  </si>
  <si>
    <t>DYNT</t>
  </si>
  <si>
    <t>DZSI</t>
  </si>
  <si>
    <t>E</t>
  </si>
  <si>
    <t>EA</t>
  </si>
  <si>
    <t>EAC</t>
  </si>
  <si>
    <t>EACPW</t>
  </si>
  <si>
    <t>EAD</t>
  </si>
  <si>
    <t>EAF</t>
  </si>
  <si>
    <t>EAI</t>
  </si>
  <si>
    <t>EAR</t>
  </si>
  <si>
    <t>EARN</t>
  </si>
  <si>
    <t>EAST</t>
  </si>
  <si>
    <t>EAT</t>
  </si>
  <si>
    <t>EB</t>
  </si>
  <si>
    <t>EBAY</t>
  </si>
  <si>
    <t>EBC</t>
  </si>
  <si>
    <t>EBF</t>
  </si>
  <si>
    <t>EBMT</t>
  </si>
  <si>
    <t>EBON</t>
  </si>
  <si>
    <t>EBR</t>
  </si>
  <si>
    <t>EBS</t>
  </si>
  <si>
    <t>EBTC</t>
  </si>
  <si>
    <t>EC</t>
  </si>
  <si>
    <t>ECAT</t>
  </si>
  <si>
    <t>ECBK</t>
  </si>
  <si>
    <t xml:space="preserve">ECC           </t>
  </si>
  <si>
    <t>ECC^D</t>
  </si>
  <si>
    <t>ECCC</t>
  </si>
  <si>
    <t>ECCV</t>
  </si>
  <si>
    <t>ECCW</t>
  </si>
  <si>
    <t>ECCX</t>
  </si>
  <si>
    <t>ECDA</t>
  </si>
  <si>
    <t>ECDAW</t>
  </si>
  <si>
    <t>ECF</t>
  </si>
  <si>
    <t>ECF^A</t>
  </si>
  <si>
    <t>ECL</t>
  </si>
  <si>
    <t>ECO</t>
  </si>
  <si>
    <t>ECOR</t>
  </si>
  <si>
    <t>ECPG</t>
  </si>
  <si>
    <t>ECVT</t>
  </si>
  <si>
    <t>ECX</t>
  </si>
  <si>
    <t>ED</t>
  </si>
  <si>
    <t>EDAP</t>
  </si>
  <si>
    <t>EDBL</t>
  </si>
  <si>
    <t>EDBLW</t>
  </si>
  <si>
    <t>EDD</t>
  </si>
  <si>
    <t>EDF</t>
  </si>
  <si>
    <t>EDIT</t>
  </si>
  <si>
    <t>EDN</t>
  </si>
  <si>
    <t>EDR</t>
  </si>
  <si>
    <t>EDRY</t>
  </si>
  <si>
    <t>EDSA</t>
  </si>
  <si>
    <t>EDTK</t>
  </si>
  <si>
    <t>EDU</t>
  </si>
  <si>
    <t>EDUC</t>
  </si>
  <si>
    <t>EE</t>
  </si>
  <si>
    <t>EEA</t>
  </si>
  <si>
    <t>EEFT</t>
  </si>
  <si>
    <t>EEIQ</t>
  </si>
  <si>
    <t>EEX</t>
  </si>
  <si>
    <t>EFC</t>
  </si>
  <si>
    <t>EFC^A</t>
  </si>
  <si>
    <t>EFC^B</t>
  </si>
  <si>
    <t>EFC^C</t>
  </si>
  <si>
    <t>EFC^D</t>
  </si>
  <si>
    <t>EFC^E</t>
  </si>
  <si>
    <t>EFOI</t>
  </si>
  <si>
    <t>EFR</t>
  </si>
  <si>
    <t>EFSC</t>
  </si>
  <si>
    <t>EFSCP</t>
  </si>
  <si>
    <t>EFSH</t>
  </si>
  <si>
    <t>EFT</t>
  </si>
  <si>
    <t>EFTR</t>
  </si>
  <si>
    <t>EFTRW</t>
  </si>
  <si>
    <t>EFX</t>
  </si>
  <si>
    <t>EFXT</t>
  </si>
  <si>
    <t>EG</t>
  </si>
  <si>
    <t>EGAN</t>
  </si>
  <si>
    <t>EGBN</t>
  </si>
  <si>
    <t>EGF</t>
  </si>
  <si>
    <t>EGHT</t>
  </si>
  <si>
    <t>EGIO</t>
  </si>
  <si>
    <t>EGLE</t>
  </si>
  <si>
    <t>EGO</t>
  </si>
  <si>
    <t>EGOX</t>
  </si>
  <si>
    <t>EGP</t>
  </si>
  <si>
    <t>EGRX</t>
  </si>
  <si>
    <t>EGY</t>
  </si>
  <si>
    <t>EH</t>
  </si>
  <si>
    <t>EHAB</t>
  </si>
  <si>
    <t>EHC</t>
  </si>
  <si>
    <t>EHI</t>
  </si>
  <si>
    <t>EHTH</t>
  </si>
  <si>
    <t>EIC</t>
  </si>
  <si>
    <t>EICA</t>
  </si>
  <si>
    <t>EICB</t>
  </si>
  <si>
    <t>EIG</t>
  </si>
  <si>
    <t>EIGR</t>
  </si>
  <si>
    <t>EIM</t>
  </si>
  <si>
    <t>EIX</t>
  </si>
  <si>
    <t>EJH</t>
  </si>
  <si>
    <t>EKSO</t>
  </si>
  <si>
    <t>EL</t>
  </si>
  <si>
    <t>ELA</t>
  </si>
  <si>
    <t>ELAB</t>
  </si>
  <si>
    <t>ELAN</t>
  </si>
  <si>
    <t>ELBM</t>
  </si>
  <si>
    <t>ELC</t>
  </si>
  <si>
    <t>ELDN</t>
  </si>
  <si>
    <t>ELEV</t>
  </si>
  <si>
    <t>ELF</t>
  </si>
  <si>
    <t>ELIQ</t>
  </si>
  <si>
    <t>ELLO</t>
  </si>
  <si>
    <t>ELMD</t>
  </si>
  <si>
    <t>ELME</t>
  </si>
  <si>
    <t>ELP</t>
  </si>
  <si>
    <t>ELPC</t>
  </si>
  <si>
    <t>ELS</t>
  </si>
  <si>
    <t>ELSE</t>
  </si>
  <si>
    <t>ELTK</t>
  </si>
  <si>
    <t>ELTX</t>
  </si>
  <si>
    <t>ELUT</t>
  </si>
  <si>
    <t>ELV</t>
  </si>
  <si>
    <t>ELVA</t>
  </si>
  <si>
    <t>ELVN</t>
  </si>
  <si>
    <t>ELWS</t>
  </si>
  <si>
    <t>ELYM</t>
  </si>
  <si>
    <t>EM</t>
  </si>
  <si>
    <t>EMBC</t>
  </si>
  <si>
    <t>EMCG</t>
  </si>
  <si>
    <t>EMCGR</t>
  </si>
  <si>
    <t>EMD</t>
  </si>
  <si>
    <t>EME</t>
  </si>
  <si>
    <t>EMF</t>
  </si>
  <si>
    <t>EMKR</t>
  </si>
  <si>
    <t>EML</t>
  </si>
  <si>
    <t>EMLD</t>
  </si>
  <si>
    <t>EMLDW</t>
  </si>
  <si>
    <t>EMN</t>
  </si>
  <si>
    <t>EMO</t>
  </si>
  <si>
    <t>EMP</t>
  </si>
  <si>
    <t>EMR</t>
  </si>
  <si>
    <t>EMX</t>
  </si>
  <si>
    <t>ENB</t>
  </si>
  <si>
    <t>ENCP</t>
  </si>
  <si>
    <t>ENFN</t>
  </si>
  <si>
    <t>ENG</t>
  </si>
  <si>
    <t>ENGN</t>
  </si>
  <si>
    <t>ENGNW</t>
  </si>
  <si>
    <t>ENIC</t>
  </si>
  <si>
    <t>ENJ</t>
  </si>
  <si>
    <t>ENLC</t>
  </si>
  <si>
    <t>ENLT</t>
  </si>
  <si>
    <t>ENLV</t>
  </si>
  <si>
    <t>ENO</t>
  </si>
  <si>
    <t>ENOV</t>
  </si>
  <si>
    <t>ENPH</t>
  </si>
  <si>
    <t>ENR</t>
  </si>
  <si>
    <t>ENS</t>
  </si>
  <si>
    <t>ENSC</t>
  </si>
  <si>
    <t>ENSG</t>
  </si>
  <si>
    <t>ENSV</t>
  </si>
  <si>
    <t>ENTA</t>
  </si>
  <si>
    <t>ENTG</t>
  </si>
  <si>
    <t>ENTX</t>
  </si>
  <si>
    <t>ENV</t>
  </si>
  <si>
    <t>ENVA</t>
  </si>
  <si>
    <t>ENVB</t>
  </si>
  <si>
    <t>ENVX</t>
  </si>
  <si>
    <t>ENX</t>
  </si>
  <si>
    <t>ENZ</t>
  </si>
  <si>
    <t>EOD</t>
  </si>
  <si>
    <t>EOG</t>
  </si>
  <si>
    <t>EOI</t>
  </si>
  <si>
    <t>EOLS</t>
  </si>
  <si>
    <t>EOS</t>
  </si>
  <si>
    <t>EOSE</t>
  </si>
  <si>
    <t>EOSEW</t>
  </si>
  <si>
    <t>EOT</t>
  </si>
  <si>
    <t>EP</t>
  </si>
  <si>
    <t>EP^C</t>
  </si>
  <si>
    <t>EPAC</t>
  </si>
  <si>
    <t>EPAM</t>
  </si>
  <si>
    <t>EPC</t>
  </si>
  <si>
    <t>EPD</t>
  </si>
  <si>
    <t>EPIX</t>
  </si>
  <si>
    <t>EPM</t>
  </si>
  <si>
    <t>EPOW</t>
  </si>
  <si>
    <t>EPR</t>
  </si>
  <si>
    <t>EPR^C</t>
  </si>
  <si>
    <t>EPR^E</t>
  </si>
  <si>
    <t>EPR^G</t>
  </si>
  <si>
    <t>EPRT</t>
  </si>
  <si>
    <t>EPSN</t>
  </si>
  <si>
    <t>EQ</t>
  </si>
  <si>
    <t>EQBK</t>
  </si>
  <si>
    <t>EQC</t>
  </si>
  <si>
    <t>EQC^D</t>
  </si>
  <si>
    <t>EQH</t>
  </si>
  <si>
    <t>EQH^A</t>
  </si>
  <si>
    <t>EQH^C</t>
  </si>
  <si>
    <t>EQIX</t>
  </si>
  <si>
    <t>EQNR</t>
  </si>
  <si>
    <t>EQR</t>
  </si>
  <si>
    <t>EQS</t>
  </si>
  <si>
    <t>EQT</t>
  </si>
  <si>
    <t>EQX</t>
  </si>
  <si>
    <t>ERAS</t>
  </si>
  <si>
    <t>ERC</t>
  </si>
  <si>
    <t>ERF</t>
  </si>
  <si>
    <t>ERH</t>
  </si>
  <si>
    <t>ERIC</t>
  </si>
  <si>
    <t>ERIE</t>
  </si>
  <si>
    <t>ERII</t>
  </si>
  <si>
    <t>ERJ</t>
  </si>
  <si>
    <t>ERNA</t>
  </si>
  <si>
    <t>ERO</t>
  </si>
  <si>
    <t>ES</t>
  </si>
  <si>
    <t>ESAB</t>
  </si>
  <si>
    <t>ESAC</t>
  </si>
  <si>
    <t>ESACU</t>
  </si>
  <si>
    <t>ESCA</t>
  </si>
  <si>
    <t>ESE</t>
  </si>
  <si>
    <t>ESEA</t>
  </si>
  <si>
    <t>ESGL</t>
  </si>
  <si>
    <t>ESGR</t>
  </si>
  <si>
    <t>ESGRO</t>
  </si>
  <si>
    <t>ESGRP</t>
  </si>
  <si>
    <t>ESHA</t>
  </si>
  <si>
    <t>ESHAR</t>
  </si>
  <si>
    <t>ESI</t>
  </si>
  <si>
    <t>ESLA</t>
  </si>
  <si>
    <t>ESLAW</t>
  </si>
  <si>
    <t>ESLT</t>
  </si>
  <si>
    <t>ESMT</t>
  </si>
  <si>
    <t>ESNT</t>
  </si>
  <si>
    <t>ESOA</t>
  </si>
  <si>
    <t>ESP</t>
  </si>
  <si>
    <t>ESPR</t>
  </si>
  <si>
    <t>ESQ</t>
  </si>
  <si>
    <t>ESRT</t>
  </si>
  <si>
    <t>ESS</t>
  </si>
  <si>
    <t>ESSA</t>
  </si>
  <si>
    <t>ESTA</t>
  </si>
  <si>
    <t>ESTC</t>
  </si>
  <si>
    <t>ET</t>
  </si>
  <si>
    <t>ET^C</t>
  </si>
  <si>
    <t>ET^D</t>
  </si>
  <si>
    <t>ET^E</t>
  </si>
  <si>
    <t>ET^I</t>
  </si>
  <si>
    <t>ETAO</t>
  </si>
  <si>
    <t>ETB</t>
  </si>
  <si>
    <t>ETD</t>
  </si>
  <si>
    <t>ETG</t>
  </si>
  <si>
    <t>ETI^</t>
  </si>
  <si>
    <t>ETJ</t>
  </si>
  <si>
    <t>ETN</t>
  </si>
  <si>
    <t>ETNB</t>
  </si>
  <si>
    <t>ETO</t>
  </si>
  <si>
    <t>ETON</t>
  </si>
  <si>
    <t>ETR</t>
  </si>
  <si>
    <t>ETRN</t>
  </si>
  <si>
    <t>ETSY</t>
  </si>
  <si>
    <t>ETV</t>
  </si>
  <si>
    <t>ETW</t>
  </si>
  <si>
    <t>ETWO</t>
  </si>
  <si>
    <t xml:space="preserve">ETX           </t>
  </si>
  <si>
    <t>ETY</t>
  </si>
  <si>
    <t>EU</t>
  </si>
  <si>
    <t>EUDA</t>
  </si>
  <si>
    <t>EUDAW</t>
  </si>
  <si>
    <t>EURN</t>
  </si>
  <si>
    <t>EVA</t>
  </si>
  <si>
    <t>EVAX</t>
  </si>
  <si>
    <t>EVBG</t>
  </si>
  <si>
    <t>EVBN</t>
  </si>
  <si>
    <t>EVC</t>
  </si>
  <si>
    <t>EVCM</t>
  </si>
  <si>
    <t>EVE</t>
  </si>
  <si>
    <t>EVER</t>
  </si>
  <si>
    <t>EVEX</t>
  </si>
  <si>
    <t>EVF</t>
  </si>
  <si>
    <t>EVG</t>
  </si>
  <si>
    <t>EVGN</t>
  </si>
  <si>
    <t>EVGO</t>
  </si>
  <si>
    <t>EVGOW</t>
  </si>
  <si>
    <t>EVGR</t>
  </si>
  <si>
    <t>EVGRU</t>
  </si>
  <si>
    <t>EVGRW</t>
  </si>
  <si>
    <t>EVH</t>
  </si>
  <si>
    <t>EVI</t>
  </si>
  <si>
    <t>EVLV</t>
  </si>
  <si>
    <t>EVLVW</t>
  </si>
  <si>
    <t>EVM</t>
  </si>
  <si>
    <t>EVN</t>
  </si>
  <si>
    <t>EVO</t>
  </si>
  <si>
    <t>EVOK</t>
  </si>
  <si>
    <t>EVR</t>
  </si>
  <si>
    <t>EVRG</t>
  </si>
  <si>
    <t>EVRI</t>
  </si>
  <si>
    <t>EVT</t>
  </si>
  <si>
    <t>EVTC</t>
  </si>
  <si>
    <t>EVTL</t>
  </si>
  <si>
    <t>EVTV</t>
  </si>
  <si>
    <t>EVV</t>
  </si>
  <si>
    <t>EW</t>
  </si>
  <si>
    <t>EWBC</t>
  </si>
  <si>
    <t>EWCZ</t>
  </si>
  <si>
    <t>EWTX</t>
  </si>
  <si>
    <t>EXAI</t>
  </si>
  <si>
    <t>EXAS</t>
  </si>
  <si>
    <t>EXC</t>
  </si>
  <si>
    <t>EXEL</t>
  </si>
  <si>
    <t>EXFY</t>
  </si>
  <si>
    <t>EXG</t>
  </si>
  <si>
    <t>EXK</t>
  </si>
  <si>
    <t>EXLS</t>
  </si>
  <si>
    <t>EXP</t>
  </si>
  <si>
    <t>EXPD</t>
  </si>
  <si>
    <t>EXPE</t>
  </si>
  <si>
    <t>EXPI</t>
  </si>
  <si>
    <t>EXPO</t>
  </si>
  <si>
    <t>EXPR</t>
  </si>
  <si>
    <t>EXR</t>
  </si>
  <si>
    <t>EXTO</t>
  </si>
  <si>
    <t>EXTR</t>
  </si>
  <si>
    <t>EYE</t>
  </si>
  <si>
    <t>EYEN</t>
  </si>
  <si>
    <t>EYPT</t>
  </si>
  <si>
    <t>EZFL</t>
  </si>
  <si>
    <t>EZGO</t>
  </si>
  <si>
    <t>EZPW</t>
  </si>
  <si>
    <t>F</t>
  </si>
  <si>
    <t>F^B</t>
  </si>
  <si>
    <t>F^C</t>
  </si>
  <si>
    <t>F^D</t>
  </si>
  <si>
    <t>FA</t>
  </si>
  <si>
    <t>FAF</t>
  </si>
  <si>
    <t>FAM</t>
  </si>
  <si>
    <t>FAMI</t>
  </si>
  <si>
    <t>FANG</t>
  </si>
  <si>
    <t>FANH</t>
  </si>
  <si>
    <t>FARM</t>
  </si>
  <si>
    <t>FARO</t>
  </si>
  <si>
    <t>FAST</t>
  </si>
  <si>
    <t>FAT</t>
  </si>
  <si>
    <t>FATBB</t>
  </si>
  <si>
    <t>FATBP</t>
  </si>
  <si>
    <t>FATBW</t>
  </si>
  <si>
    <t>FATE</t>
  </si>
  <si>
    <t>FATH</t>
  </si>
  <si>
    <t>FAX</t>
  </si>
  <si>
    <t>FAZE</t>
  </si>
  <si>
    <t>FBIN</t>
  </si>
  <si>
    <t>FBIO</t>
  </si>
  <si>
    <t>FBIOP</t>
  </si>
  <si>
    <t>FBIZ</t>
  </si>
  <si>
    <t>FBK</t>
  </si>
  <si>
    <t>FBMS</t>
  </si>
  <si>
    <t>FBNC</t>
  </si>
  <si>
    <t>FBP</t>
  </si>
  <si>
    <t>FBRT</t>
  </si>
  <si>
    <t>FBRT^E</t>
  </si>
  <si>
    <t>FBRX</t>
  </si>
  <si>
    <t>FBYD</t>
  </si>
  <si>
    <t>FBYDW</t>
  </si>
  <si>
    <t>FC</t>
  </si>
  <si>
    <t>FCAP</t>
  </si>
  <si>
    <t>FCBC</t>
  </si>
  <si>
    <t>FCCO</t>
  </si>
  <si>
    <t>FCEL</t>
  </si>
  <si>
    <t>FCF</t>
  </si>
  <si>
    <t>FCFS</t>
  </si>
  <si>
    <t>FCN</t>
  </si>
  <si>
    <t>FCNCA</t>
  </si>
  <si>
    <t>FCNCO</t>
  </si>
  <si>
    <t>FCNCP</t>
  </si>
  <si>
    <t>FCO</t>
  </si>
  <si>
    <t>FCPT</t>
  </si>
  <si>
    <t>FCRX</t>
  </si>
  <si>
    <t>FCT</t>
  </si>
  <si>
    <t>FCUV</t>
  </si>
  <si>
    <t>FCX</t>
  </si>
  <si>
    <t>FDBC</t>
  </si>
  <si>
    <t>FDMT</t>
  </si>
  <si>
    <t>FDP</t>
  </si>
  <si>
    <t>FDS</t>
  </si>
  <si>
    <t>FDUS</t>
  </si>
  <si>
    <t>FDX</t>
  </si>
  <si>
    <t>FE</t>
  </si>
  <si>
    <t>FEAM</t>
  </si>
  <si>
    <t>FEBO</t>
  </si>
  <si>
    <t>FEDU</t>
  </si>
  <si>
    <t xml:space="preserve">FEI           </t>
  </si>
  <si>
    <t>FEIM</t>
  </si>
  <si>
    <t>FELE</t>
  </si>
  <si>
    <t>FEMY</t>
  </si>
  <si>
    <t>FEN</t>
  </si>
  <si>
    <t>FENC</t>
  </si>
  <si>
    <t>FENG</t>
  </si>
  <si>
    <t>FERG</t>
  </si>
  <si>
    <t>FET</t>
  </si>
  <si>
    <t>FEXD</t>
  </si>
  <si>
    <t>FF</t>
  </si>
  <si>
    <t>FFA</t>
  </si>
  <si>
    <t>FFBC</t>
  </si>
  <si>
    <t>FFC</t>
  </si>
  <si>
    <t>FFIC</t>
  </si>
  <si>
    <t>FFIE</t>
  </si>
  <si>
    <t>FFIEW</t>
  </si>
  <si>
    <t>FFIN</t>
  </si>
  <si>
    <t>FFIV</t>
  </si>
  <si>
    <t>FFNW</t>
  </si>
  <si>
    <t>FFWM</t>
  </si>
  <si>
    <t>FG</t>
  </si>
  <si>
    <t>FGB</t>
  </si>
  <si>
    <t>FGBI</t>
  </si>
  <si>
    <t>FGBIP</t>
  </si>
  <si>
    <t>FGEN</t>
  </si>
  <si>
    <t>FGF</t>
  </si>
  <si>
    <t>FGFPP</t>
  </si>
  <si>
    <t>FGH</t>
  </si>
  <si>
    <t>FGI</t>
  </si>
  <si>
    <t>FGIWW</t>
  </si>
  <si>
    <t>FGN</t>
  </si>
  <si>
    <t>FHB</t>
  </si>
  <si>
    <t>FHI</t>
  </si>
  <si>
    <t>FHN</t>
  </si>
  <si>
    <t>FHN^B</t>
  </si>
  <si>
    <t>FHN^C</t>
  </si>
  <si>
    <t>FHN^D</t>
  </si>
  <si>
    <t>FHN^E</t>
  </si>
  <si>
    <t>FHN^F</t>
  </si>
  <si>
    <t>FHTX</t>
  </si>
  <si>
    <t>FI</t>
  </si>
  <si>
    <t>FIAC</t>
  </si>
  <si>
    <t>FIACW</t>
  </si>
  <si>
    <t>FIBK</t>
  </si>
  <si>
    <t>FICO</t>
  </si>
  <si>
    <t>FICV</t>
  </si>
  <si>
    <t>FICVU</t>
  </si>
  <si>
    <t>FICVW</t>
  </si>
  <si>
    <t>FIF</t>
  </si>
  <si>
    <t>FIGS</t>
  </si>
  <si>
    <t>FIHL</t>
  </si>
  <si>
    <t>FINS</t>
  </si>
  <si>
    <t>FINV</t>
  </si>
  <si>
    <t>FINW</t>
  </si>
  <si>
    <t>FIP</t>
  </si>
  <si>
    <t>FIS</t>
  </si>
  <si>
    <t>FISI</t>
  </si>
  <si>
    <t>FITB</t>
  </si>
  <si>
    <t>FITBI</t>
  </si>
  <si>
    <t>FITBO</t>
  </si>
  <si>
    <t>FITBP</t>
  </si>
  <si>
    <t>FIVE</t>
  </si>
  <si>
    <t>FIVN</t>
  </si>
  <si>
    <t>FIX</t>
  </si>
  <si>
    <t>FIXX</t>
  </si>
  <si>
    <t>FIZZ</t>
  </si>
  <si>
    <t>FKWL</t>
  </si>
  <si>
    <t>FL</t>
  </si>
  <si>
    <t>FLC</t>
  </si>
  <si>
    <t>FLEX</t>
  </si>
  <si>
    <t>FLFV</t>
  </si>
  <si>
    <t>FLFVR</t>
  </si>
  <si>
    <t>FLGC</t>
  </si>
  <si>
    <t>FLGT</t>
  </si>
  <si>
    <t>FLIC</t>
  </si>
  <si>
    <t>FLJ</t>
  </si>
  <si>
    <t>FLL</t>
  </si>
  <si>
    <t>FLME</t>
  </si>
  <si>
    <t>FLNC</t>
  </si>
  <si>
    <t>FLNG</t>
  </si>
  <si>
    <t>FLNT</t>
  </si>
  <si>
    <t>FLO</t>
  </si>
  <si>
    <t>FLR</t>
  </si>
  <si>
    <t>FLS</t>
  </si>
  <si>
    <t>FLT</t>
  </si>
  <si>
    <t>FLUX</t>
  </si>
  <si>
    <t>FLWS</t>
  </si>
  <si>
    <t>FLXS</t>
  </si>
  <si>
    <t>FLYW</t>
  </si>
  <si>
    <t>FLYX</t>
  </si>
  <si>
    <t>FMAO</t>
  </si>
  <si>
    <t>FMBH</t>
  </si>
  <si>
    <t>FMC</t>
  </si>
  <si>
    <t>FMN</t>
  </si>
  <si>
    <t>FMNB</t>
  </si>
  <si>
    <t>FMS</t>
  </si>
  <si>
    <t>FMST</t>
  </si>
  <si>
    <t>FMSTW</t>
  </si>
  <si>
    <t>FMX</t>
  </si>
  <si>
    <t>FMY</t>
  </si>
  <si>
    <t>FN</t>
  </si>
  <si>
    <t>FNA</t>
  </si>
  <si>
    <t>FNB</t>
  </si>
  <si>
    <t>FNB^E</t>
  </si>
  <si>
    <t>FNCB</t>
  </si>
  <si>
    <t>FNCH</t>
  </si>
  <si>
    <t>FND</t>
  </si>
  <si>
    <t>FNF</t>
  </si>
  <si>
    <t>FNGR</t>
  </si>
  <si>
    <t>FNKO</t>
  </si>
  <si>
    <t>FNLC</t>
  </si>
  <si>
    <t>FNV</t>
  </si>
  <si>
    <t>FNVT</t>
  </si>
  <si>
    <t>FNWB</t>
  </si>
  <si>
    <t>FNWD</t>
  </si>
  <si>
    <t>FOA</t>
  </si>
  <si>
    <t>FOF</t>
  </si>
  <si>
    <t>FOLD</t>
  </si>
  <si>
    <t>FONR</t>
  </si>
  <si>
    <t>FOR</t>
  </si>
  <si>
    <t>FORA</t>
  </si>
  <si>
    <t>FORD</t>
  </si>
  <si>
    <t>FORL</t>
  </si>
  <si>
    <t>FORLW</t>
  </si>
  <si>
    <t>FORM</t>
  </si>
  <si>
    <t>FORR</t>
  </si>
  <si>
    <t>FORTY</t>
  </si>
  <si>
    <t>FOSL</t>
  </si>
  <si>
    <t>FOSLL</t>
  </si>
  <si>
    <t>FOUR</t>
  </si>
  <si>
    <t>FOX</t>
  </si>
  <si>
    <t>FOXA</t>
  </si>
  <si>
    <t>FOXF</t>
  </si>
  <si>
    <t>FOXO</t>
  </si>
  <si>
    <t>FPAY</t>
  </si>
  <si>
    <t>FPF</t>
  </si>
  <si>
    <t>FPH</t>
  </si>
  <si>
    <t>FPI</t>
  </si>
  <si>
    <t>FPL</t>
  </si>
  <si>
    <t>FR</t>
  </si>
  <si>
    <t>FRA</t>
  </si>
  <si>
    <t>FRAF</t>
  </si>
  <si>
    <t>FRBA</t>
  </si>
  <si>
    <t>FRD</t>
  </si>
  <si>
    <t>FREE</t>
  </si>
  <si>
    <t>FRES</t>
  </si>
  <si>
    <t>FREY</t>
  </si>
  <si>
    <t>FRGE</t>
  </si>
  <si>
    <t>FRGT</t>
  </si>
  <si>
    <t>FRHC</t>
  </si>
  <si>
    <t>FRLA</t>
  </si>
  <si>
    <t>FRLN</t>
  </si>
  <si>
    <t>FRME</t>
  </si>
  <si>
    <t>FRMEP</t>
  </si>
  <si>
    <t>FRO</t>
  </si>
  <si>
    <t>FROG</t>
  </si>
  <si>
    <t>FRPH</t>
  </si>
  <si>
    <t>FRPT</t>
  </si>
  <si>
    <t>FRSH</t>
  </si>
  <si>
    <t>FRST</t>
  </si>
  <si>
    <t>FRSX</t>
  </si>
  <si>
    <t>FRT</t>
  </si>
  <si>
    <t>FRT^C</t>
  </si>
  <si>
    <t>FRZA</t>
  </si>
  <si>
    <t>FSBC</t>
  </si>
  <si>
    <t>FSBW</t>
  </si>
  <si>
    <t>FSCO</t>
  </si>
  <si>
    <t>FSD</t>
  </si>
  <si>
    <t>FSEA</t>
  </si>
  <si>
    <t>FSFG</t>
  </si>
  <si>
    <t>FSI</t>
  </si>
  <si>
    <t>FSK</t>
  </si>
  <si>
    <t>FSLR</t>
  </si>
  <si>
    <t>FSLY</t>
  </si>
  <si>
    <t>FSM</t>
  </si>
  <si>
    <t>FSP</t>
  </si>
  <si>
    <t>FSR</t>
  </si>
  <si>
    <t>FSS</t>
  </si>
  <si>
    <t>FSTR</t>
  </si>
  <si>
    <t>FSV</t>
  </si>
  <si>
    <t>FT</t>
  </si>
  <si>
    <t>FTAI</t>
  </si>
  <si>
    <t>FTAIM</t>
  </si>
  <si>
    <t>FTAIN</t>
  </si>
  <si>
    <t>FTAIO</t>
  </si>
  <si>
    <t>FTAIP</t>
  </si>
  <si>
    <t>FTCI</t>
  </si>
  <si>
    <t>FTDR</t>
  </si>
  <si>
    <t>FTEK</t>
  </si>
  <si>
    <t>FTEL</t>
  </si>
  <si>
    <t>FTF</t>
  </si>
  <si>
    <t>FTFT</t>
  </si>
  <si>
    <t>FTHM</t>
  </si>
  <si>
    <t>FTHY</t>
  </si>
  <si>
    <t>FTI</t>
  </si>
  <si>
    <t>FTK</t>
  </si>
  <si>
    <t>FTLF</t>
  </si>
  <si>
    <t>FTNT</t>
  </si>
  <si>
    <t>FTRE</t>
  </si>
  <si>
    <t>FTS</t>
  </si>
  <si>
    <t>FTV</t>
  </si>
  <si>
    <t>FUBO</t>
  </si>
  <si>
    <t>FUL</t>
  </si>
  <si>
    <t>FULC</t>
  </si>
  <si>
    <t>FULT</t>
  </si>
  <si>
    <t>FULTP</t>
  </si>
  <si>
    <t>FUN</t>
  </si>
  <si>
    <t>FUNC</t>
  </si>
  <si>
    <t>FUND</t>
  </si>
  <si>
    <t>FURY</t>
  </si>
  <si>
    <t>FUSB</t>
  </si>
  <si>
    <t>FUSN</t>
  </si>
  <si>
    <t>FUTU</t>
  </si>
  <si>
    <t>FUV</t>
  </si>
  <si>
    <t>FVCB</t>
  </si>
  <si>
    <t>FVRR</t>
  </si>
  <si>
    <t>FWBI</t>
  </si>
  <si>
    <t>FWONA</t>
  </si>
  <si>
    <t>FWONK</t>
  </si>
  <si>
    <t>FWRD</t>
  </si>
  <si>
    <t>FWRG</t>
  </si>
  <si>
    <t>FXNC</t>
  </si>
  <si>
    <t>FYBR</t>
  </si>
  <si>
    <t>G</t>
  </si>
  <si>
    <t>GAB</t>
  </si>
  <si>
    <t>GAB^G</t>
  </si>
  <si>
    <t>GAB^H</t>
  </si>
  <si>
    <t>GAB^K</t>
  </si>
  <si>
    <t>GABC</t>
  </si>
  <si>
    <t>GAIA</t>
  </si>
  <si>
    <t>GAIN</t>
  </si>
  <si>
    <t>GAINL</t>
  </si>
  <si>
    <t>GAINN</t>
  </si>
  <si>
    <t>GAINZ</t>
  </si>
  <si>
    <t>GALT</t>
  </si>
  <si>
    <t>GAM</t>
  </si>
  <si>
    <t>GAM^B</t>
  </si>
  <si>
    <t>GAMB</t>
  </si>
  <si>
    <t>GAMC</t>
  </si>
  <si>
    <t>GAMCW</t>
  </si>
  <si>
    <t>GAME</t>
  </si>
  <si>
    <t>GAN</t>
  </si>
  <si>
    <t>GANX</t>
  </si>
  <si>
    <t>GAQ</t>
  </si>
  <si>
    <t>GASS</t>
  </si>
  <si>
    <t>GATE</t>
  </si>
  <si>
    <t>GATEW</t>
  </si>
  <si>
    <t>GATO</t>
  </si>
  <si>
    <t>GATX</t>
  </si>
  <si>
    <t>GAU</t>
  </si>
  <si>
    <t>GB</t>
  </si>
  <si>
    <t>GBAB</t>
  </si>
  <si>
    <t>GBBK</t>
  </si>
  <si>
    <t>GBBKW</t>
  </si>
  <si>
    <t>GBCI</t>
  </si>
  <si>
    <t>GBDC</t>
  </si>
  <si>
    <t>GBIO</t>
  </si>
  <si>
    <t>GBLI</t>
  </si>
  <si>
    <t>GBNH</t>
  </si>
  <si>
    <t>GBNY</t>
  </si>
  <si>
    <t>GBR</t>
  </si>
  <si>
    <t>GBTG</t>
  </si>
  <si>
    <t>GBX</t>
  </si>
  <si>
    <t>GCBC</t>
  </si>
  <si>
    <t>GCI</t>
  </si>
  <si>
    <t>GCMG</t>
  </si>
  <si>
    <t>GCMGW</t>
  </si>
  <si>
    <t>GCO</t>
  </si>
  <si>
    <t>GCT</t>
  </si>
  <si>
    <t>GCTK</t>
  </si>
  <si>
    <t>GCV</t>
  </si>
  <si>
    <t>GD</t>
  </si>
  <si>
    <t>GDC</t>
  </si>
  <si>
    <t>GDDY</t>
  </si>
  <si>
    <t>GDEN</t>
  </si>
  <si>
    <t>GDEV</t>
  </si>
  <si>
    <t>GDHG</t>
  </si>
  <si>
    <t>GDL</t>
  </si>
  <si>
    <t>GDL^C</t>
  </si>
  <si>
    <t>GDO</t>
  </si>
  <si>
    <t>GDOT</t>
  </si>
  <si>
    <t>GDRX</t>
  </si>
  <si>
    <t>GDS</t>
  </si>
  <si>
    <t>GDST</t>
  </si>
  <si>
    <t>GDTC</t>
  </si>
  <si>
    <t>GDV</t>
  </si>
  <si>
    <t>GDV^H</t>
  </si>
  <si>
    <t>GDV^K</t>
  </si>
  <si>
    <t>GDYN</t>
  </si>
  <si>
    <t>GE</t>
  </si>
  <si>
    <t>GECC</t>
  </si>
  <si>
    <t>GECCM</t>
  </si>
  <si>
    <t>GECCO</t>
  </si>
  <si>
    <t>GECCZ</t>
  </si>
  <si>
    <t>GEF</t>
  </si>
  <si>
    <t>GEG</t>
  </si>
  <si>
    <t>GEGGL</t>
  </si>
  <si>
    <t>GEHC</t>
  </si>
  <si>
    <t>GEL</t>
  </si>
  <si>
    <t>GEN</t>
  </si>
  <si>
    <t>GENC</t>
  </si>
  <si>
    <t>GENE</t>
  </si>
  <si>
    <t>GENI</t>
  </si>
  <si>
    <t>GENK</t>
  </si>
  <si>
    <t>GEO</t>
  </si>
  <si>
    <t>GEOS</t>
  </si>
  <si>
    <t>GERN</t>
  </si>
  <si>
    <t>GES</t>
  </si>
  <si>
    <t>GETR</t>
  </si>
  <si>
    <t>GETY</t>
  </si>
  <si>
    <t>GEVO</t>
  </si>
  <si>
    <t>GF</t>
  </si>
  <si>
    <t>GFAI</t>
  </si>
  <si>
    <t>GFAIW</t>
  </si>
  <si>
    <t>GFF</t>
  </si>
  <si>
    <t>GFI</t>
  </si>
  <si>
    <t>GFL</t>
  </si>
  <si>
    <t>GFR</t>
  </si>
  <si>
    <t>GFS</t>
  </si>
  <si>
    <t>GGAL</t>
  </si>
  <si>
    <t>GGB</t>
  </si>
  <si>
    <t>GGE</t>
  </si>
  <si>
    <t>GGG</t>
  </si>
  <si>
    <t>GGN</t>
  </si>
  <si>
    <t>GGN^B</t>
  </si>
  <si>
    <t>GGR</t>
  </si>
  <si>
    <t>GGROW</t>
  </si>
  <si>
    <t>GGT</t>
  </si>
  <si>
    <t>GGT^E</t>
  </si>
  <si>
    <t>GGT^G</t>
  </si>
  <si>
    <t>GGZ</t>
  </si>
  <si>
    <t>GH</t>
  </si>
  <si>
    <t>GHC</t>
  </si>
  <si>
    <t>GHG</t>
  </si>
  <si>
    <t>GHI</t>
  </si>
  <si>
    <t>GHIX</t>
  </si>
  <si>
    <t>GHIXU</t>
  </si>
  <si>
    <t>GHIXW</t>
  </si>
  <si>
    <t>GHLD</t>
  </si>
  <si>
    <t>GHM</t>
  </si>
  <si>
    <t>GHRS</t>
  </si>
  <si>
    <t>GHSI</t>
  </si>
  <si>
    <t>GHY</t>
  </si>
  <si>
    <t>GIA</t>
  </si>
  <si>
    <t>GIB</t>
  </si>
  <si>
    <t>GIC</t>
  </si>
  <si>
    <t>GIFI</t>
  </si>
  <si>
    <t>GIGM</t>
  </si>
  <si>
    <t>GIII</t>
  </si>
  <si>
    <t>GIL</t>
  </si>
  <si>
    <t>GILD</t>
  </si>
  <si>
    <t>GILT</t>
  </si>
  <si>
    <t>GIPR</t>
  </si>
  <si>
    <t>GIPRW</t>
  </si>
  <si>
    <t>GIS</t>
  </si>
  <si>
    <t>GJH</t>
  </si>
  <si>
    <t>GJO</t>
  </si>
  <si>
    <t>GJP</t>
  </si>
  <si>
    <t>GJR</t>
  </si>
  <si>
    <t>GJS</t>
  </si>
  <si>
    <t>GJT</t>
  </si>
  <si>
    <t>GKOS</t>
  </si>
  <si>
    <t>GL</t>
  </si>
  <si>
    <t>GL^D</t>
  </si>
  <si>
    <t>GLAC</t>
  </si>
  <si>
    <t>GLACR</t>
  </si>
  <si>
    <t>GLACU</t>
  </si>
  <si>
    <t>GLAD</t>
  </si>
  <si>
    <t>GLADZ</t>
  </si>
  <si>
    <t>GLBE</t>
  </si>
  <si>
    <t>GLBS</t>
  </si>
  <si>
    <t>GLBZ</t>
  </si>
  <si>
    <t>GLDD</t>
  </si>
  <si>
    <t>GLDG</t>
  </si>
  <si>
    <t>GLLI</t>
  </si>
  <si>
    <t>GLLIW</t>
  </si>
  <si>
    <t>GLMD</t>
  </si>
  <si>
    <t>GLNG</t>
  </si>
  <si>
    <t>GLO</t>
  </si>
  <si>
    <t>GLOB</t>
  </si>
  <si>
    <t>GLOG^A</t>
  </si>
  <si>
    <t>GLOP^A</t>
  </si>
  <si>
    <t>GLOP^B</t>
  </si>
  <si>
    <t>GLOP^C</t>
  </si>
  <si>
    <t>GLP</t>
  </si>
  <si>
    <t>GLP^A</t>
  </si>
  <si>
    <t>GLP^B</t>
  </si>
  <si>
    <t>GLPG</t>
  </si>
  <si>
    <t>GLPI</t>
  </si>
  <si>
    <t>GLQ</t>
  </si>
  <si>
    <t>GLRE</t>
  </si>
  <si>
    <t>GLSI</t>
  </si>
  <si>
    <t>GLST</t>
  </si>
  <si>
    <t>GLSTR</t>
  </si>
  <si>
    <t>GLSTW</t>
  </si>
  <si>
    <t>GLT</t>
  </si>
  <si>
    <t>GLTO</t>
  </si>
  <si>
    <t>GLU</t>
  </si>
  <si>
    <t>GLU^A</t>
  </si>
  <si>
    <t>GLU^B</t>
  </si>
  <si>
    <t>GLUE</t>
  </si>
  <si>
    <t>GLV</t>
  </si>
  <si>
    <t>GLW</t>
  </si>
  <si>
    <t>GLYC</t>
  </si>
  <si>
    <t>GM</t>
  </si>
  <si>
    <t>GMAB</t>
  </si>
  <si>
    <t>GMBL</t>
  </si>
  <si>
    <t>GMBLP</t>
  </si>
  <si>
    <t>GMBLW</t>
  </si>
  <si>
    <t>GMBLZ</t>
  </si>
  <si>
    <t>GMDA</t>
  </si>
  <si>
    <t>GME</t>
  </si>
  <si>
    <t>GMED</t>
  </si>
  <si>
    <t>GMFI</t>
  </si>
  <si>
    <t>GMGI</t>
  </si>
  <si>
    <t>GMM</t>
  </si>
  <si>
    <t>GMRE</t>
  </si>
  <si>
    <t>GMRE^A</t>
  </si>
  <si>
    <t>GMS</t>
  </si>
  <si>
    <t>GNE</t>
  </si>
  <si>
    <t>GNFT</t>
  </si>
  <si>
    <t>GNK</t>
  </si>
  <si>
    <t>GNL</t>
  </si>
  <si>
    <t>GNL^A</t>
  </si>
  <si>
    <t>GNL^B</t>
  </si>
  <si>
    <t>GNL^D</t>
  </si>
  <si>
    <t>GNL^E</t>
  </si>
  <si>
    <t>GNLN</t>
  </si>
  <si>
    <t>GNLX</t>
  </si>
  <si>
    <t>GNPX</t>
  </si>
  <si>
    <t>GNRC</t>
  </si>
  <si>
    <t>GNS</t>
  </si>
  <si>
    <t>GNSS</t>
  </si>
  <si>
    <t>GNT</t>
  </si>
  <si>
    <t>GNT^A</t>
  </si>
  <si>
    <t>GNTA</t>
  </si>
  <si>
    <t>GNTX</t>
  </si>
  <si>
    <t>GNTY</t>
  </si>
  <si>
    <t>GNW</t>
  </si>
  <si>
    <t>GO</t>
  </si>
  <si>
    <t>GOCO</t>
  </si>
  <si>
    <t>GODN</t>
  </si>
  <si>
    <t>GODNR</t>
  </si>
  <si>
    <t>GOEV</t>
  </si>
  <si>
    <t>GOEVW</t>
  </si>
  <si>
    <t>GOF</t>
  </si>
  <si>
    <t>GOGL</t>
  </si>
  <si>
    <t>GOGO</t>
  </si>
  <si>
    <t>GOL</t>
  </si>
  <si>
    <t>GOLD</t>
  </si>
  <si>
    <t>GOLF</t>
  </si>
  <si>
    <t>GOOD</t>
  </si>
  <si>
    <t>GOODN</t>
  </si>
  <si>
    <t>GOODO</t>
  </si>
  <si>
    <t>GOOG</t>
  </si>
  <si>
    <t>GOOGL</t>
  </si>
  <si>
    <t>GOOS</t>
  </si>
  <si>
    <t>GORO</t>
  </si>
  <si>
    <t>GOSS</t>
  </si>
  <si>
    <t>GOTU</t>
  </si>
  <si>
    <t>GOVX</t>
  </si>
  <si>
    <t>GOVXW</t>
  </si>
  <si>
    <t>GP</t>
  </si>
  <si>
    <t>GPAC</t>
  </si>
  <si>
    <t>GPACU</t>
  </si>
  <si>
    <t>GPAK</t>
  </si>
  <si>
    <t>GPC</t>
  </si>
  <si>
    <t>GPCR</t>
  </si>
  <si>
    <t>GPI</t>
  </si>
  <si>
    <t>GPJA</t>
  </si>
  <si>
    <t>GPK</t>
  </si>
  <si>
    <t>GPMT</t>
  </si>
  <si>
    <t>GPMT^A</t>
  </si>
  <si>
    <t>GPN</t>
  </si>
  <si>
    <t>GPOR</t>
  </si>
  <si>
    <t>GPP</t>
  </si>
  <si>
    <t>GPRE</t>
  </si>
  <si>
    <t>GPRK</t>
  </si>
  <si>
    <t>GPRO</t>
  </si>
  <si>
    <t>GPS</t>
  </si>
  <si>
    <t>GRAB</t>
  </si>
  <si>
    <t>GRABW</t>
  </si>
  <si>
    <t>GRBK</t>
  </si>
  <si>
    <t>GRBK^A</t>
  </si>
  <si>
    <t>GRC</t>
  </si>
  <si>
    <t>GRCL</t>
  </si>
  <si>
    <t>GREE</t>
  </si>
  <si>
    <t>GREEL</t>
  </si>
  <si>
    <t>GRF</t>
  </si>
  <si>
    <t>GRFS</t>
  </si>
  <si>
    <t>GRFX</t>
  </si>
  <si>
    <t>GRI</t>
  </si>
  <si>
    <t>GRIN</t>
  </si>
  <si>
    <t>GRMN</t>
  </si>
  <si>
    <t>GRND</t>
  </si>
  <si>
    <t>GRNQ</t>
  </si>
  <si>
    <t>GRNT</t>
  </si>
  <si>
    <t>GROM</t>
  </si>
  <si>
    <t>GROMW</t>
  </si>
  <si>
    <t>GROV</t>
  </si>
  <si>
    <t>GROW</t>
  </si>
  <si>
    <t>GROY</t>
  </si>
  <si>
    <t>GRPH</t>
  </si>
  <si>
    <t>GRPN</t>
  </si>
  <si>
    <t>GRRR</t>
  </si>
  <si>
    <t>GRRRW</t>
  </si>
  <si>
    <t>GRTS</t>
  </si>
  <si>
    <t>GRTX</t>
  </si>
  <si>
    <t>GRVY</t>
  </si>
  <si>
    <t>GRWG</t>
  </si>
  <si>
    <t>GRX</t>
  </si>
  <si>
    <t>GS</t>
  </si>
  <si>
    <t>GS^A</t>
  </si>
  <si>
    <t>GS^C</t>
  </si>
  <si>
    <t>GS^D</t>
  </si>
  <si>
    <t>GS^K</t>
  </si>
  <si>
    <t>GSAT</t>
  </si>
  <si>
    <t>GSBC</t>
  </si>
  <si>
    <t>GSBD</t>
  </si>
  <si>
    <t>GSDWW</t>
  </si>
  <si>
    <t>GSHD</t>
  </si>
  <si>
    <t>GSIT</t>
  </si>
  <si>
    <t>GSIW</t>
  </si>
  <si>
    <t>GSK</t>
  </si>
  <si>
    <t>GSL</t>
  </si>
  <si>
    <t>GSL^B</t>
  </si>
  <si>
    <t>GSM</t>
  </si>
  <si>
    <t>GSMGW</t>
  </si>
  <si>
    <t>GSUN</t>
  </si>
  <si>
    <t>GT</t>
  </si>
  <si>
    <t>GTAC</t>
  </si>
  <si>
    <t>GTACW</t>
  </si>
  <si>
    <t>GTBP</t>
  </si>
  <si>
    <t>GTE</t>
  </si>
  <si>
    <t>GTEC</t>
  </si>
  <si>
    <t>GTES</t>
  </si>
  <si>
    <t>GTH</t>
  </si>
  <si>
    <t>GTHX</t>
  </si>
  <si>
    <t>GTIM</t>
  </si>
  <si>
    <t>GTLB</t>
  </si>
  <si>
    <t>GTLS</t>
  </si>
  <si>
    <t>GTLS^B</t>
  </si>
  <si>
    <t>GTN</t>
  </si>
  <si>
    <t>GTX</t>
  </si>
  <si>
    <t>GTY</t>
  </si>
  <si>
    <t>GUG</t>
  </si>
  <si>
    <t>GURE</t>
  </si>
  <si>
    <t>GUT</t>
  </si>
  <si>
    <t>GUT^C</t>
  </si>
  <si>
    <t>GV</t>
  </si>
  <si>
    <t>GVA</t>
  </si>
  <si>
    <t>GVH</t>
  </si>
  <si>
    <t>GVP</t>
  </si>
  <si>
    <t>GWAV</t>
  </si>
  <si>
    <t>GWH</t>
  </si>
  <si>
    <t>GWRE</t>
  </si>
  <si>
    <t>GWRS</t>
  </si>
  <si>
    <t>GWW</t>
  </si>
  <si>
    <t>GXO</t>
  </si>
  <si>
    <t>GYRE</t>
  </si>
  <si>
    <t>GYRO</t>
  </si>
  <si>
    <t>H</t>
  </si>
  <si>
    <t>HA</t>
  </si>
  <si>
    <t>HAE</t>
  </si>
  <si>
    <t>HAFC</t>
  </si>
  <si>
    <t>HAIA</t>
  </si>
  <si>
    <t>HAIAU</t>
  </si>
  <si>
    <t>HAIAW</t>
  </si>
  <si>
    <t>HAIN</t>
  </si>
  <si>
    <t>HAL</t>
  </si>
  <si>
    <t>HALO</t>
  </si>
  <si>
    <t>HARP</t>
  </si>
  <si>
    <t>HAS</t>
  </si>
  <si>
    <t>HASI</t>
  </si>
  <si>
    <t>HAYN</t>
  </si>
  <si>
    <t>HAYW</t>
  </si>
  <si>
    <t>HBAN</t>
  </si>
  <si>
    <t>HBANL</t>
  </si>
  <si>
    <t>HBANM</t>
  </si>
  <si>
    <t>HBANP</t>
  </si>
  <si>
    <t>HBB</t>
  </si>
  <si>
    <t>HBCP</t>
  </si>
  <si>
    <t>HBI</t>
  </si>
  <si>
    <t>HBIO</t>
  </si>
  <si>
    <t>HBM</t>
  </si>
  <si>
    <t>HBNC</t>
  </si>
  <si>
    <t>HBT</t>
  </si>
  <si>
    <t>HCA</t>
  </si>
  <si>
    <t>HCAT</t>
  </si>
  <si>
    <t>HCC</t>
  </si>
  <si>
    <t>HCI</t>
  </si>
  <si>
    <t>HCKT</t>
  </si>
  <si>
    <t>HCM</t>
  </si>
  <si>
    <t>HCMA</t>
  </si>
  <si>
    <t>HCMAW</t>
  </si>
  <si>
    <t>HCP</t>
  </si>
  <si>
    <t>HCSG</t>
  </si>
  <si>
    <t>HCTI</t>
  </si>
  <si>
    <t>HCVI</t>
  </si>
  <si>
    <t>HCVIU</t>
  </si>
  <si>
    <t>HCVIW</t>
  </si>
  <si>
    <t>HCWB</t>
  </si>
  <si>
    <t>HCXY</t>
  </si>
  <si>
    <t>HD</t>
  </si>
  <si>
    <t>HDB</t>
  </si>
  <si>
    <t>HDSN</t>
  </si>
  <si>
    <t>HE</t>
  </si>
  <si>
    <t>HEAR</t>
  </si>
  <si>
    <t>HEES</t>
  </si>
  <si>
    <t>HEI</t>
  </si>
  <si>
    <t>HEI/A</t>
  </si>
  <si>
    <t>HELE</t>
  </si>
  <si>
    <t>HEPA</t>
  </si>
  <si>
    <t>HEPS</t>
  </si>
  <si>
    <t>HEQ</t>
  </si>
  <si>
    <t>HES</t>
  </si>
  <si>
    <t>HESM</t>
  </si>
  <si>
    <t>HFBL</t>
  </si>
  <si>
    <t>HFFG</t>
  </si>
  <si>
    <t>HFRO</t>
  </si>
  <si>
    <t>HFRO^A</t>
  </si>
  <si>
    <t>HFWA</t>
  </si>
  <si>
    <t>HG</t>
  </si>
  <si>
    <t>HGAS</t>
  </si>
  <si>
    <t>HGASW</t>
  </si>
  <si>
    <t>HGBL</t>
  </si>
  <si>
    <t>HGLB</t>
  </si>
  <si>
    <t>HGTY</t>
  </si>
  <si>
    <t>HGV</t>
  </si>
  <si>
    <t>HHGC</t>
  </si>
  <si>
    <t>HHGCR</t>
  </si>
  <si>
    <t>HHGCW</t>
  </si>
  <si>
    <t>HHH</t>
  </si>
  <si>
    <t>HHLA</t>
  </si>
  <si>
    <t>HHS</t>
  </si>
  <si>
    <t>HI</t>
  </si>
  <si>
    <t>HIBB</t>
  </si>
  <si>
    <t>HIE</t>
  </si>
  <si>
    <t>HIFS</t>
  </si>
  <si>
    <t>HIG</t>
  </si>
  <si>
    <t>HIG^G</t>
  </si>
  <si>
    <t>HIHO</t>
  </si>
  <si>
    <t>HII</t>
  </si>
  <si>
    <t>HIMS</t>
  </si>
  <si>
    <t>HIMX</t>
  </si>
  <si>
    <t>HIO</t>
  </si>
  <si>
    <t>HIPO</t>
  </si>
  <si>
    <t>HITI</t>
  </si>
  <si>
    <t>HIVE</t>
  </si>
  <si>
    <t>HIW</t>
  </si>
  <si>
    <t>HIX</t>
  </si>
  <si>
    <t>HKD</t>
  </si>
  <si>
    <t>HKIT</t>
  </si>
  <si>
    <t>HL</t>
  </si>
  <si>
    <t>HL^B</t>
  </si>
  <si>
    <t>HLF</t>
  </si>
  <si>
    <t>HLI</t>
  </si>
  <si>
    <t>HLIO</t>
  </si>
  <si>
    <t>HLIT</t>
  </si>
  <si>
    <t>HLLY</t>
  </si>
  <si>
    <t>HLMN</t>
  </si>
  <si>
    <t>HLN</t>
  </si>
  <si>
    <t>HLNE</t>
  </si>
  <si>
    <t>HLP</t>
  </si>
  <si>
    <t>HLT</t>
  </si>
  <si>
    <t>HLTH</t>
  </si>
  <si>
    <t>HLVX</t>
  </si>
  <si>
    <t>HLX</t>
  </si>
  <si>
    <t>HMC</t>
  </si>
  <si>
    <t>HMN</t>
  </si>
  <si>
    <t>HMNF</t>
  </si>
  <si>
    <t>HMST</t>
  </si>
  <si>
    <t>HMY</t>
  </si>
  <si>
    <t>HNI</t>
  </si>
  <si>
    <t>HNNA</t>
  </si>
  <si>
    <t>HNNAZ</t>
  </si>
  <si>
    <t>HNRA</t>
  </si>
  <si>
    <t>HNRG</t>
  </si>
  <si>
    <t>HNST</t>
  </si>
  <si>
    <t>HNVR</t>
  </si>
  <si>
    <t>HNW</t>
  </si>
  <si>
    <t>HOFT</t>
  </si>
  <si>
    <t>HOFV</t>
  </si>
  <si>
    <t>HOFVW</t>
  </si>
  <si>
    <t>HOG</t>
  </si>
  <si>
    <t>HOLI</t>
  </si>
  <si>
    <t>HOLO</t>
  </si>
  <si>
    <t>HOLOW</t>
  </si>
  <si>
    <t>HOLX</t>
  </si>
  <si>
    <t>HOMB</t>
  </si>
  <si>
    <t>HON</t>
  </si>
  <si>
    <t>HONE</t>
  </si>
  <si>
    <t>HOOD</t>
  </si>
  <si>
    <t>HOOK</t>
  </si>
  <si>
    <t>HOPE</t>
  </si>
  <si>
    <t>HOTH</t>
  </si>
  <si>
    <t>HOUR</t>
  </si>
  <si>
    <t>HOUS</t>
  </si>
  <si>
    <t>HOV</t>
  </si>
  <si>
    <t>HOVNP</t>
  </si>
  <si>
    <t>HOWL</t>
  </si>
  <si>
    <t>HP</t>
  </si>
  <si>
    <t>HPCO</t>
  </si>
  <si>
    <t>HPE</t>
  </si>
  <si>
    <t>HPF</t>
  </si>
  <si>
    <t>HPI</t>
  </si>
  <si>
    <t>HPK</t>
  </si>
  <si>
    <t>HPKEW</t>
  </si>
  <si>
    <t>HPP</t>
  </si>
  <si>
    <t>HPP^C</t>
  </si>
  <si>
    <t>HPQ</t>
  </si>
  <si>
    <t>HPS</t>
  </si>
  <si>
    <t>HQH</t>
  </si>
  <si>
    <t>HQI</t>
  </si>
  <si>
    <t>HQL</t>
  </si>
  <si>
    <t>HQY</t>
  </si>
  <si>
    <t>HR</t>
  </si>
  <si>
    <t>HRB</t>
  </si>
  <si>
    <t>HRI</t>
  </si>
  <si>
    <t>HRL</t>
  </si>
  <si>
    <t>HRMY</t>
  </si>
  <si>
    <t>HROW</t>
  </si>
  <si>
    <t>HROWL</t>
  </si>
  <si>
    <t>HROWM</t>
  </si>
  <si>
    <t>HRT</t>
  </si>
  <si>
    <t>HRTG</t>
  </si>
  <si>
    <t>HRTX</t>
  </si>
  <si>
    <t>HRYU</t>
  </si>
  <si>
    <t>HRZN</t>
  </si>
  <si>
    <t>HSAI</t>
  </si>
  <si>
    <t>HSBC</t>
  </si>
  <si>
    <t>HSCS</t>
  </si>
  <si>
    <t>HSCSW</t>
  </si>
  <si>
    <t>HSDT</t>
  </si>
  <si>
    <t>HSHP</t>
  </si>
  <si>
    <t>HSIC</t>
  </si>
  <si>
    <t>HSII</t>
  </si>
  <si>
    <t>HSON</t>
  </si>
  <si>
    <t>HSPO</t>
  </si>
  <si>
    <t>HSPOR</t>
  </si>
  <si>
    <t>HSPOW</t>
  </si>
  <si>
    <t>HST</t>
  </si>
  <si>
    <t>HSTM</t>
  </si>
  <si>
    <t>HSY</t>
  </si>
  <si>
    <t>HTBI</t>
  </si>
  <si>
    <t>HTBK</t>
  </si>
  <si>
    <t>HTCR</t>
  </si>
  <si>
    <t>HTD</t>
  </si>
  <si>
    <t>HTFB</t>
  </si>
  <si>
    <t>HTFC</t>
  </si>
  <si>
    <t>HTGC</t>
  </si>
  <si>
    <t>HTH</t>
  </si>
  <si>
    <t>HTHT</t>
  </si>
  <si>
    <t>HTIA</t>
  </si>
  <si>
    <t>HTIBP</t>
  </si>
  <si>
    <t>HTLD</t>
  </si>
  <si>
    <t>HTLF</t>
  </si>
  <si>
    <t>HTLFP</t>
  </si>
  <si>
    <t>HTOO</t>
  </si>
  <si>
    <t>HTOOW</t>
  </si>
  <si>
    <t>HTY</t>
  </si>
  <si>
    <t>HTZ</t>
  </si>
  <si>
    <t>HTZWW</t>
  </si>
  <si>
    <t>HUBB</t>
  </si>
  <si>
    <t>HUBC</t>
  </si>
  <si>
    <t>HUBCW</t>
  </si>
  <si>
    <t>HUBCZ</t>
  </si>
  <si>
    <t>HUBG</t>
  </si>
  <si>
    <t>HUBS</t>
  </si>
  <si>
    <t>HUDA</t>
  </si>
  <si>
    <t>HUDI</t>
  </si>
  <si>
    <t>HUGE</t>
  </si>
  <si>
    <t>HUIZ</t>
  </si>
  <si>
    <t>HUM</t>
  </si>
  <si>
    <t>HUMA</t>
  </si>
  <si>
    <t>HUMAW</t>
  </si>
  <si>
    <t>HUN</t>
  </si>
  <si>
    <t>HURC</t>
  </si>
  <si>
    <t>HURN</t>
  </si>
  <si>
    <t>HUSA</t>
  </si>
  <si>
    <t>HUT</t>
  </si>
  <si>
    <t>HUYA</t>
  </si>
  <si>
    <t>HVT</t>
  </si>
  <si>
    <t>HVT/A</t>
  </si>
  <si>
    <t>HWBK</t>
  </si>
  <si>
    <t>HWC</t>
  </si>
  <si>
    <t>HWCPZ</t>
  </si>
  <si>
    <t>HWKN</t>
  </si>
  <si>
    <t>HWM</t>
  </si>
  <si>
    <t>HWM^</t>
  </si>
  <si>
    <t>HXL</t>
  </si>
  <si>
    <t>HY</t>
  </si>
  <si>
    <t>HYAC</t>
  </si>
  <si>
    <t>HYB</t>
  </si>
  <si>
    <t>HYFM</t>
  </si>
  <si>
    <t>HYI</t>
  </si>
  <si>
    <t>HYLN</t>
  </si>
  <si>
    <t>HYMC</t>
  </si>
  <si>
    <t>HYMCL</t>
  </si>
  <si>
    <t>HYMCW</t>
  </si>
  <si>
    <t>HYPR</t>
  </si>
  <si>
    <t>HYT</t>
  </si>
  <si>
    <t>HYW</t>
  </si>
  <si>
    <t>HYZN</t>
  </si>
  <si>
    <t>HYZNW</t>
  </si>
  <si>
    <t>HZO</t>
  </si>
  <si>
    <t>IAC</t>
  </si>
  <si>
    <t>IAE</t>
  </si>
  <si>
    <t>IAF</t>
  </si>
  <si>
    <t>IAG</t>
  </si>
  <si>
    <t>IART</t>
  </si>
  <si>
    <t>IAS</t>
  </si>
  <si>
    <t>IAUX</t>
  </si>
  <si>
    <t>IBCP</t>
  </si>
  <si>
    <t>IBEX</t>
  </si>
  <si>
    <t>IBIO</t>
  </si>
  <si>
    <t>IBKR</t>
  </si>
  <si>
    <t>IBM</t>
  </si>
  <si>
    <t>IBN</t>
  </si>
  <si>
    <t>IBOC</t>
  </si>
  <si>
    <t>IBP</t>
  </si>
  <si>
    <t>IBRX</t>
  </si>
  <si>
    <t>IBTX</t>
  </si>
  <si>
    <t>ICAD</t>
  </si>
  <si>
    <t>ICCC</t>
  </si>
  <si>
    <t>ICCH</t>
  </si>
  <si>
    <t>ICCM</t>
  </si>
  <si>
    <t>ICCT</t>
  </si>
  <si>
    <t>ICD</t>
  </si>
  <si>
    <t>ICE</t>
  </si>
  <si>
    <t>ICFI</t>
  </si>
  <si>
    <t>ICG</t>
  </si>
  <si>
    <t>ICHR</t>
  </si>
  <si>
    <t>ICL</t>
  </si>
  <si>
    <t>ICLK</t>
  </si>
  <si>
    <t>ICLR</t>
  </si>
  <si>
    <t>ICMB</t>
  </si>
  <si>
    <t>ICR^A</t>
  </si>
  <si>
    <t>ICU</t>
  </si>
  <si>
    <t>ICUCW</t>
  </si>
  <si>
    <t>ICUI</t>
  </si>
  <si>
    <t>ICVX</t>
  </si>
  <si>
    <t>IDA</t>
  </si>
  <si>
    <t>IDAI</t>
  </si>
  <si>
    <t>IDCC</t>
  </si>
  <si>
    <t>IDE</t>
  </si>
  <si>
    <t>IDEX</t>
  </si>
  <si>
    <t>IDN</t>
  </si>
  <si>
    <t>IDR</t>
  </si>
  <si>
    <t>IDT</t>
  </si>
  <si>
    <t>IDXX</t>
  </si>
  <si>
    <t>IDYA</t>
  </si>
  <si>
    <t>IE</t>
  </si>
  <si>
    <t>IEP</t>
  </si>
  <si>
    <t>IESC</t>
  </si>
  <si>
    <t>IEX</t>
  </si>
  <si>
    <t>IFBD</t>
  </si>
  <si>
    <t>IFF</t>
  </si>
  <si>
    <t>IFIN</t>
  </si>
  <si>
    <t>IFN</t>
  </si>
  <si>
    <t>IFRX</t>
  </si>
  <si>
    <t>IFS</t>
  </si>
  <si>
    <t>IGA</t>
  </si>
  <si>
    <t>IGC</t>
  </si>
  <si>
    <t>IGD</t>
  </si>
  <si>
    <t>IGI</t>
  </si>
  <si>
    <t>IGIC</t>
  </si>
  <si>
    <t>IGMS</t>
  </si>
  <si>
    <t>IGR</t>
  </si>
  <si>
    <t>IGT</t>
  </si>
  <si>
    <t>IGTA</t>
  </si>
  <si>
    <t>IGTAU</t>
  </si>
  <si>
    <t>IGTAW</t>
  </si>
  <si>
    <t>IH</t>
  </si>
  <si>
    <t>IHD</t>
  </si>
  <si>
    <t>IHG</t>
  </si>
  <si>
    <t>IHRT</t>
  </si>
  <si>
    <t>IHS</t>
  </si>
  <si>
    <t>IHT</t>
  </si>
  <si>
    <t>IHTA</t>
  </si>
  <si>
    <t>IIF</t>
  </si>
  <si>
    <t>III</t>
  </si>
  <si>
    <t>IIIN</t>
  </si>
  <si>
    <t>IIIV</t>
  </si>
  <si>
    <t>IIM</t>
  </si>
  <si>
    <t>IINN</t>
  </si>
  <si>
    <t>IINNW</t>
  </si>
  <si>
    <t>IIPR</t>
  </si>
  <si>
    <t>IIPR^A</t>
  </si>
  <si>
    <t>IKNA</t>
  </si>
  <si>
    <t>IKT</t>
  </si>
  <si>
    <t>ILAG</t>
  </si>
  <si>
    <t>ILMN</t>
  </si>
  <si>
    <t>ILPT</t>
  </si>
  <si>
    <t>IMAB</t>
  </si>
  <si>
    <t>IMACW</t>
  </si>
  <si>
    <t>IMAQ</t>
  </si>
  <si>
    <t>IMAQR</t>
  </si>
  <si>
    <t>IMAQW</t>
  </si>
  <si>
    <t>IMAX</t>
  </si>
  <si>
    <t>IMCC</t>
  </si>
  <si>
    <t>IMCR</t>
  </si>
  <si>
    <t>IMGN</t>
  </si>
  <si>
    <t>IMKTA</t>
  </si>
  <si>
    <t>IMMP</t>
  </si>
  <si>
    <t>IMMR</t>
  </si>
  <si>
    <t>IMMX</t>
  </si>
  <si>
    <t>IMNM</t>
  </si>
  <si>
    <t>IMNN</t>
  </si>
  <si>
    <t>IMO</t>
  </si>
  <si>
    <t>IMOS</t>
  </si>
  <si>
    <t>IMPP</t>
  </si>
  <si>
    <t>IMPPP</t>
  </si>
  <si>
    <t>IMRN</t>
  </si>
  <si>
    <t>IMRX</t>
  </si>
  <si>
    <t>IMTE</t>
  </si>
  <si>
    <t>IMTX</t>
  </si>
  <si>
    <t>IMTXW</t>
  </si>
  <si>
    <t>IMUX</t>
  </si>
  <si>
    <t>IMVT</t>
  </si>
  <si>
    <t>IMXI</t>
  </si>
  <si>
    <t>INAB</t>
  </si>
  <si>
    <t>INAQ</t>
  </si>
  <si>
    <t>INAQW</t>
  </si>
  <si>
    <t>INBK</t>
  </si>
  <si>
    <t>INBKZ</t>
  </si>
  <si>
    <t>INBS</t>
  </si>
  <si>
    <t>INBX</t>
  </si>
  <si>
    <t>INCR</t>
  </si>
  <si>
    <t>INCY</t>
  </si>
  <si>
    <t>INDB</t>
  </si>
  <si>
    <t>INDI</t>
  </si>
  <si>
    <t>INDO</t>
  </si>
  <si>
    <t>INDP</t>
  </si>
  <si>
    <t>INDV</t>
  </si>
  <si>
    <t>INFA</t>
  </si>
  <si>
    <t>INFN</t>
  </si>
  <si>
    <t>INFU</t>
  </si>
  <si>
    <t>INFY</t>
  </si>
  <si>
    <t>ING</t>
  </si>
  <si>
    <t>INGN</t>
  </si>
  <si>
    <t>INGR</t>
  </si>
  <si>
    <t>INHD</t>
  </si>
  <si>
    <t>INKT</t>
  </si>
  <si>
    <t>INLX</t>
  </si>
  <si>
    <t>INM</t>
  </si>
  <si>
    <t>INMB</t>
  </si>
  <si>
    <t>INMD</t>
  </si>
  <si>
    <t>INN</t>
  </si>
  <si>
    <t>INN^E</t>
  </si>
  <si>
    <t>INN^F</t>
  </si>
  <si>
    <t>INNV</t>
  </si>
  <si>
    <t>INO</t>
  </si>
  <si>
    <t>INOD</t>
  </si>
  <si>
    <t>INPX</t>
  </si>
  <si>
    <t>INSE</t>
  </si>
  <si>
    <t>INSG</t>
  </si>
  <si>
    <t>INSI</t>
  </si>
  <si>
    <t>INSM</t>
  </si>
  <si>
    <t>INSP</t>
  </si>
  <si>
    <t>INST</t>
  </si>
  <si>
    <t>INSW</t>
  </si>
  <si>
    <t>INTA</t>
  </si>
  <si>
    <t>INTC</t>
  </si>
  <si>
    <t>INTE</t>
  </si>
  <si>
    <t>INTG</t>
  </si>
  <si>
    <t>INTR</t>
  </si>
  <si>
    <t>INTS</t>
  </si>
  <si>
    <t>INTT</t>
  </si>
  <si>
    <t>INTU</t>
  </si>
  <si>
    <t>INTZ</t>
  </si>
  <si>
    <t>INUV</t>
  </si>
  <si>
    <t>INVA</t>
  </si>
  <si>
    <t>INVE</t>
  </si>
  <si>
    <t>INVH</t>
  </si>
  <si>
    <t>INVO</t>
  </si>
  <si>
    <t>INVZ</t>
  </si>
  <si>
    <t>INVZW</t>
  </si>
  <si>
    <t>INZY</t>
  </si>
  <si>
    <t>IOBT</t>
  </si>
  <si>
    <t>IONM</t>
  </si>
  <si>
    <t>IONQ</t>
  </si>
  <si>
    <t>IONR</t>
  </si>
  <si>
    <t>IONS</t>
  </si>
  <si>
    <t>IOR</t>
  </si>
  <si>
    <t>IOSP</t>
  </si>
  <si>
    <t>IOT</t>
  </si>
  <si>
    <t>IOVA</t>
  </si>
  <si>
    <t>IP</t>
  </si>
  <si>
    <t>IPA</t>
  </si>
  <si>
    <t>IPAR</t>
  </si>
  <si>
    <t>IPDN</t>
  </si>
  <si>
    <t>IPG</t>
  </si>
  <si>
    <t>IPGP</t>
  </si>
  <si>
    <t>IPHA</t>
  </si>
  <si>
    <t>IPI</t>
  </si>
  <si>
    <t>IPSC</t>
  </si>
  <si>
    <t>IPW</t>
  </si>
  <si>
    <t>IPWR</t>
  </si>
  <si>
    <t>IPX</t>
  </si>
  <si>
    <t>IPXX</t>
  </si>
  <si>
    <t>IPXXW</t>
  </si>
  <si>
    <t>IQ</t>
  </si>
  <si>
    <t>IQI</t>
  </si>
  <si>
    <t>IQV</t>
  </si>
  <si>
    <t>IR</t>
  </si>
  <si>
    <t>IRAA</t>
  </si>
  <si>
    <t>IRBT</t>
  </si>
  <si>
    <t>IRDM</t>
  </si>
  <si>
    <t>IREN</t>
  </si>
  <si>
    <t>IRIX</t>
  </si>
  <si>
    <t>IRM</t>
  </si>
  <si>
    <t>IRMD</t>
  </si>
  <si>
    <t>IROHU</t>
  </si>
  <si>
    <t>IRON</t>
  </si>
  <si>
    <t>IROQ</t>
  </si>
  <si>
    <t>IRRX</t>
  </si>
  <si>
    <t>IRS</t>
  </si>
  <si>
    <t>IRT</t>
  </si>
  <si>
    <t>IRTC</t>
  </si>
  <si>
    <t>IRWD</t>
  </si>
  <si>
    <t>ISD</t>
  </si>
  <si>
    <t>ISDR</t>
  </si>
  <si>
    <t>ISPC</t>
  </si>
  <si>
    <t>ISPO</t>
  </si>
  <si>
    <t>ISPOW</t>
  </si>
  <si>
    <t>ISPR</t>
  </si>
  <si>
    <t>ISRG</t>
  </si>
  <si>
    <t>ISRL</t>
  </si>
  <si>
    <t>ISRLU</t>
  </si>
  <si>
    <t>ISRLW</t>
  </si>
  <si>
    <t>ISSC</t>
  </si>
  <si>
    <t>ISTR</t>
  </si>
  <si>
    <t>ISUN</t>
  </si>
  <si>
    <t>IT</t>
  </si>
  <si>
    <t>ITCI</t>
  </si>
  <si>
    <t>ITGR</t>
  </si>
  <si>
    <t>ITI</t>
  </si>
  <si>
    <t>ITIC</t>
  </si>
  <si>
    <t>ITOS</t>
  </si>
  <si>
    <t>ITP</t>
  </si>
  <si>
    <t>ITRG</t>
  </si>
  <si>
    <t>ITRI</t>
  </si>
  <si>
    <t>ITRM</t>
  </si>
  <si>
    <t>ITRN</t>
  </si>
  <si>
    <t>ITT</t>
  </si>
  <si>
    <t>ITUB</t>
  </si>
  <si>
    <t>ITW</t>
  </si>
  <si>
    <t>IVA</t>
  </si>
  <si>
    <t>IVAC</t>
  </si>
  <si>
    <t>IVCA</t>
  </si>
  <si>
    <t>IVCAW</t>
  </si>
  <si>
    <t>IVCB</t>
  </si>
  <si>
    <t>IVCBW</t>
  </si>
  <si>
    <t>IVCP</t>
  </si>
  <si>
    <t>IVDA</t>
  </si>
  <si>
    <t>IVDAW</t>
  </si>
  <si>
    <t>IVP</t>
  </si>
  <si>
    <t>IVR</t>
  </si>
  <si>
    <t>IVR^B</t>
  </si>
  <si>
    <t>IVR^C</t>
  </si>
  <si>
    <t>IVT</t>
  </si>
  <si>
    <t>IVVD</t>
  </si>
  <si>
    <t>IVZ</t>
  </si>
  <si>
    <t>IX</t>
  </si>
  <si>
    <t>IXAQ</t>
  </si>
  <si>
    <t>IXAQU</t>
  </si>
  <si>
    <t>IXHL</t>
  </si>
  <si>
    <t>IZEA</t>
  </si>
  <si>
    <t>IZM</t>
  </si>
  <si>
    <t>J</t>
  </si>
  <si>
    <t>JACK</t>
  </si>
  <si>
    <t>JAGX</t>
  </si>
  <si>
    <t>JAKK</t>
  </si>
  <si>
    <t>JAMF</t>
  </si>
  <si>
    <t>JAN</t>
  </si>
  <si>
    <t>JANX</t>
  </si>
  <si>
    <t>JAZZ</t>
  </si>
  <si>
    <t>JBGS</t>
  </si>
  <si>
    <t>JBHT</t>
  </si>
  <si>
    <t>JBI</t>
  </si>
  <si>
    <t>JBL</t>
  </si>
  <si>
    <t>JBLU</t>
  </si>
  <si>
    <t>JBSS</t>
  </si>
  <si>
    <t>JBT</t>
  </si>
  <si>
    <t>JCE</t>
  </si>
  <si>
    <t>JCI</t>
  </si>
  <si>
    <t>JCSE</t>
  </si>
  <si>
    <t>JCTCF</t>
  </si>
  <si>
    <t>JD</t>
  </si>
  <si>
    <t>JEF</t>
  </si>
  <si>
    <t>JELD</t>
  </si>
  <si>
    <t>JEQ</t>
  </si>
  <si>
    <t>JEWL</t>
  </si>
  <si>
    <t>JFBR</t>
  </si>
  <si>
    <t>JFBRW</t>
  </si>
  <si>
    <t>JFIN</t>
  </si>
  <si>
    <t>JFR</t>
  </si>
  <si>
    <t>JFU</t>
  </si>
  <si>
    <t>JG</t>
  </si>
  <si>
    <t>JGH</t>
  </si>
  <si>
    <t>JHG</t>
  </si>
  <si>
    <t>JHI</t>
  </si>
  <si>
    <t>JHS</t>
  </si>
  <si>
    <t>JHX</t>
  </si>
  <si>
    <t>JILL</t>
  </si>
  <si>
    <t>JJSF</t>
  </si>
  <si>
    <t>JKHY</t>
  </si>
  <si>
    <t>JKS</t>
  </si>
  <si>
    <t>JLL</t>
  </si>
  <si>
    <t>JLS</t>
  </si>
  <si>
    <t>JMIA</t>
  </si>
  <si>
    <t>JMM</t>
  </si>
  <si>
    <t>JMSB</t>
  </si>
  <si>
    <t>JNJ</t>
  </si>
  <si>
    <t>JNPR</t>
  </si>
  <si>
    <t>JNVR</t>
  </si>
  <si>
    <t>JOAN</t>
  </si>
  <si>
    <t>JOB</t>
  </si>
  <si>
    <t>JOBY</t>
  </si>
  <si>
    <t>JOE</t>
  </si>
  <si>
    <t>JOF</t>
  </si>
  <si>
    <t>JOUT</t>
  </si>
  <si>
    <t>JPC</t>
  </si>
  <si>
    <t>JPI</t>
  </si>
  <si>
    <t>JPM</t>
  </si>
  <si>
    <t>JPM^C</t>
  </si>
  <si>
    <t>JPM^D</t>
  </si>
  <si>
    <t>JPM^J</t>
  </si>
  <si>
    <t>JPM^K</t>
  </si>
  <si>
    <t>JPM^L</t>
  </si>
  <si>
    <t>JPM^M</t>
  </si>
  <si>
    <t>JQC</t>
  </si>
  <si>
    <t>JRI</t>
  </si>
  <si>
    <t>JRS</t>
  </si>
  <si>
    <t>JRSH</t>
  </si>
  <si>
    <t>JRVR</t>
  </si>
  <si>
    <t>JSM</t>
  </si>
  <si>
    <t>JSPR</t>
  </si>
  <si>
    <t>JSPRW</t>
  </si>
  <si>
    <t>JT</t>
  </si>
  <si>
    <t>JTAI</t>
  </si>
  <si>
    <t>JTAIW</t>
  </si>
  <si>
    <t>JTAIZ</t>
  </si>
  <si>
    <t>JVA</t>
  </si>
  <si>
    <t>JWEL</t>
  </si>
  <si>
    <t>JWN</t>
  </si>
  <si>
    <t>JWSM</t>
  </si>
  <si>
    <t>JXJT</t>
  </si>
  <si>
    <t>JXN</t>
  </si>
  <si>
    <t>JXN^A</t>
  </si>
  <si>
    <t>JYD</t>
  </si>
  <si>
    <t>JYNT</t>
  </si>
  <si>
    <t>JZ</t>
  </si>
  <si>
    <t>JZXN</t>
  </si>
  <si>
    <t>K</t>
  </si>
  <si>
    <t>KA</t>
  </si>
  <si>
    <t>KACL</t>
  </si>
  <si>
    <t>KACLU</t>
  </si>
  <si>
    <t>KAI</t>
  </si>
  <si>
    <t>KALA</t>
  </si>
  <si>
    <t>KALU</t>
  </si>
  <si>
    <t>KALV</t>
  </si>
  <si>
    <t>KAMN</t>
  </si>
  <si>
    <t>KAR</t>
  </si>
  <si>
    <t>KARO</t>
  </si>
  <si>
    <t>KAVL</t>
  </si>
  <si>
    <t>KB</t>
  </si>
  <si>
    <t>KBH</t>
  </si>
  <si>
    <t>KBR</t>
  </si>
  <si>
    <t>KC</t>
  </si>
  <si>
    <t>KCGI</t>
  </si>
  <si>
    <t>KD</t>
  </si>
  <si>
    <t>KDP</t>
  </si>
  <si>
    <t>KE</t>
  </si>
  <si>
    <t>KELYA</t>
  </si>
  <si>
    <t>KELYB</t>
  </si>
  <si>
    <t>KEN</t>
  </si>
  <si>
    <t>KEP</t>
  </si>
  <si>
    <t>KEQU</t>
  </si>
  <si>
    <t>KERN</t>
  </si>
  <si>
    <t>KERNW</t>
  </si>
  <si>
    <t>KEX</t>
  </si>
  <si>
    <t>KEY</t>
  </si>
  <si>
    <t>KEY^I</t>
  </si>
  <si>
    <t>KEY^J</t>
  </si>
  <si>
    <t>KEY^K</t>
  </si>
  <si>
    <t>KEY^L</t>
  </si>
  <si>
    <t>KEYS</t>
  </si>
  <si>
    <t>KF</t>
  </si>
  <si>
    <t>KFFB</t>
  </si>
  <si>
    <t>KFRC</t>
  </si>
  <si>
    <t>KFS</t>
  </si>
  <si>
    <t>KFY</t>
  </si>
  <si>
    <t>KGC</t>
  </si>
  <si>
    <t>KGEI</t>
  </si>
  <si>
    <t>KGS</t>
  </si>
  <si>
    <t>KHC</t>
  </si>
  <si>
    <t>KIDS</t>
  </si>
  <si>
    <t>KIM</t>
  </si>
  <si>
    <t>KIM^L</t>
  </si>
  <si>
    <t>KIM^M</t>
  </si>
  <si>
    <t>KIM^N</t>
  </si>
  <si>
    <t>KIND</t>
  </si>
  <si>
    <t>KINS</t>
  </si>
  <si>
    <t>KIO</t>
  </si>
  <si>
    <t>KIQ</t>
  </si>
  <si>
    <t>KIRK</t>
  </si>
  <si>
    <t>KITT</t>
  </si>
  <si>
    <t>KITTW</t>
  </si>
  <si>
    <t>KKR</t>
  </si>
  <si>
    <t>KKRS</t>
  </si>
  <si>
    <t>KLAC</t>
  </si>
  <si>
    <t>KLG</t>
  </si>
  <si>
    <t>KLIC</t>
  </si>
  <si>
    <t>KLTR</t>
  </si>
  <si>
    <t>KLXE</t>
  </si>
  <si>
    <t>KMB</t>
  </si>
  <si>
    <t>KMDA</t>
  </si>
  <si>
    <t>KMI</t>
  </si>
  <si>
    <t>KMPB</t>
  </si>
  <si>
    <t>KMPR</t>
  </si>
  <si>
    <t>KMT</t>
  </si>
  <si>
    <t>KMX</t>
  </si>
  <si>
    <t>KN</t>
  </si>
  <si>
    <t>KNDI</t>
  </si>
  <si>
    <t>KNF</t>
  </si>
  <si>
    <t>KNOP</t>
  </si>
  <si>
    <t>KNSA</t>
  </si>
  <si>
    <t>KNSL</t>
  </si>
  <si>
    <t>KNTE</t>
  </si>
  <si>
    <t>KNTK</t>
  </si>
  <si>
    <t>KNW</t>
  </si>
  <si>
    <t>KNX</t>
  </si>
  <si>
    <t>KO</t>
  </si>
  <si>
    <t>KOD</t>
  </si>
  <si>
    <t>KODK</t>
  </si>
  <si>
    <t>KOF</t>
  </si>
  <si>
    <t>KOP</t>
  </si>
  <si>
    <t>KOPN</t>
  </si>
  <si>
    <t>KORE</t>
  </si>
  <si>
    <t>KOS</t>
  </si>
  <si>
    <t>KOSS</t>
  </si>
  <si>
    <t>KPLT</t>
  </si>
  <si>
    <t>KPLTW</t>
  </si>
  <si>
    <t>KPRX</t>
  </si>
  <si>
    <t>KPTI</t>
  </si>
  <si>
    <t>KR</t>
  </si>
  <si>
    <t>KRC</t>
  </si>
  <si>
    <t>KREF</t>
  </si>
  <si>
    <t>KREF^A</t>
  </si>
  <si>
    <t>KRG</t>
  </si>
  <si>
    <t>KRKR</t>
  </si>
  <si>
    <t>KRMD</t>
  </si>
  <si>
    <t>KRNL</t>
  </si>
  <si>
    <t>KRNLU</t>
  </si>
  <si>
    <t>KRNT</t>
  </si>
  <si>
    <t>KRNY</t>
  </si>
  <si>
    <t>KRO</t>
  </si>
  <si>
    <t>KRON</t>
  </si>
  <si>
    <t>KROS</t>
  </si>
  <si>
    <t>KRP</t>
  </si>
  <si>
    <t>KRRO</t>
  </si>
  <si>
    <t>KRT</t>
  </si>
  <si>
    <t>KRTX</t>
  </si>
  <si>
    <t>KRUS</t>
  </si>
  <si>
    <t>KRYS</t>
  </si>
  <si>
    <t>KSCP</t>
  </si>
  <si>
    <t>KSM</t>
  </si>
  <si>
    <t>KSS</t>
  </si>
  <si>
    <t>KT</t>
  </si>
  <si>
    <t>KTB</t>
  </si>
  <si>
    <t>KTCC</t>
  </si>
  <si>
    <t>KTF</t>
  </si>
  <si>
    <t>KTH</t>
  </si>
  <si>
    <t>KTN</t>
  </si>
  <si>
    <t>KTOS</t>
  </si>
  <si>
    <t>KTRA</t>
  </si>
  <si>
    <t>KTTA</t>
  </si>
  <si>
    <t>KTTAW</t>
  </si>
  <si>
    <t>KUKE</t>
  </si>
  <si>
    <t>KULR</t>
  </si>
  <si>
    <t>KURA</t>
  </si>
  <si>
    <t>KVAC</t>
  </si>
  <si>
    <t>KVACU</t>
  </si>
  <si>
    <t>KVACW</t>
  </si>
  <si>
    <t>KVHI</t>
  </si>
  <si>
    <t>KVUE</t>
  </si>
  <si>
    <t>KVYO</t>
  </si>
  <si>
    <t>KW</t>
  </si>
  <si>
    <t>KWE</t>
  </si>
  <si>
    <t>KWR</t>
  </si>
  <si>
    <t>KXIN</t>
  </si>
  <si>
    <t>KYCH</t>
  </si>
  <si>
    <t>KYCHR</t>
  </si>
  <si>
    <t>KYMR</t>
  </si>
  <si>
    <t>KYN</t>
  </si>
  <si>
    <t>KZIA</t>
  </si>
  <si>
    <t>KZR</t>
  </si>
  <si>
    <t>L</t>
  </si>
  <si>
    <t>LAAC</t>
  </si>
  <si>
    <t>LAB</t>
  </si>
  <si>
    <t>LABP</t>
  </si>
  <si>
    <t>LAC</t>
  </si>
  <si>
    <t>LAD</t>
  </si>
  <si>
    <t>LADR</t>
  </si>
  <si>
    <t>LAES</t>
  </si>
  <si>
    <t>LAKE</t>
  </si>
  <si>
    <t>LAMR</t>
  </si>
  <si>
    <t>LANC</t>
  </si>
  <si>
    <t>LAND</t>
  </si>
  <si>
    <t>LANDM</t>
  </si>
  <si>
    <t>LANDO</t>
  </si>
  <si>
    <t>LANDP</t>
  </si>
  <si>
    <t>LANV</t>
  </si>
  <si>
    <t>LARK</t>
  </si>
  <si>
    <t>LASE</t>
  </si>
  <si>
    <t>LASR</t>
  </si>
  <si>
    <t>LATG</t>
  </si>
  <si>
    <t>LATGU</t>
  </si>
  <si>
    <t>LAUR</t>
  </si>
  <si>
    <t>LAW</t>
  </si>
  <si>
    <t>LAZ</t>
  </si>
  <si>
    <t>LAZR</t>
  </si>
  <si>
    <t>LAZY</t>
  </si>
  <si>
    <t>LBAI</t>
  </si>
  <si>
    <t>LBBB</t>
  </si>
  <si>
    <t>LBBBR</t>
  </si>
  <si>
    <t>LBBBW</t>
  </si>
  <si>
    <t>LBC</t>
  </si>
  <si>
    <t>LBPH</t>
  </si>
  <si>
    <t>LBRDA</t>
  </si>
  <si>
    <t>LBRDK</t>
  </si>
  <si>
    <t>LBRDP</t>
  </si>
  <si>
    <t>LBRT</t>
  </si>
  <si>
    <t>LBTYA</t>
  </si>
  <si>
    <t>LBTYB</t>
  </si>
  <si>
    <t>LBTYK</t>
  </si>
  <si>
    <t>LC</t>
  </si>
  <si>
    <t>LCA</t>
  </si>
  <si>
    <t>LCAA</t>
  </si>
  <si>
    <t>LCAAW</t>
  </si>
  <si>
    <t>LCAHW</t>
  </si>
  <si>
    <t>LCFY</t>
  </si>
  <si>
    <t>LCFYW</t>
  </si>
  <si>
    <t>LCID</t>
  </si>
  <si>
    <t>LCII</t>
  </si>
  <si>
    <t>LCNB</t>
  </si>
  <si>
    <t>LCTX</t>
  </si>
  <si>
    <t>LCUT</t>
  </si>
  <si>
    <t>LCW</t>
  </si>
  <si>
    <t>LDI</t>
  </si>
  <si>
    <t>LDOS</t>
  </si>
  <si>
    <t>LDP</t>
  </si>
  <si>
    <t>LDTC</t>
  </si>
  <si>
    <t>LDTCW</t>
  </si>
  <si>
    <t>LDWY</t>
  </si>
  <si>
    <t>LE</t>
  </si>
  <si>
    <t>LEA</t>
  </si>
  <si>
    <t>LECO</t>
  </si>
  <si>
    <t>LEDS</t>
  </si>
  <si>
    <t>LEE</t>
  </si>
  <si>
    <t>LEG</t>
  </si>
  <si>
    <t>LEGH</t>
  </si>
  <si>
    <t>LEGN</t>
  </si>
  <si>
    <t>LEJU</t>
  </si>
  <si>
    <t>LEN</t>
  </si>
  <si>
    <t>LEO</t>
  </si>
  <si>
    <t>LESL</t>
  </si>
  <si>
    <t>LEU</t>
  </si>
  <si>
    <t>LEV</t>
  </si>
  <si>
    <t>LEVI</t>
  </si>
  <si>
    <t>LEXX</t>
  </si>
  <si>
    <t>LEXXW</t>
  </si>
  <si>
    <t>LFCR</t>
  </si>
  <si>
    <t>LFLY</t>
  </si>
  <si>
    <t>LFLYW</t>
  </si>
  <si>
    <t>LFMD</t>
  </si>
  <si>
    <t>LFMDP</t>
  </si>
  <si>
    <t>LFST</t>
  </si>
  <si>
    <t>LFT</t>
  </si>
  <si>
    <t>LFT^A</t>
  </si>
  <si>
    <t>LFUS</t>
  </si>
  <si>
    <t>LFVN</t>
  </si>
  <si>
    <t>LGCB</t>
  </si>
  <si>
    <t>LGHL</t>
  </si>
  <si>
    <t>LGHLW</t>
  </si>
  <si>
    <t>LGI</t>
  </si>
  <si>
    <t>LGIH</t>
  </si>
  <si>
    <t>LGL</t>
  </si>
  <si>
    <t>LGMK</t>
  </si>
  <si>
    <t>LGND</t>
  </si>
  <si>
    <t>LGO</t>
  </si>
  <si>
    <t>LGST</t>
  </si>
  <si>
    <t>LGSTW</t>
  </si>
  <si>
    <t>LGVC</t>
  </si>
  <si>
    <t>LGVN</t>
  </si>
  <si>
    <t>LH</t>
  </si>
  <si>
    <t>LHX</t>
  </si>
  <si>
    <t>LI</t>
  </si>
  <si>
    <t>LIAN</t>
  </si>
  <si>
    <t>LIBY</t>
  </si>
  <si>
    <t>LIBYU</t>
  </si>
  <si>
    <t>LIBYW</t>
  </si>
  <si>
    <t>LICN</t>
  </si>
  <si>
    <t>LICY</t>
  </si>
  <si>
    <t>LIDR</t>
  </si>
  <si>
    <t>LIDRW</t>
  </si>
  <si>
    <t>LIFE</t>
  </si>
  <si>
    <t>LIFW</t>
  </si>
  <si>
    <t>LIFWW</t>
  </si>
  <si>
    <t>LIFWZ</t>
  </si>
  <si>
    <t>LII</t>
  </si>
  <si>
    <t>LILA</t>
  </si>
  <si>
    <t>LILAK</t>
  </si>
  <si>
    <t>LILM</t>
  </si>
  <si>
    <t>LILMW</t>
  </si>
  <si>
    <t>LIN</t>
  </si>
  <si>
    <t>LINC</t>
  </si>
  <si>
    <t>LIND</t>
  </si>
  <si>
    <t>LINK</t>
  </si>
  <si>
    <t>LIPO</t>
  </si>
  <si>
    <t>LIQT</t>
  </si>
  <si>
    <t>LITB</t>
  </si>
  <si>
    <t>LITE</t>
  </si>
  <si>
    <t>LITM</t>
  </si>
  <si>
    <t>LIVE</t>
  </si>
  <si>
    <t>LIVN</t>
  </si>
  <si>
    <t>LIXT</t>
  </si>
  <si>
    <t>LIXTW</t>
  </si>
  <si>
    <t>LIZI</t>
  </si>
  <si>
    <t>LKCO</t>
  </si>
  <si>
    <t>LKFN</t>
  </si>
  <si>
    <t>LKQ</t>
  </si>
  <si>
    <t>LL</t>
  </si>
  <si>
    <t>LLAP</t>
  </si>
  <si>
    <t>LLY</t>
  </si>
  <si>
    <t>LLYVA</t>
  </si>
  <si>
    <t>LLYVK</t>
  </si>
  <si>
    <t>LMAT</t>
  </si>
  <si>
    <t>LMB</t>
  </si>
  <si>
    <t>LMDX</t>
  </si>
  <si>
    <t>LMDXW</t>
  </si>
  <si>
    <t>LMFA</t>
  </si>
  <si>
    <t>LMND</t>
  </si>
  <si>
    <t>LMNR</t>
  </si>
  <si>
    <t>LMT</t>
  </si>
  <si>
    <t>LNC</t>
  </si>
  <si>
    <t>LNC^D</t>
  </si>
  <si>
    <t>LND</t>
  </si>
  <si>
    <t>LNG</t>
  </si>
  <si>
    <t>LNKB</t>
  </si>
  <si>
    <t>LNN</t>
  </si>
  <si>
    <t>LNSR</t>
  </si>
  <si>
    <t>LNT</t>
  </si>
  <si>
    <t>LNTH</t>
  </si>
  <si>
    <t>LNW</t>
  </si>
  <si>
    <t>LNZA</t>
  </si>
  <si>
    <t>LNZAW</t>
  </si>
  <si>
    <t>LOAN</t>
  </si>
  <si>
    <t>LOB</t>
  </si>
  <si>
    <t>LOCL</t>
  </si>
  <si>
    <t>LOCO</t>
  </si>
  <si>
    <t>LODE</t>
  </si>
  <si>
    <t>LOGI</t>
  </si>
  <si>
    <t>LOMA</t>
  </si>
  <si>
    <t>LOOP</t>
  </si>
  <si>
    <t>LOPE</t>
  </si>
  <si>
    <t>LOVE</t>
  </si>
  <si>
    <t>LOW</t>
  </si>
  <si>
    <t>LPCN</t>
  </si>
  <si>
    <t>LPG</t>
  </si>
  <si>
    <t>LPL</t>
  </si>
  <si>
    <t>LPLA</t>
  </si>
  <si>
    <t>LPRO</t>
  </si>
  <si>
    <t>LPSN</t>
  </si>
  <si>
    <t>LPTH</t>
  </si>
  <si>
    <t>LPTV</t>
  </si>
  <si>
    <t>LPTX</t>
  </si>
  <si>
    <t>LPX</t>
  </si>
  <si>
    <t>LQDA</t>
  </si>
  <si>
    <t>LQDT</t>
  </si>
  <si>
    <t>LQR</t>
  </si>
  <si>
    <t>LRCX</t>
  </si>
  <si>
    <t>LRE</t>
  </si>
  <si>
    <t>LRFC</t>
  </si>
  <si>
    <t>LRHC</t>
  </si>
  <si>
    <t>LRMR</t>
  </si>
  <si>
    <t>LRN</t>
  </si>
  <si>
    <t>LSAK</t>
  </si>
  <si>
    <t>LSBK</t>
  </si>
  <si>
    <t>LSCC</t>
  </si>
  <si>
    <t>LSDI</t>
  </si>
  <si>
    <t>LSEA</t>
  </si>
  <si>
    <t>LSEAW</t>
  </si>
  <si>
    <t>LSF</t>
  </si>
  <si>
    <t>LSPD</t>
  </si>
  <si>
    <t>LSTA</t>
  </si>
  <si>
    <t>LSTR</t>
  </si>
  <si>
    <t>LSXMA</t>
  </si>
  <si>
    <t>LSXMB</t>
  </si>
  <si>
    <t>LSXMK</t>
  </si>
  <si>
    <t>LTBR</t>
  </si>
  <si>
    <t>LTC</t>
  </si>
  <si>
    <t>LTH</t>
  </si>
  <si>
    <t>LTRN</t>
  </si>
  <si>
    <t>LTRX</t>
  </si>
  <si>
    <t>LTRY</t>
  </si>
  <si>
    <t>LTRYW</t>
  </si>
  <si>
    <t>LU</t>
  </si>
  <si>
    <t>LUCD</t>
  </si>
  <si>
    <t>LUCY</t>
  </si>
  <si>
    <t>LUCYW</t>
  </si>
  <si>
    <t>LULU</t>
  </si>
  <si>
    <t>LUMN</t>
  </si>
  <si>
    <t>LUMO</t>
  </si>
  <si>
    <t>LUNA</t>
  </si>
  <si>
    <t>LUNG</t>
  </si>
  <si>
    <t>LUNR</t>
  </si>
  <si>
    <t>LUNRW</t>
  </si>
  <si>
    <t>LUV</t>
  </si>
  <si>
    <t>LUXH</t>
  </si>
  <si>
    <t>LUXHP</t>
  </si>
  <si>
    <t>LVLU</t>
  </si>
  <si>
    <t>LVO</t>
  </si>
  <si>
    <t>LVRO</t>
  </si>
  <si>
    <t>LVROW</t>
  </si>
  <si>
    <t>LVS</t>
  </si>
  <si>
    <t>LVTX</t>
  </si>
  <si>
    <t>LVWR</t>
  </si>
  <si>
    <t>LW</t>
  </si>
  <si>
    <t>LWAY</t>
  </si>
  <si>
    <t>LWLG</t>
  </si>
  <si>
    <t>LX</t>
  </si>
  <si>
    <t>LXEH</t>
  </si>
  <si>
    <t>LXEO</t>
  </si>
  <si>
    <t>LXFR</t>
  </si>
  <si>
    <t>LXP</t>
  </si>
  <si>
    <t>LXP^C</t>
  </si>
  <si>
    <t>LXRX</t>
  </si>
  <si>
    <t>LXU</t>
  </si>
  <si>
    <t>LYB</t>
  </si>
  <si>
    <t>LYEL</t>
  </si>
  <si>
    <t>LYFT</t>
  </si>
  <si>
    <t>LYG</t>
  </si>
  <si>
    <t>LYRA</t>
  </si>
  <si>
    <t>LYT</t>
  </si>
  <si>
    <t>LYTS</t>
  </si>
  <si>
    <t>LYV</t>
  </si>
  <si>
    <t>LZ</t>
  </si>
  <si>
    <t>LZB</t>
  </si>
  <si>
    <t>LZM</t>
  </si>
  <si>
    <t>M</t>
  </si>
  <si>
    <t>MA</t>
  </si>
  <si>
    <t>MAA</t>
  </si>
  <si>
    <t>MAA^I</t>
  </si>
  <si>
    <t>MAC</t>
  </si>
  <si>
    <t>MACA</t>
  </si>
  <si>
    <t>MACAW</t>
  </si>
  <si>
    <t>MACK</t>
  </si>
  <si>
    <t>MAG</t>
  </si>
  <si>
    <t>MAIA</t>
  </si>
  <si>
    <t>MAIN</t>
  </si>
  <si>
    <t>MAMA</t>
  </si>
  <si>
    <t>MAN</t>
  </si>
  <si>
    <t>MANH</t>
  </si>
  <si>
    <t>MANU</t>
  </si>
  <si>
    <t>MAPS</t>
  </si>
  <si>
    <t>MAPSW</t>
  </si>
  <si>
    <t>MAQC</t>
  </si>
  <si>
    <t>MAQCW</t>
  </si>
  <si>
    <t>MAR</t>
  </si>
  <si>
    <t>MARA</t>
  </si>
  <si>
    <t>MARK</t>
  </si>
  <si>
    <t>MARPS</t>
  </si>
  <si>
    <t>MARX</t>
  </si>
  <si>
    <t>MAS</t>
  </si>
  <si>
    <t>MASI</t>
  </si>
  <si>
    <t>MASS</t>
  </si>
  <si>
    <t>MAT</t>
  </si>
  <si>
    <t>MATH</t>
  </si>
  <si>
    <t>MATV</t>
  </si>
  <si>
    <t>MATW</t>
  </si>
  <si>
    <t>MATX</t>
  </si>
  <si>
    <t>MAV</t>
  </si>
  <si>
    <t>MAX</t>
  </si>
  <si>
    <t>MAXN</t>
  </si>
  <si>
    <t>MAYS</t>
  </si>
  <si>
    <t>MBC</t>
  </si>
  <si>
    <t>MBCN</t>
  </si>
  <si>
    <t>MBI</t>
  </si>
  <si>
    <t>MBIN</t>
  </si>
  <si>
    <t>MBINM</t>
  </si>
  <si>
    <t>MBINN</t>
  </si>
  <si>
    <t>MBINO</t>
  </si>
  <si>
    <t>MBINP</t>
  </si>
  <si>
    <t>MBIO</t>
  </si>
  <si>
    <t>MBLY</t>
  </si>
  <si>
    <t>MBNKP</t>
  </si>
  <si>
    <t>MBOT</t>
  </si>
  <si>
    <t>MBRX</t>
  </si>
  <si>
    <t>MBTC</t>
  </si>
  <si>
    <t>MBTCR</t>
  </si>
  <si>
    <t>MBTCU</t>
  </si>
  <si>
    <t>MBUU</t>
  </si>
  <si>
    <t>MBWM</t>
  </si>
  <si>
    <t>MC</t>
  </si>
  <si>
    <t>MCAA</t>
  </si>
  <si>
    <t>MCAAW</t>
  </si>
  <si>
    <t>MCAC</t>
  </si>
  <si>
    <t>MCACR</t>
  </si>
  <si>
    <t>MCACW</t>
  </si>
  <si>
    <t>MCAF</t>
  </si>
  <si>
    <t>MCAFR</t>
  </si>
  <si>
    <t>MCAFU</t>
  </si>
  <si>
    <t>MCAG</t>
  </si>
  <si>
    <t>MCAGR</t>
  </si>
  <si>
    <t>MCB</t>
  </si>
  <si>
    <t>MCBC</t>
  </si>
  <si>
    <t>MCBS</t>
  </si>
  <si>
    <t>MCD</t>
  </si>
  <si>
    <t>MCFT</t>
  </si>
  <si>
    <t>MCHP</t>
  </si>
  <si>
    <t>MCHX</t>
  </si>
  <si>
    <t>MCI</t>
  </si>
  <si>
    <t>MCK</t>
  </si>
  <si>
    <t>MCN</t>
  </si>
  <si>
    <t>MCO</t>
  </si>
  <si>
    <t>MCR</t>
  </si>
  <si>
    <t>MCRB</t>
  </si>
  <si>
    <t>MCRI</t>
  </si>
  <si>
    <t>MCS</t>
  </si>
  <si>
    <t>MCVT</t>
  </si>
  <si>
    <t>MCW</t>
  </si>
  <si>
    <t>MCY</t>
  </si>
  <si>
    <t>MD</t>
  </si>
  <si>
    <t>MDAI</t>
  </si>
  <si>
    <t>MDAIW</t>
  </si>
  <si>
    <t>MDB</t>
  </si>
  <si>
    <t>MDBH</t>
  </si>
  <si>
    <t>MDC</t>
  </si>
  <si>
    <t>MDGL</t>
  </si>
  <si>
    <t>MDGS</t>
  </si>
  <si>
    <t>MDIA</t>
  </si>
  <si>
    <t>MDJH</t>
  </si>
  <si>
    <t>MDLZ</t>
  </si>
  <si>
    <t>MDRR</t>
  </si>
  <si>
    <t>MDRRP</t>
  </si>
  <si>
    <t>MDRX</t>
  </si>
  <si>
    <t>MDT</t>
  </si>
  <si>
    <t>MDU</t>
  </si>
  <si>
    <t>MDV</t>
  </si>
  <si>
    <t>MDV^A</t>
  </si>
  <si>
    <t>MDVL</t>
  </si>
  <si>
    <t>MDWD</t>
  </si>
  <si>
    <t>MDXG</t>
  </si>
  <si>
    <t>MDXH</t>
  </si>
  <si>
    <t>ME</t>
  </si>
  <si>
    <t>MEC</t>
  </si>
  <si>
    <t>MED</t>
  </si>
  <si>
    <t>MEDP</t>
  </si>
  <si>
    <t>MEDS</t>
  </si>
  <si>
    <t>MEG</t>
  </si>
  <si>
    <t>MEGI</t>
  </si>
  <si>
    <t>MEGL</t>
  </si>
  <si>
    <t>MEI</t>
  </si>
  <si>
    <t>MEIP</t>
  </si>
  <si>
    <t>MELI</t>
  </si>
  <si>
    <t>MEOH</t>
  </si>
  <si>
    <t>MER^K</t>
  </si>
  <si>
    <t>MERC</t>
  </si>
  <si>
    <t>MESA</t>
  </si>
  <si>
    <t>MESO</t>
  </si>
  <si>
    <t>MET</t>
  </si>
  <si>
    <t>MET^A</t>
  </si>
  <si>
    <t>MET^E</t>
  </si>
  <si>
    <t>MET^F</t>
  </si>
  <si>
    <t>META</t>
  </si>
  <si>
    <t>METC</t>
  </si>
  <si>
    <t>METCB</t>
  </si>
  <si>
    <t>METCL</t>
  </si>
  <si>
    <t>MFA</t>
  </si>
  <si>
    <t>MFA^B</t>
  </si>
  <si>
    <t>MFA^C</t>
  </si>
  <si>
    <t>MFC</t>
  </si>
  <si>
    <t>MFD</t>
  </si>
  <si>
    <t>MFG</t>
  </si>
  <si>
    <t>MFH</t>
  </si>
  <si>
    <t>MFIC</t>
  </si>
  <si>
    <t>MFICL</t>
  </si>
  <si>
    <t>MFIN</t>
  </si>
  <si>
    <t>MFM</t>
  </si>
  <si>
    <t>MFV</t>
  </si>
  <si>
    <t>MG</t>
  </si>
  <si>
    <t>MGA</t>
  </si>
  <si>
    <t>MGAM</t>
  </si>
  <si>
    <t>MGEE</t>
  </si>
  <si>
    <t>MGF</t>
  </si>
  <si>
    <t>MGIC</t>
  </si>
  <si>
    <t>MGIH</t>
  </si>
  <si>
    <t>MGLD</t>
  </si>
  <si>
    <t>MGM</t>
  </si>
  <si>
    <t>MGNI</t>
  </si>
  <si>
    <t>MGNX</t>
  </si>
  <si>
    <t>MGOL</t>
  </si>
  <si>
    <t>MGPI</t>
  </si>
  <si>
    <t>MGR</t>
  </si>
  <si>
    <t>MGRB</t>
  </si>
  <si>
    <t>MGRC</t>
  </si>
  <si>
    <t>MGRD</t>
  </si>
  <si>
    <t>MGRM</t>
  </si>
  <si>
    <t>MGRX</t>
  </si>
  <si>
    <t>MGTX</t>
  </si>
  <si>
    <t>MGY</t>
  </si>
  <si>
    <t>MGYR</t>
  </si>
  <si>
    <t>MHD</t>
  </si>
  <si>
    <t>MHF</t>
  </si>
  <si>
    <t>MHH</t>
  </si>
  <si>
    <t>MHI</t>
  </si>
  <si>
    <t>MHK</t>
  </si>
  <si>
    <t>MHLA</t>
  </si>
  <si>
    <t>MHLD</t>
  </si>
  <si>
    <t>MHN</t>
  </si>
  <si>
    <t>MHNC</t>
  </si>
  <si>
    <t>MHO</t>
  </si>
  <si>
    <t>MHUA</t>
  </si>
  <si>
    <t>MI</t>
  </si>
  <si>
    <t>MICS</t>
  </si>
  <si>
    <t>MIDD</t>
  </si>
  <si>
    <t>MIGI</t>
  </si>
  <si>
    <t>MIMO</t>
  </si>
  <si>
    <t>MIN</t>
  </si>
  <si>
    <t>MIND</t>
  </si>
  <si>
    <t>MINDP</t>
  </si>
  <si>
    <t>MINM</t>
  </si>
  <si>
    <t>MIO</t>
  </si>
  <si>
    <t>MIR</t>
  </si>
  <si>
    <t>MIRA</t>
  </si>
  <si>
    <t>MIRM</t>
  </si>
  <si>
    <t>MIST</t>
  </si>
  <si>
    <t>MITA</t>
  </si>
  <si>
    <t>MITAU</t>
  </si>
  <si>
    <t>MITK</t>
  </si>
  <si>
    <t>MITQ</t>
  </si>
  <si>
    <t>MITT</t>
  </si>
  <si>
    <t>MITT^A</t>
  </si>
  <si>
    <t>MITT^B</t>
  </si>
  <si>
    <t>MITT^C</t>
  </si>
  <si>
    <t>MIXT</t>
  </si>
  <si>
    <t>MIY</t>
  </si>
  <si>
    <t>MKC</t>
  </si>
  <si>
    <t>MKFG</t>
  </si>
  <si>
    <t>MKL</t>
  </si>
  <si>
    <t>MKSI</t>
  </si>
  <si>
    <t>MKTW</t>
  </si>
  <si>
    <t>MKTX</t>
  </si>
  <si>
    <t>ML</t>
  </si>
  <si>
    <t>MLAB</t>
  </si>
  <si>
    <t>MLCO</t>
  </si>
  <si>
    <t>MLEC</t>
  </si>
  <si>
    <t>MLGO</t>
  </si>
  <si>
    <t>MLI</t>
  </si>
  <si>
    <t>MLKN</t>
  </si>
  <si>
    <t>MLM</t>
  </si>
  <si>
    <t>MLNK</t>
  </si>
  <si>
    <t>MLP</t>
  </si>
  <si>
    <t>MLR</t>
  </si>
  <si>
    <t>MLSS</t>
  </si>
  <si>
    <t>MLTX</t>
  </si>
  <si>
    <t>MLYS</t>
  </si>
  <si>
    <t>MMAT</t>
  </si>
  <si>
    <t>MMC</t>
  </si>
  <si>
    <t>MMD</t>
  </si>
  <si>
    <t>MMI</t>
  </si>
  <si>
    <t>MMLP</t>
  </si>
  <si>
    <t>MMM</t>
  </si>
  <si>
    <t>MMS</t>
  </si>
  <si>
    <t>MMSI</t>
  </si>
  <si>
    <t>MMT</t>
  </si>
  <si>
    <t>MMU</t>
  </si>
  <si>
    <t>MMV</t>
  </si>
  <si>
    <t>MMYT</t>
  </si>
  <si>
    <t>MNDO</t>
  </si>
  <si>
    <t>MNDY</t>
  </si>
  <si>
    <t>MNKD</t>
  </si>
  <si>
    <t>MNMD</t>
  </si>
  <si>
    <t>MNOV</t>
  </si>
  <si>
    <t>MNPR</t>
  </si>
  <si>
    <t>MNR</t>
  </si>
  <si>
    <t>MNRO</t>
  </si>
  <si>
    <t>MNSB</t>
  </si>
  <si>
    <t>MNSBP</t>
  </si>
  <si>
    <t>MNSO</t>
  </si>
  <si>
    <t>MNST</t>
  </si>
  <si>
    <t>MNTK</t>
  </si>
  <si>
    <t>MNTN</t>
  </si>
  <si>
    <t>MNTS</t>
  </si>
  <si>
    <t>MNTSW</t>
  </si>
  <si>
    <t>MNTX</t>
  </si>
  <si>
    <t>MNY</t>
  </si>
  <si>
    <t>MNYWW</t>
  </si>
  <si>
    <t>MO</t>
  </si>
  <si>
    <t>MOB</t>
  </si>
  <si>
    <t>MOBX</t>
  </si>
  <si>
    <t>MOBXW</t>
  </si>
  <si>
    <t>MOD</t>
  </si>
  <si>
    <t>MODD</t>
  </si>
  <si>
    <t>MODG</t>
  </si>
  <si>
    <t>MODN</t>
  </si>
  <si>
    <t>MODV</t>
  </si>
  <si>
    <t>MOFG</t>
  </si>
  <si>
    <t>MOGO</t>
  </si>
  <si>
    <t>MOGU</t>
  </si>
  <si>
    <t>MOH</t>
  </si>
  <si>
    <t>MOLN</t>
  </si>
  <si>
    <t>MOMO</t>
  </si>
  <si>
    <t>MOND</t>
  </si>
  <si>
    <t>MOR</t>
  </si>
  <si>
    <t>MORF</t>
  </si>
  <si>
    <t>MORN</t>
  </si>
  <si>
    <t>MOS</t>
  </si>
  <si>
    <t>MOTS</t>
  </si>
  <si>
    <t>MOV</t>
  </si>
  <si>
    <t>MOVE</t>
  </si>
  <si>
    <t>MP</t>
  </si>
  <si>
    <t>MPA</t>
  </si>
  <si>
    <t>MPAA</t>
  </si>
  <si>
    <t>MPB</t>
  </si>
  <si>
    <t>MPC</t>
  </si>
  <si>
    <t>MPLN</t>
  </si>
  <si>
    <t>MPLX</t>
  </si>
  <si>
    <t>MPTI</t>
  </si>
  <si>
    <t>MPU</t>
  </si>
  <si>
    <t>MPV</t>
  </si>
  <si>
    <t>MPW</t>
  </si>
  <si>
    <t>MPWR</t>
  </si>
  <si>
    <t>MPX</t>
  </si>
  <si>
    <t>MQ</t>
  </si>
  <si>
    <t>MQT</t>
  </si>
  <si>
    <t>MQY</t>
  </si>
  <si>
    <t>MRAI</t>
  </si>
  <si>
    <t>MRAM</t>
  </si>
  <si>
    <t>MRBK</t>
  </si>
  <si>
    <t>MRC</t>
  </si>
  <si>
    <t>MRCC</t>
  </si>
  <si>
    <t>MRCY</t>
  </si>
  <si>
    <t>MRDB</t>
  </si>
  <si>
    <t>MREO</t>
  </si>
  <si>
    <t>MRIN</t>
  </si>
  <si>
    <t>MRK</t>
  </si>
  <si>
    <t>MRKR</t>
  </si>
  <si>
    <t>MRM</t>
  </si>
  <si>
    <t>MRNA</t>
  </si>
  <si>
    <t>MRNS</t>
  </si>
  <si>
    <t>MRO</t>
  </si>
  <si>
    <t>MRSN</t>
  </si>
  <si>
    <t>MRT</t>
  </si>
  <si>
    <t>MRTN</t>
  </si>
  <si>
    <t>MRTX</t>
  </si>
  <si>
    <t>MRUS</t>
  </si>
  <si>
    <t>MRVI</t>
  </si>
  <si>
    <t>MRVL</t>
  </si>
  <si>
    <t>MS</t>
  </si>
  <si>
    <t>MS^A</t>
  </si>
  <si>
    <t>MS^E</t>
  </si>
  <si>
    <t>MS^F</t>
  </si>
  <si>
    <t>MS^I</t>
  </si>
  <si>
    <t>MS^K</t>
  </si>
  <si>
    <t>MS^L</t>
  </si>
  <si>
    <t>MS^O</t>
  </si>
  <si>
    <t>MS^P</t>
  </si>
  <si>
    <t>MSA</t>
  </si>
  <si>
    <t>MSAI</t>
  </si>
  <si>
    <t>MSAIW</t>
  </si>
  <si>
    <t>MSB</t>
  </si>
  <si>
    <t>MSBI</t>
  </si>
  <si>
    <t>MSBIP</t>
  </si>
  <si>
    <t>MSC</t>
  </si>
  <si>
    <t>MSCI</t>
  </si>
  <si>
    <t>MSD</t>
  </si>
  <si>
    <t>MSEX</t>
  </si>
  <si>
    <t>MSFT</t>
  </si>
  <si>
    <t>MSGE</t>
  </si>
  <si>
    <t>MSGM</t>
  </si>
  <si>
    <t>MSGS</t>
  </si>
  <si>
    <t>MSI</t>
  </si>
  <si>
    <t>MSM</t>
  </si>
  <si>
    <t>MSN</t>
  </si>
  <si>
    <t>MSS</t>
  </si>
  <si>
    <t>MSSAR</t>
  </si>
  <si>
    <t>MSSAW</t>
  </si>
  <si>
    <t>MSTR</t>
  </si>
  <si>
    <t>MT</t>
  </si>
  <si>
    <t>MTA</t>
  </si>
  <si>
    <t>MTAL</t>
  </si>
  <si>
    <t>MTB</t>
  </si>
  <si>
    <t>MTB^H</t>
  </si>
  <si>
    <t>MTBL</t>
  </si>
  <si>
    <t>MTC</t>
  </si>
  <si>
    <t>MTCH</t>
  </si>
  <si>
    <t>MTD</t>
  </si>
  <si>
    <t>MTDR</t>
  </si>
  <si>
    <t>MTEK</t>
  </si>
  <si>
    <t>MTEKW</t>
  </si>
  <si>
    <t>MTEM</t>
  </si>
  <si>
    <t>MTEX</t>
  </si>
  <si>
    <t>MTG</t>
  </si>
  <si>
    <t>MTH</t>
  </si>
  <si>
    <t>MTLS</t>
  </si>
  <si>
    <t>MTN</t>
  </si>
  <si>
    <t>MTNB</t>
  </si>
  <si>
    <t>MTR</t>
  </si>
  <si>
    <t>MTRN</t>
  </si>
  <si>
    <t>MTRX</t>
  </si>
  <si>
    <t>MTSI</t>
  </si>
  <si>
    <t>MTTR</t>
  </si>
  <si>
    <t>MTW</t>
  </si>
  <si>
    <t>MTX</t>
  </si>
  <si>
    <t>MTZ</t>
  </si>
  <si>
    <t>MU</t>
  </si>
  <si>
    <t>MUA</t>
  </si>
  <si>
    <t>MUC</t>
  </si>
  <si>
    <t>MUE</t>
  </si>
  <si>
    <t>MUFG</t>
  </si>
  <si>
    <t>MUI</t>
  </si>
  <si>
    <t>MUJ</t>
  </si>
  <si>
    <t>MULN</t>
  </si>
  <si>
    <t>MUR</t>
  </si>
  <si>
    <t>MURA</t>
  </si>
  <si>
    <t>MUSA</t>
  </si>
  <si>
    <t>MUX</t>
  </si>
  <si>
    <t>MVBF</t>
  </si>
  <si>
    <t>MVF</t>
  </si>
  <si>
    <t>MVIS</t>
  </si>
  <si>
    <t>MVLA</t>
  </si>
  <si>
    <t>MVLAW</t>
  </si>
  <si>
    <t>MVO</t>
  </si>
  <si>
    <t>MVST</t>
  </si>
  <si>
    <t>MVSTW</t>
  </si>
  <si>
    <t>MVT</t>
  </si>
  <si>
    <t>MWA</t>
  </si>
  <si>
    <t>MWG</t>
  </si>
  <si>
    <t>MX</t>
  </si>
  <si>
    <t>MXC</t>
  </si>
  <si>
    <t>MXCT</t>
  </si>
  <si>
    <t>MXE</t>
  </si>
  <si>
    <t>MXF</t>
  </si>
  <si>
    <t>MXL</t>
  </si>
  <si>
    <t>MYD</t>
  </si>
  <si>
    <t>MYE</t>
  </si>
  <si>
    <t>MYFW</t>
  </si>
  <si>
    <t>MYGN</t>
  </si>
  <si>
    <t>MYI</t>
  </si>
  <si>
    <t>MYMD</t>
  </si>
  <si>
    <t>MYN</t>
  </si>
  <si>
    <t>MYNA</t>
  </si>
  <si>
    <t>MYND</t>
  </si>
  <si>
    <t>MYNZ</t>
  </si>
  <si>
    <t>MYO</t>
  </si>
  <si>
    <t>MYPS</t>
  </si>
  <si>
    <t>MYPSW</t>
  </si>
  <si>
    <t>MYRG</t>
  </si>
  <si>
    <t>MYSZ</t>
  </si>
  <si>
    <t>MYTE</t>
  </si>
  <si>
    <t>NA</t>
  </si>
  <si>
    <t>NAAS</t>
  </si>
  <si>
    <t>NABL</t>
  </si>
  <si>
    <t>NAC</t>
  </si>
  <si>
    <t>NAD</t>
  </si>
  <si>
    <t>NAII</t>
  </si>
  <si>
    <t>NAK</t>
  </si>
  <si>
    <t>NAMS</t>
  </si>
  <si>
    <t>NAMSW</t>
  </si>
  <si>
    <t>NAN</t>
  </si>
  <si>
    <t>NAOV</t>
  </si>
  <si>
    <t>NAPA</t>
  </si>
  <si>
    <t>NARI</t>
  </si>
  <si>
    <t>NAT</t>
  </si>
  <si>
    <t>NATH</t>
  </si>
  <si>
    <t>NATL</t>
  </si>
  <si>
    <t>NATR</t>
  </si>
  <si>
    <t>NAUT</t>
  </si>
  <si>
    <t>NAVI</t>
  </si>
  <si>
    <t>NAZ</t>
  </si>
  <si>
    <t>NB</t>
  </si>
  <si>
    <t>NBB</t>
  </si>
  <si>
    <t>NBBK</t>
  </si>
  <si>
    <t>NBH</t>
  </si>
  <si>
    <t>NBHC</t>
  </si>
  <si>
    <t>NBIX</t>
  </si>
  <si>
    <t>NBN</t>
  </si>
  <si>
    <t>NBR</t>
  </si>
  <si>
    <t>NBSE</t>
  </si>
  <si>
    <t>NBST</t>
  </si>
  <si>
    <t>NBSTW</t>
  </si>
  <si>
    <t>NBTB</t>
  </si>
  <si>
    <t>NBTX</t>
  </si>
  <si>
    <t>NBXG</t>
  </si>
  <si>
    <t>NBY</t>
  </si>
  <si>
    <t>NC</t>
  </si>
  <si>
    <t>NCA</t>
  </si>
  <si>
    <t>NCAC</t>
  </si>
  <si>
    <t>NCACW</t>
  </si>
  <si>
    <t>NCL</t>
  </si>
  <si>
    <t>NCLH</t>
  </si>
  <si>
    <t>NCMI</t>
  </si>
  <si>
    <t>NCNA</t>
  </si>
  <si>
    <t>NCNC</t>
  </si>
  <si>
    <t>NCNO</t>
  </si>
  <si>
    <t>NCPL</t>
  </si>
  <si>
    <t>NCPLW</t>
  </si>
  <si>
    <t>NCRA</t>
  </si>
  <si>
    <t>NCSM</t>
  </si>
  <si>
    <t>NCTY</t>
  </si>
  <si>
    <t>NCV</t>
  </si>
  <si>
    <t>NCV^A</t>
  </si>
  <si>
    <t>NCZ</t>
  </si>
  <si>
    <t>NCZ^A</t>
  </si>
  <si>
    <t>NDAQ</t>
  </si>
  <si>
    <t>NDLS</t>
  </si>
  <si>
    <t>NDMO</t>
  </si>
  <si>
    <t>NDP</t>
  </si>
  <si>
    <t>NDRA</t>
  </si>
  <si>
    <t>NDSN</t>
  </si>
  <si>
    <t>NE</t>
  </si>
  <si>
    <t>NEA</t>
  </si>
  <si>
    <t>NECB</t>
  </si>
  <si>
    <t>NEE</t>
  </si>
  <si>
    <t>NEE^N</t>
  </si>
  <si>
    <t>NEE^R</t>
  </si>
  <si>
    <t>NEGG</t>
  </si>
  <si>
    <t>NEM</t>
  </si>
  <si>
    <t>NEN</t>
  </si>
  <si>
    <t>NEO</t>
  </si>
  <si>
    <t>NEOG</t>
  </si>
  <si>
    <t>NEON</t>
  </si>
  <si>
    <t>NEOV</t>
  </si>
  <si>
    <t>NEOVW</t>
  </si>
  <si>
    <t>NEP</t>
  </si>
  <si>
    <t>NEPH</t>
  </si>
  <si>
    <t>NEPT</t>
  </si>
  <si>
    <t>NERV</t>
  </si>
  <si>
    <t>NET</t>
  </si>
  <si>
    <t>NETD</t>
  </si>
  <si>
    <t>NETDU</t>
  </si>
  <si>
    <t>NEU</t>
  </si>
  <si>
    <t>NEWP</t>
  </si>
  <si>
    <t>NEWT</t>
  </si>
  <si>
    <t>NEWTI</t>
  </si>
  <si>
    <t>NEWTL</t>
  </si>
  <si>
    <t>NEWTZ</t>
  </si>
  <si>
    <t>NEXA</t>
  </si>
  <si>
    <t>NEXI</t>
  </si>
  <si>
    <t>NEXT</t>
  </si>
  <si>
    <t>NFBK</t>
  </si>
  <si>
    <t>NFE</t>
  </si>
  <si>
    <t>NFG</t>
  </si>
  <si>
    <t>NFGC</t>
  </si>
  <si>
    <t>NFJ</t>
  </si>
  <si>
    <t>NFLX</t>
  </si>
  <si>
    <t>NFTG</t>
  </si>
  <si>
    <t>NFYS</t>
  </si>
  <si>
    <t>NG</t>
  </si>
  <si>
    <t>NGD</t>
  </si>
  <si>
    <t>NGG</t>
  </si>
  <si>
    <t>NGL</t>
  </si>
  <si>
    <t>NGL^B</t>
  </si>
  <si>
    <t>NGL^C</t>
  </si>
  <si>
    <t>NGM</t>
  </si>
  <si>
    <t>NGMS</t>
  </si>
  <si>
    <t>NGNE</t>
  </si>
  <si>
    <t>NGS</t>
  </si>
  <si>
    <t>NGVC</t>
  </si>
  <si>
    <t>NGVT</t>
  </si>
  <si>
    <t>NHC</t>
  </si>
  <si>
    <t>NHI</t>
  </si>
  <si>
    <t>NHS</t>
  </si>
  <si>
    <t>NHTC</t>
  </si>
  <si>
    <t>NHWK</t>
  </si>
  <si>
    <t>NI</t>
  </si>
  <si>
    <t>NI^B</t>
  </si>
  <si>
    <t>NIC</t>
  </si>
  <si>
    <t>NICE</t>
  </si>
  <si>
    <t>NICK</t>
  </si>
  <si>
    <t>NIE</t>
  </si>
  <si>
    <t>NIM</t>
  </si>
  <si>
    <t>NINE</t>
  </si>
  <si>
    <t>NIO</t>
  </si>
  <si>
    <t>NIOBW</t>
  </si>
  <si>
    <t>NISN</t>
  </si>
  <si>
    <t>NIU</t>
  </si>
  <si>
    <t>NJR</t>
  </si>
  <si>
    <t>NKE</t>
  </si>
  <si>
    <t>NKGN</t>
  </si>
  <si>
    <t>NKGNW</t>
  </si>
  <si>
    <t>NKLA</t>
  </si>
  <si>
    <t>NKSH</t>
  </si>
  <si>
    <t>NKTR</t>
  </si>
  <si>
    <t>NKTX</t>
  </si>
  <si>
    <t>NKX</t>
  </si>
  <si>
    <t>NL</t>
  </si>
  <si>
    <t>NLOP</t>
  </si>
  <si>
    <t>NLSP</t>
  </si>
  <si>
    <t>NLSPW</t>
  </si>
  <si>
    <t>NLY</t>
  </si>
  <si>
    <t>NLY^F</t>
  </si>
  <si>
    <t>NLY^G</t>
  </si>
  <si>
    <t>NLY^I</t>
  </si>
  <si>
    <t>NM^G</t>
  </si>
  <si>
    <t>NM^H</t>
  </si>
  <si>
    <t>NMAI</t>
  </si>
  <si>
    <t>NMCO</t>
  </si>
  <si>
    <t>NMFC</t>
  </si>
  <si>
    <t>NMFCZ</t>
  </si>
  <si>
    <t>NMG</t>
  </si>
  <si>
    <t>NMI</t>
  </si>
  <si>
    <t>NMIH</t>
  </si>
  <si>
    <t>NML</t>
  </si>
  <si>
    <t>NMM</t>
  </si>
  <si>
    <t>NMR</t>
  </si>
  <si>
    <t>NMRA</t>
  </si>
  <si>
    <t>NMRK</t>
  </si>
  <si>
    <t>NMS</t>
  </si>
  <si>
    <t>NMT</t>
  </si>
  <si>
    <t>NMTC</t>
  </si>
  <si>
    <t>NMZ</t>
  </si>
  <si>
    <t>NN</t>
  </si>
  <si>
    <t>NNAG</t>
  </si>
  <si>
    <t>NNAGR</t>
  </si>
  <si>
    <t>NNAGU</t>
  </si>
  <si>
    <t>NNAGW</t>
  </si>
  <si>
    <t>NNAVW</t>
  </si>
  <si>
    <t>NNBR</t>
  </si>
  <si>
    <t>NNDM</t>
  </si>
  <si>
    <t>NNI</t>
  </si>
  <si>
    <t>NNN</t>
  </si>
  <si>
    <t>NNOX</t>
  </si>
  <si>
    <t>NNVC</t>
  </si>
  <si>
    <t>NNY</t>
  </si>
  <si>
    <t>NOA</t>
  </si>
  <si>
    <t>NOAH</t>
  </si>
  <si>
    <t>NOC</t>
  </si>
  <si>
    <t>NODK</t>
  </si>
  <si>
    <t>NOG</t>
  </si>
  <si>
    <t>NOK</t>
  </si>
  <si>
    <t>NOM</t>
  </si>
  <si>
    <t>NOMD</t>
  </si>
  <si>
    <t>NOTE</t>
  </si>
  <si>
    <t>NOTV</t>
  </si>
  <si>
    <t>NOV</t>
  </si>
  <si>
    <t>NOVA</t>
  </si>
  <si>
    <t>NOVT</t>
  </si>
  <si>
    <t>NOW</t>
  </si>
  <si>
    <t>NPAB</t>
  </si>
  <si>
    <t>NPCE</t>
  </si>
  <si>
    <t>NPCT</t>
  </si>
  <si>
    <t>NPFD</t>
  </si>
  <si>
    <t>NPK</t>
  </si>
  <si>
    <t>NPO</t>
  </si>
  <si>
    <t>NPV</t>
  </si>
  <si>
    <t>NPWR</t>
  </si>
  <si>
    <t>NQP</t>
  </si>
  <si>
    <t>NR</t>
  </si>
  <si>
    <t>NRAC</t>
  </si>
  <si>
    <t>NRBO</t>
  </si>
  <si>
    <t>NRC</t>
  </si>
  <si>
    <t>NRDS</t>
  </si>
  <si>
    <t>NRDY</t>
  </si>
  <si>
    <t>NREF</t>
  </si>
  <si>
    <t>NREF^A</t>
  </si>
  <si>
    <t>NRG</t>
  </si>
  <si>
    <t>NRGV</t>
  </si>
  <si>
    <t>NRIM</t>
  </si>
  <si>
    <t>NRIX</t>
  </si>
  <si>
    <t>NRK</t>
  </si>
  <si>
    <t>NRO</t>
  </si>
  <si>
    <t>NRP</t>
  </si>
  <si>
    <t>NRSN</t>
  </si>
  <si>
    <t>NRSNW</t>
  </si>
  <si>
    <t>NRT</t>
  </si>
  <si>
    <t>NRUC</t>
  </si>
  <si>
    <t>NRXP</t>
  </si>
  <si>
    <t>NRXPW</t>
  </si>
  <si>
    <t>NRXS</t>
  </si>
  <si>
    <t>NS</t>
  </si>
  <si>
    <t>NS^A</t>
  </si>
  <si>
    <t>NS^B</t>
  </si>
  <si>
    <t>NS^C</t>
  </si>
  <si>
    <t>NSA</t>
  </si>
  <si>
    <t>NSA^A</t>
  </si>
  <si>
    <t>NSC</t>
  </si>
  <si>
    <t>NSIT</t>
  </si>
  <si>
    <t>NSP</t>
  </si>
  <si>
    <t>NSPR</t>
  </si>
  <si>
    <t>NSS</t>
  </si>
  <si>
    <t>NSSC</t>
  </si>
  <si>
    <t>NSTB</t>
  </si>
  <si>
    <t>NSTG</t>
  </si>
  <si>
    <t>NSTS</t>
  </si>
  <si>
    <t>NSYS</t>
  </si>
  <si>
    <t>NTAP</t>
  </si>
  <si>
    <t>NTB</t>
  </si>
  <si>
    <t>NTBL</t>
  </si>
  <si>
    <t>NTCO</t>
  </si>
  <si>
    <t>NTCT</t>
  </si>
  <si>
    <t>NTES</t>
  </si>
  <si>
    <t>NTG</t>
  </si>
  <si>
    <t>NTGR</t>
  </si>
  <si>
    <t>NTIC</t>
  </si>
  <si>
    <t>NTIP</t>
  </si>
  <si>
    <t>NTLA</t>
  </si>
  <si>
    <t>NTNX</t>
  </si>
  <si>
    <t>NTR</t>
  </si>
  <si>
    <t>NTRA</t>
  </si>
  <si>
    <t>NTRB</t>
  </si>
  <si>
    <t>NTRBW</t>
  </si>
  <si>
    <t>NTRS</t>
  </si>
  <si>
    <t>NTRSO</t>
  </si>
  <si>
    <t>NTST</t>
  </si>
  <si>
    <t>NTWK</t>
  </si>
  <si>
    <t>NTZ</t>
  </si>
  <si>
    <t>NU</t>
  </si>
  <si>
    <t>NUBI</t>
  </si>
  <si>
    <t>NUBIU</t>
  </si>
  <si>
    <t>NUBIW</t>
  </si>
  <si>
    <t>NUE</t>
  </si>
  <si>
    <t>NUKK</t>
  </si>
  <si>
    <t>NUKKW</t>
  </si>
  <si>
    <t>NURO</t>
  </si>
  <si>
    <t>NUS</t>
  </si>
  <si>
    <t>NUTX</t>
  </si>
  <si>
    <t>NUV</t>
  </si>
  <si>
    <t>NUVB</t>
  </si>
  <si>
    <t>NUVL</t>
  </si>
  <si>
    <t>NUW</t>
  </si>
  <si>
    <t>NUWE</t>
  </si>
  <si>
    <t>NUZE</t>
  </si>
  <si>
    <t>NVAC</t>
  </si>
  <si>
    <t>NVACR</t>
  </si>
  <si>
    <t>NVACW</t>
  </si>
  <si>
    <t>NVAX</t>
  </si>
  <si>
    <t>NVCR</t>
  </si>
  <si>
    <t>NVCT</t>
  </si>
  <si>
    <t>NVDA</t>
  </si>
  <si>
    <t>NVEC</t>
  </si>
  <si>
    <t>NVEE</t>
  </si>
  <si>
    <t>NVEI</t>
  </si>
  <si>
    <t>NVFY</t>
  </si>
  <si>
    <t>NVG</t>
  </si>
  <si>
    <t>NVGS</t>
  </si>
  <si>
    <t>NVIV</t>
  </si>
  <si>
    <t>NVMI</t>
  </si>
  <si>
    <t>NVNI</t>
  </si>
  <si>
    <t>NVNIW</t>
  </si>
  <si>
    <t>NVNO</t>
  </si>
  <si>
    <t>NVO</t>
  </si>
  <si>
    <t>NVOS</t>
  </si>
  <si>
    <t>NVR</t>
  </si>
  <si>
    <t>NVRI</t>
  </si>
  <si>
    <t>NVRO</t>
  </si>
  <si>
    <t>NVS</t>
  </si>
  <si>
    <t>NVST</t>
  </si>
  <si>
    <t>NVT</t>
  </si>
  <si>
    <t>NVTA</t>
  </si>
  <si>
    <t>NVTS</t>
  </si>
  <si>
    <t>NVVE</t>
  </si>
  <si>
    <t>NVVEW</t>
  </si>
  <si>
    <t>NVX</t>
  </si>
  <si>
    <t>NWBI</t>
  </si>
  <si>
    <t>NWE</t>
  </si>
  <si>
    <t>NWFL</t>
  </si>
  <si>
    <t>NWG</t>
  </si>
  <si>
    <t>NWGL</t>
  </si>
  <si>
    <t>NWL</t>
  </si>
  <si>
    <t>NWLI</t>
  </si>
  <si>
    <t>NWN</t>
  </si>
  <si>
    <t>NWPX</t>
  </si>
  <si>
    <t>NWS</t>
  </si>
  <si>
    <t>NWSA</t>
  </si>
  <si>
    <t>NWTN</t>
  </si>
  <si>
    <t>NWTNW</t>
  </si>
  <si>
    <t>NX</t>
  </si>
  <si>
    <t>NXC</t>
  </si>
  <si>
    <t>NXDT</t>
  </si>
  <si>
    <t>NXDT^A</t>
  </si>
  <si>
    <t>NXE</t>
  </si>
  <si>
    <t>NXG</t>
  </si>
  <si>
    <t>NXGL</t>
  </si>
  <si>
    <t>NXGLW</t>
  </si>
  <si>
    <t>NXJ</t>
  </si>
  <si>
    <t>NXL</t>
  </si>
  <si>
    <t>NXN</t>
  </si>
  <si>
    <t>NXP</t>
  </si>
  <si>
    <t>NXPI</t>
  </si>
  <si>
    <t>NXPL</t>
  </si>
  <si>
    <t>NXPLW</t>
  </si>
  <si>
    <t>NXRT</t>
  </si>
  <si>
    <t>NXST</t>
  </si>
  <si>
    <t>NXT</t>
  </si>
  <si>
    <t>NXTC</t>
  </si>
  <si>
    <t>NXTP</t>
  </si>
  <si>
    <t>NXU</t>
  </si>
  <si>
    <t>NYAX</t>
  </si>
  <si>
    <t>NYC</t>
  </si>
  <si>
    <t>NYCB</t>
  </si>
  <si>
    <t>NYCB^A</t>
  </si>
  <si>
    <t>NYCB^U</t>
  </si>
  <si>
    <t>NYMT</t>
  </si>
  <si>
    <t>NYMTL</t>
  </si>
  <si>
    <t>NYMTM</t>
  </si>
  <si>
    <t>NYMTN</t>
  </si>
  <si>
    <t>NYMTZ</t>
  </si>
  <si>
    <t>NYT</t>
  </si>
  <si>
    <t>NYXH</t>
  </si>
  <si>
    <t>NZF</t>
  </si>
  <si>
    <t>O</t>
  </si>
  <si>
    <t>OABI</t>
  </si>
  <si>
    <t>OABIW</t>
  </si>
  <si>
    <t>OAK^A</t>
  </si>
  <si>
    <t>OAK^B</t>
  </si>
  <si>
    <t>OAKU</t>
  </si>
  <si>
    <t>OAKUR</t>
  </si>
  <si>
    <t>OAKUW</t>
  </si>
  <si>
    <t>OB</t>
  </si>
  <si>
    <t>OBDC</t>
  </si>
  <si>
    <t>OBE</t>
  </si>
  <si>
    <t>OBIO</t>
  </si>
  <si>
    <t>OBK</t>
  </si>
  <si>
    <t>OBLG</t>
  </si>
  <si>
    <t>OBT</t>
  </si>
  <si>
    <t>OC</t>
  </si>
  <si>
    <t>OCAX</t>
  </si>
  <si>
    <t>OCC</t>
  </si>
  <si>
    <t>OCCI</t>
  </si>
  <si>
    <t>OCCIN</t>
  </si>
  <si>
    <t>OCCIO</t>
  </si>
  <si>
    <t>OCEA</t>
  </si>
  <si>
    <t>OCEAW</t>
  </si>
  <si>
    <t>OCFC</t>
  </si>
  <si>
    <t>OCFCP</t>
  </si>
  <si>
    <t>OCFT</t>
  </si>
  <si>
    <t>OCG</t>
  </si>
  <si>
    <t>OCGN</t>
  </si>
  <si>
    <t>OCN</t>
  </si>
  <si>
    <t>OCS</t>
  </si>
  <si>
    <t>OCSAW</t>
  </si>
  <si>
    <t>OCSL</t>
  </si>
  <si>
    <t>OCTO</t>
  </si>
  <si>
    <t>OCUL</t>
  </si>
  <si>
    <t>OCUP</t>
  </si>
  <si>
    <t>OCX</t>
  </si>
  <si>
    <t>ODC</t>
  </si>
  <si>
    <t>ODD</t>
  </si>
  <si>
    <t>ODFL</t>
  </si>
  <si>
    <t>ODP</t>
  </si>
  <si>
    <t>ODV</t>
  </si>
  <si>
    <t>ODVWZ</t>
  </si>
  <si>
    <t>OEC</t>
  </si>
  <si>
    <t>OESX</t>
  </si>
  <si>
    <t>OFG</t>
  </si>
  <si>
    <t>OFIX</t>
  </si>
  <si>
    <t>OFLX</t>
  </si>
  <si>
    <t>OFS</t>
  </si>
  <si>
    <t>OFSSH</t>
  </si>
  <si>
    <t>OGE</t>
  </si>
  <si>
    <t>OGEN</t>
  </si>
  <si>
    <t>OGI</t>
  </si>
  <si>
    <t>OGN</t>
  </si>
  <si>
    <t>OGS</t>
  </si>
  <si>
    <t>OHI</t>
  </si>
  <si>
    <t>OI</t>
  </si>
  <si>
    <t>OIA</t>
  </si>
  <si>
    <t>OII</t>
  </si>
  <si>
    <t>OIS</t>
  </si>
  <si>
    <t>OKE</t>
  </si>
  <si>
    <t>OKTA</t>
  </si>
  <si>
    <t>OKYO</t>
  </si>
  <si>
    <t>OLB</t>
  </si>
  <si>
    <t>OLED</t>
  </si>
  <si>
    <t>OLK</t>
  </si>
  <si>
    <t>OLLI</t>
  </si>
  <si>
    <t>OLMA</t>
  </si>
  <si>
    <t>OLN</t>
  </si>
  <si>
    <t>OLO</t>
  </si>
  <si>
    <t>OLP</t>
  </si>
  <si>
    <t>OLPX</t>
  </si>
  <si>
    <t>OM</t>
  </si>
  <si>
    <t>OMAB</t>
  </si>
  <si>
    <t>OMC</t>
  </si>
  <si>
    <t>OMCL</t>
  </si>
  <si>
    <t>OMER</t>
  </si>
  <si>
    <t>OMEX</t>
  </si>
  <si>
    <t>OMF</t>
  </si>
  <si>
    <t>OMGA</t>
  </si>
  <si>
    <t>OMH</t>
  </si>
  <si>
    <t>OMI</t>
  </si>
  <si>
    <t>OMIC</t>
  </si>
  <si>
    <t>OMQS</t>
  </si>
  <si>
    <t>ON</t>
  </si>
  <si>
    <t>ONB</t>
  </si>
  <si>
    <t>ONBPO</t>
  </si>
  <si>
    <t>ONBPP</t>
  </si>
  <si>
    <t>ONCO</t>
  </si>
  <si>
    <t>ONCT</t>
  </si>
  <si>
    <t>ONCY</t>
  </si>
  <si>
    <t>ONDS</t>
  </si>
  <si>
    <t>ONEW</t>
  </si>
  <si>
    <t>ONFO</t>
  </si>
  <si>
    <t>ONL</t>
  </si>
  <si>
    <t>ONMD</t>
  </si>
  <si>
    <t>ONMDW</t>
  </si>
  <si>
    <t>ONON</t>
  </si>
  <si>
    <t>ONTF</t>
  </si>
  <si>
    <t>ONTO</t>
  </si>
  <si>
    <t>ONTX</t>
  </si>
  <si>
    <t>ONVO</t>
  </si>
  <si>
    <t>ONYX</t>
  </si>
  <si>
    <t>ONYXW</t>
  </si>
  <si>
    <t>OOMA</t>
  </si>
  <si>
    <t>OP</t>
  </si>
  <si>
    <t>OPA</t>
  </si>
  <si>
    <t>OPAD</t>
  </si>
  <si>
    <t>OPAL</t>
  </si>
  <si>
    <t>OPBK</t>
  </si>
  <si>
    <t>OPCH</t>
  </si>
  <si>
    <t>OPEN</t>
  </si>
  <si>
    <t>OPFI</t>
  </si>
  <si>
    <t>OPGN</t>
  </si>
  <si>
    <t>OPHC</t>
  </si>
  <si>
    <t>OPI</t>
  </si>
  <si>
    <t>OPINL</t>
  </si>
  <si>
    <t>OPK</t>
  </si>
  <si>
    <t>OPOF</t>
  </si>
  <si>
    <t>OPP</t>
  </si>
  <si>
    <t>OPP^A</t>
  </si>
  <si>
    <t>OPP^B</t>
  </si>
  <si>
    <t>OPRA</t>
  </si>
  <si>
    <t>OPRT</t>
  </si>
  <si>
    <t>OPRX</t>
  </si>
  <si>
    <t>OPT</t>
  </si>
  <si>
    <t>OPTN</t>
  </si>
  <si>
    <t>OPTT</t>
  </si>
  <si>
    <t>OPTX</t>
  </si>
  <si>
    <t>OPTXW</t>
  </si>
  <si>
    <t>OPXS</t>
  </si>
  <si>
    <t>OPY</t>
  </si>
  <si>
    <t>OR</t>
  </si>
  <si>
    <t>ORA</t>
  </si>
  <si>
    <t>ORAN</t>
  </si>
  <si>
    <t>ORC</t>
  </si>
  <si>
    <t>ORCL</t>
  </si>
  <si>
    <t>ORGN</t>
  </si>
  <si>
    <t>ORGNW</t>
  </si>
  <si>
    <t>ORGO</t>
  </si>
  <si>
    <t>ORGS</t>
  </si>
  <si>
    <t>ORI</t>
  </si>
  <si>
    <t>ORIC</t>
  </si>
  <si>
    <t>ORLA</t>
  </si>
  <si>
    <t>ORLY</t>
  </si>
  <si>
    <t>ORMP</t>
  </si>
  <si>
    <t>ORN</t>
  </si>
  <si>
    <t>ORRF</t>
  </si>
  <si>
    <t>ORTX</t>
  </si>
  <si>
    <t>OSA</t>
  </si>
  <si>
    <t>OSAAW</t>
  </si>
  <si>
    <t>OSBC</t>
  </si>
  <si>
    <t>OSCR</t>
  </si>
  <si>
    <t>OSG</t>
  </si>
  <si>
    <t>OSI</t>
  </si>
  <si>
    <t>OSIS</t>
  </si>
  <si>
    <t>OSK</t>
  </si>
  <si>
    <t>OSPN</t>
  </si>
  <si>
    <t>OSS</t>
  </si>
  <si>
    <t>OST</t>
  </si>
  <si>
    <t>OSUR</t>
  </si>
  <si>
    <t>OSW</t>
  </si>
  <si>
    <t>OTEC</t>
  </si>
  <si>
    <t>OTECW</t>
  </si>
  <si>
    <t>OTEX</t>
  </si>
  <si>
    <t>OTIS</t>
  </si>
  <si>
    <t>OTLK</t>
  </si>
  <si>
    <t>OTLY</t>
  </si>
  <si>
    <t>OTRK</t>
  </si>
  <si>
    <t>OTTR</t>
  </si>
  <si>
    <t>OUST</t>
  </si>
  <si>
    <t>OUT</t>
  </si>
  <si>
    <t>OVBC</t>
  </si>
  <si>
    <t>OVID</t>
  </si>
  <si>
    <t>OVLY</t>
  </si>
  <si>
    <t>OVV</t>
  </si>
  <si>
    <t>OWL</t>
  </si>
  <si>
    <t>OWLT</t>
  </si>
  <si>
    <t>OXBR</t>
  </si>
  <si>
    <t>OXBRW</t>
  </si>
  <si>
    <t>OXLC</t>
  </si>
  <si>
    <t>OXLCL</t>
  </si>
  <si>
    <t>OXLCM</t>
  </si>
  <si>
    <t>OXLCN</t>
  </si>
  <si>
    <t>OXLCO</t>
  </si>
  <si>
    <t>OXLCP</t>
  </si>
  <si>
    <t>OXLCZ</t>
  </si>
  <si>
    <t>OXM</t>
  </si>
  <si>
    <t>OXSQ</t>
  </si>
  <si>
    <t>OXSQG</t>
  </si>
  <si>
    <t>OXSQZ</t>
  </si>
  <si>
    <t>OXUS</t>
  </si>
  <si>
    <t>OXUSW</t>
  </si>
  <si>
    <t>OXY</t>
  </si>
  <si>
    <t>OZ</t>
  </si>
  <si>
    <t>OZK</t>
  </si>
  <si>
    <t>OZKAP</t>
  </si>
  <si>
    <t>PAA</t>
  </si>
  <si>
    <t>PAAS</t>
  </si>
  <si>
    <t>PAC</t>
  </si>
  <si>
    <t>PACB</t>
  </si>
  <si>
    <t>PACK</t>
  </si>
  <si>
    <t>PAG</t>
  </si>
  <si>
    <t>PAGP</t>
  </si>
  <si>
    <t>PAGS</t>
  </si>
  <si>
    <t>PAHC</t>
  </si>
  <si>
    <t>PAI</t>
  </si>
  <si>
    <t>PALI</t>
  </si>
  <si>
    <t>PALT</t>
  </si>
  <si>
    <t>PAM</t>
  </si>
  <si>
    <t>PANL</t>
  </si>
  <si>
    <t>PANW</t>
  </si>
  <si>
    <t>PAPL</t>
  </si>
  <si>
    <t>PAR</t>
  </si>
  <si>
    <t>PARA</t>
  </si>
  <si>
    <t>PARAA</t>
  </si>
  <si>
    <t>PARAP</t>
  </si>
  <si>
    <t>PARR</t>
  </si>
  <si>
    <t>PASG</t>
  </si>
  <si>
    <t>PATH</t>
  </si>
  <si>
    <t>PATK</t>
  </si>
  <si>
    <t>PAVM</t>
  </si>
  <si>
    <t>PAVMZ</t>
  </si>
  <si>
    <t>PAVS</t>
  </si>
  <si>
    <t>PAX</t>
  </si>
  <si>
    <t>PAXS</t>
  </si>
  <si>
    <t>PAY</t>
  </si>
  <si>
    <t>PAYC</t>
  </si>
  <si>
    <t>PAYO</t>
  </si>
  <si>
    <t>PAYOW</t>
  </si>
  <si>
    <t>PAYS</t>
  </si>
  <si>
    <t>PAYX</t>
  </si>
  <si>
    <t>PB</t>
  </si>
  <si>
    <t>PBA</t>
  </si>
  <si>
    <t>PBAX</t>
  </si>
  <si>
    <t>PBAXW</t>
  </si>
  <si>
    <t>PBBK</t>
  </si>
  <si>
    <t>PBF</t>
  </si>
  <si>
    <t>PBFS</t>
  </si>
  <si>
    <t>PBH</t>
  </si>
  <si>
    <t>PBHC</t>
  </si>
  <si>
    <t>PBI</t>
  </si>
  <si>
    <t>PBI^B</t>
  </si>
  <si>
    <t>PBLA</t>
  </si>
  <si>
    <t>PBPB</t>
  </si>
  <si>
    <t>PBR</t>
  </si>
  <si>
    <t>PBT</t>
  </si>
  <si>
    <t>PBTS</t>
  </si>
  <si>
    <t>PBYI</t>
  </si>
  <si>
    <t>PCAR</t>
  </si>
  <si>
    <t>PCB</t>
  </si>
  <si>
    <t>PCF</t>
  </si>
  <si>
    <t>PCG</t>
  </si>
  <si>
    <t>PCG^A</t>
  </si>
  <si>
    <t>PCG^B</t>
  </si>
  <si>
    <t>PCG^C</t>
  </si>
  <si>
    <t>PCG^D</t>
  </si>
  <si>
    <t>PCG^E</t>
  </si>
  <si>
    <t>PCG^G</t>
  </si>
  <si>
    <t>PCG^H</t>
  </si>
  <si>
    <t>PCG^I</t>
  </si>
  <si>
    <t>PCH</t>
  </si>
  <si>
    <t>PCK</t>
  </si>
  <si>
    <t>PCM</t>
  </si>
  <si>
    <t>PCN</t>
  </si>
  <si>
    <t>PCOR</t>
  </si>
  <si>
    <t>PCQ</t>
  </si>
  <si>
    <t>PCRX</t>
  </si>
  <si>
    <t>PCSA</t>
  </si>
  <si>
    <t>PCT</t>
  </si>
  <si>
    <t>PCTTU</t>
  </si>
  <si>
    <t>PCTTW</t>
  </si>
  <si>
    <t>PCTY</t>
  </si>
  <si>
    <t>PCVX</t>
  </si>
  <si>
    <t>PCYO</t>
  </si>
  <si>
    <t>PD</t>
  </si>
  <si>
    <t>PDCO</t>
  </si>
  <si>
    <t>PDD</t>
  </si>
  <si>
    <t>PDEX</t>
  </si>
  <si>
    <t>PDFS</t>
  </si>
  <si>
    <t>PDI</t>
  </si>
  <si>
    <t>PDLB</t>
  </si>
  <si>
    <t>PDM</t>
  </si>
  <si>
    <t>PDO</t>
  </si>
  <si>
    <t>PDS</t>
  </si>
  <si>
    <t>PDSB</t>
  </si>
  <si>
    <t>PDT</t>
  </si>
  <si>
    <t>PDX</t>
  </si>
  <si>
    <t>PEAK</t>
  </si>
  <si>
    <t>PEB</t>
  </si>
  <si>
    <t>PEB^E</t>
  </si>
  <si>
    <t>PEB^F</t>
  </si>
  <si>
    <t>PEB^G</t>
  </si>
  <si>
    <t>PEB^H</t>
  </si>
  <si>
    <t>PEBK</t>
  </si>
  <si>
    <t>PEBO</t>
  </si>
  <si>
    <t>PECO</t>
  </si>
  <si>
    <t>PED</t>
  </si>
  <si>
    <t>PEG</t>
  </si>
  <si>
    <t>PEGA</t>
  </si>
  <si>
    <t>PEGR</t>
  </si>
  <si>
    <t>PEGRU</t>
  </si>
  <si>
    <t>PEGRW</t>
  </si>
  <si>
    <t>PEGY</t>
  </si>
  <si>
    <t>PEN</t>
  </si>
  <si>
    <t>PENN</t>
  </si>
  <si>
    <t>PEO</t>
  </si>
  <si>
    <t>PEP</t>
  </si>
  <si>
    <t>PEPG</t>
  </si>
  <si>
    <t>PEPL</t>
  </si>
  <si>
    <t>PERF</t>
  </si>
  <si>
    <t>PERI</t>
  </si>
  <si>
    <t>PESI</t>
  </si>
  <si>
    <t>PET</t>
  </si>
  <si>
    <t>PETQ</t>
  </si>
  <si>
    <t>PETS</t>
  </si>
  <si>
    <t>PETV</t>
  </si>
  <si>
    <t>PETWW</t>
  </si>
  <si>
    <t>PETZ</t>
  </si>
  <si>
    <t>PEV</t>
  </si>
  <si>
    <t>PFBC</t>
  </si>
  <si>
    <t>PFC</t>
  </si>
  <si>
    <t>PFD</t>
  </si>
  <si>
    <t>PFE</t>
  </si>
  <si>
    <t>PFG</t>
  </si>
  <si>
    <t>PFGC</t>
  </si>
  <si>
    <t>PFH</t>
  </si>
  <si>
    <t>PFIE</t>
  </si>
  <si>
    <t>PFIS</t>
  </si>
  <si>
    <t>PFL</t>
  </si>
  <si>
    <t>PFLT</t>
  </si>
  <si>
    <t>PFMT</t>
  </si>
  <si>
    <t>PFN</t>
  </si>
  <si>
    <t>PFO</t>
  </si>
  <si>
    <t>PFS</t>
  </si>
  <si>
    <t>PFSI</t>
  </si>
  <si>
    <t>PFTA</t>
  </si>
  <si>
    <t>PFTAU</t>
  </si>
  <si>
    <t>PFTAW</t>
  </si>
  <si>
    <t>PFX</t>
  </si>
  <si>
    <t>PFXNZ</t>
  </si>
  <si>
    <t>PG</t>
  </si>
  <si>
    <t>PGC</t>
  </si>
  <si>
    <t>PGEN</t>
  </si>
  <si>
    <t>PGNY</t>
  </si>
  <si>
    <t>PGP</t>
  </si>
  <si>
    <t>PGR</t>
  </si>
  <si>
    <t>PGRE</t>
  </si>
  <si>
    <t>PGRU</t>
  </si>
  <si>
    <t>PGTI</t>
  </si>
  <si>
    <t>PGY</t>
  </si>
  <si>
    <t>PGYWW</t>
  </si>
  <si>
    <t>PGZ</t>
  </si>
  <si>
    <t>PH</t>
  </si>
  <si>
    <t>PHAR</t>
  </si>
  <si>
    <t>PHAT</t>
  </si>
  <si>
    <t>PHD</t>
  </si>
  <si>
    <t>PHG</t>
  </si>
  <si>
    <t>PHGE</t>
  </si>
  <si>
    <t>PHI</t>
  </si>
  <si>
    <t>PHIN</t>
  </si>
  <si>
    <t>PHIO</t>
  </si>
  <si>
    <t>PHK</t>
  </si>
  <si>
    <t>PHM</t>
  </si>
  <si>
    <t>PHR</t>
  </si>
  <si>
    <t>PHT</t>
  </si>
  <si>
    <t>PHUN</t>
  </si>
  <si>
    <t>PHVS</t>
  </si>
  <si>
    <t>PHX</t>
  </si>
  <si>
    <t>PHXM</t>
  </si>
  <si>
    <t>PHYT</t>
  </si>
  <si>
    <t>PI</t>
  </si>
  <si>
    <t>PII</t>
  </si>
  <si>
    <t>PIII</t>
  </si>
  <si>
    <t>PIK</t>
  </si>
  <si>
    <t>PIM</t>
  </si>
  <si>
    <t>PINC</t>
  </si>
  <si>
    <t>PINE</t>
  </si>
  <si>
    <t>PINS</t>
  </si>
  <si>
    <t>PIPR</t>
  </si>
  <si>
    <t>PIRS</t>
  </si>
  <si>
    <t>PIXY</t>
  </si>
  <si>
    <t>PJT</t>
  </si>
  <si>
    <t>PK</t>
  </si>
  <si>
    <t>PKBK</t>
  </si>
  <si>
    <t>PKE</t>
  </si>
  <si>
    <t>PKG</t>
  </si>
  <si>
    <t>PKOH</t>
  </si>
  <si>
    <t>PKST</t>
  </si>
  <si>
    <t>PKX</t>
  </si>
  <si>
    <t>PL</t>
  </si>
  <si>
    <t>PLAB</t>
  </si>
  <si>
    <t>PLAG</t>
  </si>
  <si>
    <t>PLAO</t>
  </si>
  <si>
    <t>PLAY</t>
  </si>
  <si>
    <t>PLBC</t>
  </si>
  <si>
    <t>PLBY</t>
  </si>
  <si>
    <t>PLCE</t>
  </si>
  <si>
    <t>PLD</t>
  </si>
  <si>
    <t>PLG</t>
  </si>
  <si>
    <t>PLL</t>
  </si>
  <si>
    <t>PLMI</t>
  </si>
  <si>
    <t>PLMIW</t>
  </si>
  <si>
    <t>PLMR</t>
  </si>
  <si>
    <t>PLNT</t>
  </si>
  <si>
    <t>PLOW</t>
  </si>
  <si>
    <t>PLPC</t>
  </si>
  <si>
    <t>PLRX</t>
  </si>
  <si>
    <t>PLSE</t>
  </si>
  <si>
    <t>PLTK</t>
  </si>
  <si>
    <t>PLTN</t>
  </si>
  <si>
    <t>PLTNR</t>
  </si>
  <si>
    <t>PLTNU</t>
  </si>
  <si>
    <t>PLTNW</t>
  </si>
  <si>
    <t>PLTR</t>
  </si>
  <si>
    <t>PLUG</t>
  </si>
  <si>
    <t>PLUR</t>
  </si>
  <si>
    <t>PLUS</t>
  </si>
  <si>
    <t>PLX</t>
  </si>
  <si>
    <t>PLXS</t>
  </si>
  <si>
    <t>PLYA</t>
  </si>
  <si>
    <t>PLYM</t>
  </si>
  <si>
    <t>PM</t>
  </si>
  <si>
    <t>PMCB</t>
  </si>
  <si>
    <t>PMD</t>
  </si>
  <si>
    <t>PMEC</t>
  </si>
  <si>
    <t>PMF</t>
  </si>
  <si>
    <t>PMGM</t>
  </si>
  <si>
    <t>PMGMW</t>
  </si>
  <si>
    <t>PML</t>
  </si>
  <si>
    <t>PMM</t>
  </si>
  <si>
    <t>PMN</t>
  </si>
  <si>
    <t>PMO</t>
  </si>
  <si>
    <t>PMT</t>
  </si>
  <si>
    <t>PMT^A</t>
  </si>
  <si>
    <t>PMT^B</t>
  </si>
  <si>
    <t>PMT^C</t>
  </si>
  <si>
    <t>PMTS</t>
  </si>
  <si>
    <t>PMTU</t>
  </si>
  <si>
    <t>PMVP</t>
  </si>
  <si>
    <t>PMX</t>
  </si>
  <si>
    <t>PNBK</t>
  </si>
  <si>
    <t>PNC</t>
  </si>
  <si>
    <t>PNF</t>
  </si>
  <si>
    <t>PNFP</t>
  </si>
  <si>
    <t>PNFPP</t>
  </si>
  <si>
    <t>PNI</t>
  </si>
  <si>
    <t>PNM</t>
  </si>
  <si>
    <t>PNNT</t>
  </si>
  <si>
    <t>PNR</t>
  </si>
  <si>
    <t>PNRG</t>
  </si>
  <si>
    <t>PNST</t>
  </si>
  <si>
    <t>PNTG</t>
  </si>
  <si>
    <t>PNW</t>
  </si>
  <si>
    <t>POAI</t>
  </si>
  <si>
    <t>POCI</t>
  </si>
  <si>
    <t>PODC</t>
  </si>
  <si>
    <t>PODD</t>
  </si>
  <si>
    <t>POET</t>
  </si>
  <si>
    <t>POL</t>
  </si>
  <si>
    <t>POLA</t>
  </si>
  <si>
    <t>POOL</t>
  </si>
  <si>
    <t>POR</t>
  </si>
  <si>
    <t>PORT</t>
  </si>
  <si>
    <t>POST</t>
  </si>
  <si>
    <t>POWI</t>
  </si>
  <si>
    <t>POWL</t>
  </si>
  <si>
    <t>POWW</t>
  </si>
  <si>
    <t>POWWP</t>
  </si>
  <si>
    <t>PPBI</t>
  </si>
  <si>
    <t>PPBT</t>
  </si>
  <si>
    <t>PPC</t>
  </si>
  <si>
    <t>PPG</t>
  </si>
  <si>
    <t>PPHP</t>
  </si>
  <si>
    <t>PPHPR</t>
  </si>
  <si>
    <t>PPIH</t>
  </si>
  <si>
    <t>PPL</t>
  </si>
  <si>
    <t>PPSI</t>
  </si>
  <si>
    <t>PPT</t>
  </si>
  <si>
    <t>PPTA</t>
  </si>
  <si>
    <t>PPYA</t>
  </si>
  <si>
    <t>PPYAW</t>
  </si>
  <si>
    <t>PR</t>
  </si>
  <si>
    <t>PRA</t>
  </si>
  <si>
    <t>PRAA</t>
  </si>
  <si>
    <t>PRAX</t>
  </si>
  <si>
    <t>PRCH</t>
  </si>
  <si>
    <t>PRCT</t>
  </si>
  <si>
    <t>PRDO</t>
  </si>
  <si>
    <t>PRE</t>
  </si>
  <si>
    <t>PRE^J</t>
  </si>
  <si>
    <t>PRENW</t>
  </si>
  <si>
    <t>PRFT</t>
  </si>
  <si>
    <t>PRFX</t>
  </si>
  <si>
    <t>PRG</t>
  </si>
  <si>
    <t>PRGO</t>
  </si>
  <si>
    <t>PRGS</t>
  </si>
  <si>
    <t>PRH</t>
  </si>
  <si>
    <t>PRI</t>
  </si>
  <si>
    <t>PRIF^D</t>
  </si>
  <si>
    <t>PRIF^F</t>
  </si>
  <si>
    <t>PRIF^G</t>
  </si>
  <si>
    <t>PRIF^H</t>
  </si>
  <si>
    <t>PRIF^I</t>
  </si>
  <si>
    <t>PRIF^J</t>
  </si>
  <si>
    <t>PRIF^K</t>
  </si>
  <si>
    <t>PRIF^L</t>
  </si>
  <si>
    <t>PRIM</t>
  </si>
  <si>
    <t>PRK</t>
  </si>
  <si>
    <t>PRLB</t>
  </si>
  <si>
    <t>PRLD</t>
  </si>
  <si>
    <t>PRLH</t>
  </si>
  <si>
    <t>PRM</t>
  </si>
  <si>
    <t>PRME</t>
  </si>
  <si>
    <t>PRMW</t>
  </si>
  <si>
    <t>PRO</t>
  </si>
  <si>
    <t>PROC</t>
  </si>
  <si>
    <t>PROCW</t>
  </si>
  <si>
    <t>PROF</t>
  </si>
  <si>
    <t>PROK</t>
  </si>
  <si>
    <t>PROP</t>
  </si>
  <si>
    <t>PROV</t>
  </si>
  <si>
    <t>PRPH</t>
  </si>
  <si>
    <t>PRPL</t>
  </si>
  <si>
    <t>PRPO</t>
  </si>
  <si>
    <t>PRQR</t>
  </si>
  <si>
    <t>PRS</t>
  </si>
  <si>
    <t>PRSO</t>
  </si>
  <si>
    <t>PRST</t>
  </si>
  <si>
    <t>PRSTW</t>
  </si>
  <si>
    <t>PRT</t>
  </si>
  <si>
    <t>PRTA</t>
  </si>
  <si>
    <t>PRTC</t>
  </si>
  <si>
    <t>PRTG</t>
  </si>
  <si>
    <t>PRTH</t>
  </si>
  <si>
    <t>PRTS</t>
  </si>
  <si>
    <t>PRU</t>
  </si>
  <si>
    <t>PRVA</t>
  </si>
  <si>
    <t>PRZO</t>
  </si>
  <si>
    <t>PSA</t>
  </si>
  <si>
    <t>PSA^F</t>
  </si>
  <si>
    <t>PSA^G</t>
  </si>
  <si>
    <t>PSA^H</t>
  </si>
  <si>
    <t>PSA^I</t>
  </si>
  <si>
    <t>PSA^J</t>
  </si>
  <si>
    <t>PSA^K</t>
  </si>
  <si>
    <t>PSA^L</t>
  </si>
  <si>
    <t>PSA^M</t>
  </si>
  <si>
    <t>PSA^N</t>
  </si>
  <si>
    <t>PSA^O</t>
  </si>
  <si>
    <t>PSA^P</t>
  </si>
  <si>
    <t>PSA^Q</t>
  </si>
  <si>
    <t>PSA^R</t>
  </si>
  <si>
    <t>PSA^S</t>
  </si>
  <si>
    <t>PSEC</t>
  </si>
  <si>
    <t>PSEC^A</t>
  </si>
  <si>
    <t>PSF</t>
  </si>
  <si>
    <t>PSFE</t>
  </si>
  <si>
    <t>PSHG</t>
  </si>
  <si>
    <t>PSMT</t>
  </si>
  <si>
    <t>PSN</t>
  </si>
  <si>
    <t>PSNL</t>
  </si>
  <si>
    <t>PSNY</t>
  </si>
  <si>
    <t>PSNYW</t>
  </si>
  <si>
    <t>PSO</t>
  </si>
  <si>
    <t>PSQH</t>
  </si>
  <si>
    <t>PSTG</t>
  </si>
  <si>
    <t>PSTL</t>
  </si>
  <si>
    <t>PSTV</t>
  </si>
  <si>
    <t>PSTX</t>
  </si>
  <si>
    <t>PSX</t>
  </si>
  <si>
    <t>PT</t>
  </si>
  <si>
    <t>PTA</t>
  </si>
  <si>
    <t>PTC</t>
  </si>
  <si>
    <t>PTCT</t>
  </si>
  <si>
    <t>PTEN</t>
  </si>
  <si>
    <t>PTGX</t>
  </si>
  <si>
    <t>PTHR</t>
  </si>
  <si>
    <t>PTHRU</t>
  </si>
  <si>
    <t>PTHRW</t>
  </si>
  <si>
    <t>PTIX</t>
  </si>
  <si>
    <t>PTIXW</t>
  </si>
  <si>
    <t>PTLO</t>
  </si>
  <si>
    <t>PTMN</t>
  </si>
  <si>
    <t>PTN</t>
  </si>
  <si>
    <t>PTON</t>
  </si>
  <si>
    <t>PTPI</t>
  </si>
  <si>
    <t>PTSI</t>
  </si>
  <si>
    <t>PTVE</t>
  </si>
  <si>
    <t>PTWO</t>
  </si>
  <si>
    <t>PTWOW</t>
  </si>
  <si>
    <t>PTY</t>
  </si>
  <si>
    <t>PUBM</t>
  </si>
  <si>
    <t>PUK</t>
  </si>
  <si>
    <t>PULM</t>
  </si>
  <si>
    <t>PUMP</t>
  </si>
  <si>
    <t>PUYI</t>
  </si>
  <si>
    <t>PVBC</t>
  </si>
  <si>
    <t>PVH</t>
  </si>
  <si>
    <t>PVL</t>
  </si>
  <si>
    <t>PW</t>
  </si>
  <si>
    <t>PW^A</t>
  </si>
  <si>
    <t>PWFL</t>
  </si>
  <si>
    <t>PWM</t>
  </si>
  <si>
    <t>PWOD</t>
  </si>
  <si>
    <t>PWP</t>
  </si>
  <si>
    <t>PWR</t>
  </si>
  <si>
    <t>PWSC</t>
  </si>
  <si>
    <t>PWUP</t>
  </si>
  <si>
    <t>PWUPU</t>
  </si>
  <si>
    <t>PWUPW</t>
  </si>
  <si>
    <t>PX</t>
  </si>
  <si>
    <t>PXD</t>
  </si>
  <si>
    <t>PXDT</t>
  </si>
  <si>
    <t>PXLW</t>
  </si>
  <si>
    <t>PXMD</t>
  </si>
  <si>
    <t>PXS</t>
  </si>
  <si>
    <t>PXSAP</t>
  </si>
  <si>
    <t>PXSAW</t>
  </si>
  <si>
    <t>PYCR</t>
  </si>
  <si>
    <t>PYN</t>
  </si>
  <si>
    <t>PYPD</t>
  </si>
  <si>
    <t>PYPL</t>
  </si>
  <si>
    <t>PYXS</t>
  </si>
  <si>
    <t>PZC</t>
  </si>
  <si>
    <t>PZG</t>
  </si>
  <si>
    <t>PZZA</t>
  </si>
  <si>
    <t>QBTS</t>
  </si>
  <si>
    <t>QCOM</t>
  </si>
  <si>
    <t>QCRH</t>
  </si>
  <si>
    <t>QD</t>
  </si>
  <si>
    <t>QDEL</t>
  </si>
  <si>
    <t>QDROU</t>
  </si>
  <si>
    <t>QDROW</t>
  </si>
  <si>
    <t>QETA</t>
  </si>
  <si>
    <t>QETAR</t>
  </si>
  <si>
    <t>QETAU</t>
  </si>
  <si>
    <t>QFIN</t>
  </si>
  <si>
    <t>QFTA</t>
  </si>
  <si>
    <t>QGEN</t>
  </si>
  <si>
    <t>QH</t>
  </si>
  <si>
    <t>QIPT</t>
  </si>
  <si>
    <t>QLGN</t>
  </si>
  <si>
    <t>QLI</t>
  </si>
  <si>
    <t>QLYS</t>
  </si>
  <si>
    <t>QMCO</t>
  </si>
  <si>
    <t>QNCX</t>
  </si>
  <si>
    <t>QNRX</t>
  </si>
  <si>
    <t>QNST</t>
  </si>
  <si>
    <t>QOMOR</t>
  </si>
  <si>
    <t>QQQX</t>
  </si>
  <si>
    <t>QRHC</t>
  </si>
  <si>
    <t>QRTEA</t>
  </si>
  <si>
    <t>QRTEB</t>
  </si>
  <si>
    <t>QRTEP</t>
  </si>
  <si>
    <t>QRVO</t>
  </si>
  <si>
    <t>QS</t>
  </si>
  <si>
    <t>QSG</t>
  </si>
  <si>
    <t>QSI</t>
  </si>
  <si>
    <t>QSIAW</t>
  </si>
  <si>
    <t>QSR</t>
  </si>
  <si>
    <t>QTRX</t>
  </si>
  <si>
    <t>QTWO</t>
  </si>
  <si>
    <t>QUAD</t>
  </si>
  <si>
    <t>QUBT</t>
  </si>
  <si>
    <t>QUIK</t>
  </si>
  <si>
    <t>QURE</t>
  </si>
  <si>
    <t>QVCC</t>
  </si>
  <si>
    <t>QVCD</t>
  </si>
  <si>
    <t>R</t>
  </si>
  <si>
    <t>RA</t>
  </si>
  <si>
    <t>RACE</t>
  </si>
  <si>
    <t>RAIL</t>
  </si>
  <si>
    <t>RAIN</t>
  </si>
  <si>
    <t>RAMP</t>
  </si>
  <si>
    <t>RAND</t>
  </si>
  <si>
    <t>RANI</t>
  </si>
  <si>
    <t>RAPT</t>
  </si>
  <si>
    <t>RARE</t>
  </si>
  <si>
    <t>RAVE</t>
  </si>
  <si>
    <t>RAYA</t>
  </si>
  <si>
    <t>RBA</t>
  </si>
  <si>
    <t>RBB</t>
  </si>
  <si>
    <t>RBBN</t>
  </si>
  <si>
    <t>RBC</t>
  </si>
  <si>
    <t>RBCAA</t>
  </si>
  <si>
    <t>RBCP</t>
  </si>
  <si>
    <t>RBKB</t>
  </si>
  <si>
    <t>RBLX</t>
  </si>
  <si>
    <t>RBOT</t>
  </si>
  <si>
    <t>RBT</t>
  </si>
  <si>
    <t>RC</t>
  </si>
  <si>
    <t>RC^C</t>
  </si>
  <si>
    <t>RC^E</t>
  </si>
  <si>
    <t>RCAC</t>
  </si>
  <si>
    <t>RCACU</t>
  </si>
  <si>
    <t>RCACW</t>
  </si>
  <si>
    <t>RCAT</t>
  </si>
  <si>
    <t>RCB</t>
  </si>
  <si>
    <t>RCC</t>
  </si>
  <si>
    <t>RCEL</t>
  </si>
  <si>
    <t>RCFA</t>
  </si>
  <si>
    <t>RCG</t>
  </si>
  <si>
    <t>RCI</t>
  </si>
  <si>
    <t>RCKT</t>
  </si>
  <si>
    <t>RCKTW</t>
  </si>
  <si>
    <t>RCKY</t>
  </si>
  <si>
    <t>RCL</t>
  </si>
  <si>
    <t>RCM</t>
  </si>
  <si>
    <t>RCMT</t>
  </si>
  <si>
    <t>RCON</t>
  </si>
  <si>
    <t>RCRT</t>
  </si>
  <si>
    <t>RCRTW</t>
  </si>
  <si>
    <t>RCS</t>
  </si>
  <si>
    <t>RCUS</t>
  </si>
  <si>
    <t>RDCM</t>
  </si>
  <si>
    <t>RDFN</t>
  </si>
  <si>
    <t>RDHL</t>
  </si>
  <si>
    <t>RDI</t>
  </si>
  <si>
    <t>RDIB</t>
  </si>
  <si>
    <t>RDN</t>
  </si>
  <si>
    <t>RDNT</t>
  </si>
  <si>
    <t>RDUS</t>
  </si>
  <si>
    <t>RDVT</t>
  </si>
  <si>
    <t>RDW</t>
  </si>
  <si>
    <t>RDWR</t>
  </si>
  <si>
    <t>RDY</t>
  </si>
  <si>
    <t>RDZN</t>
  </si>
  <si>
    <t>RDZNW</t>
  </si>
  <si>
    <t>REAL</t>
  </si>
  <si>
    <t>REAX</t>
  </si>
  <si>
    <t>REBN</t>
  </si>
  <si>
    <t>REE</t>
  </si>
  <si>
    <t>REFI</t>
  </si>
  <si>
    <t>REFR</t>
  </si>
  <si>
    <t>REG</t>
  </si>
  <si>
    <t>REGCO</t>
  </si>
  <si>
    <t>REGCP</t>
  </si>
  <si>
    <t>REGN</t>
  </si>
  <si>
    <t>REI</t>
  </si>
  <si>
    <t>REKR</t>
  </si>
  <si>
    <t>RELI</t>
  </si>
  <si>
    <t>RELIW</t>
  </si>
  <si>
    <t>RELL</t>
  </si>
  <si>
    <t>RELX</t>
  </si>
  <si>
    <t>RELY</t>
  </si>
  <si>
    <t>RENB</t>
  </si>
  <si>
    <t>RENE</t>
  </si>
  <si>
    <t>RENT</t>
  </si>
  <si>
    <t>REPL</t>
  </si>
  <si>
    <t>REPX</t>
  </si>
  <si>
    <t>RERE</t>
  </si>
  <si>
    <t>RES</t>
  </si>
  <si>
    <t>RETO</t>
  </si>
  <si>
    <t>REVB</t>
  </si>
  <si>
    <t>REVBW</t>
  </si>
  <si>
    <t>REVG</t>
  </si>
  <si>
    <t>REX</t>
  </si>
  <si>
    <t>REXR</t>
  </si>
  <si>
    <t>REXR^B</t>
  </si>
  <si>
    <t>REXR^C</t>
  </si>
  <si>
    <t>REYN</t>
  </si>
  <si>
    <t>REZI</t>
  </si>
  <si>
    <t>RF</t>
  </si>
  <si>
    <t>RF^B</t>
  </si>
  <si>
    <t>RF^C</t>
  </si>
  <si>
    <t>RF^E</t>
  </si>
  <si>
    <t>RFAC</t>
  </si>
  <si>
    <t>RFACR</t>
  </si>
  <si>
    <t>RFI</t>
  </si>
  <si>
    <t>RFIL</t>
  </si>
  <si>
    <t>RFL</t>
  </si>
  <si>
    <t>RFM</t>
  </si>
  <si>
    <t>RFMZ</t>
  </si>
  <si>
    <t>RGA</t>
  </si>
  <si>
    <t>RGC</t>
  </si>
  <si>
    <t>RGCO</t>
  </si>
  <si>
    <t>RGEN</t>
  </si>
  <si>
    <t>RGF</t>
  </si>
  <si>
    <t>RGLD</t>
  </si>
  <si>
    <t>RGLS</t>
  </si>
  <si>
    <t>RGNX</t>
  </si>
  <si>
    <t>RGP</t>
  </si>
  <si>
    <t>RGR</t>
  </si>
  <si>
    <t>RGS</t>
  </si>
  <si>
    <t>RGT</t>
  </si>
  <si>
    <t>RGTI</t>
  </si>
  <si>
    <t>RGTIW</t>
  </si>
  <si>
    <t>RH</t>
  </si>
  <si>
    <t>RHE</t>
  </si>
  <si>
    <t>RHE^A</t>
  </si>
  <si>
    <t>RHI</t>
  </si>
  <si>
    <t>RHP</t>
  </si>
  <si>
    <t>RICK</t>
  </si>
  <si>
    <t>RIG</t>
  </si>
  <si>
    <t>RIGL</t>
  </si>
  <si>
    <t>RILY</t>
  </si>
  <si>
    <t>RILYG</t>
  </si>
  <si>
    <t>RILYK</t>
  </si>
  <si>
    <t>RILYL</t>
  </si>
  <si>
    <t>RILYM</t>
  </si>
  <si>
    <t>RILYN</t>
  </si>
  <si>
    <t>RILYO</t>
  </si>
  <si>
    <t>RILYP</t>
  </si>
  <si>
    <t>RILYT</t>
  </si>
  <si>
    <t>RILYZ</t>
  </si>
  <si>
    <t>RIO</t>
  </si>
  <si>
    <t>RIOT</t>
  </si>
  <si>
    <t>RITM</t>
  </si>
  <si>
    <t>RITM^A</t>
  </si>
  <si>
    <t>RITM^B</t>
  </si>
  <si>
    <t>RITM^C</t>
  </si>
  <si>
    <t>RITM^D</t>
  </si>
  <si>
    <t>RIV</t>
  </si>
  <si>
    <t>RIV^A</t>
  </si>
  <si>
    <t>RIVN</t>
  </si>
  <si>
    <t>RJF</t>
  </si>
  <si>
    <t>RJF^B</t>
  </si>
  <si>
    <t>RKDA</t>
  </si>
  <si>
    <t>RKLB</t>
  </si>
  <si>
    <t>RKT</t>
  </si>
  <si>
    <t>RL</t>
  </si>
  <si>
    <t>RLAY</t>
  </si>
  <si>
    <t>RLGT</t>
  </si>
  <si>
    <t>RLI</t>
  </si>
  <si>
    <t>RLJ</t>
  </si>
  <si>
    <t>RLJ^A</t>
  </si>
  <si>
    <t>RLMD</t>
  </si>
  <si>
    <t>RLTY</t>
  </si>
  <si>
    <t>RLX</t>
  </si>
  <si>
    <t>RLYB</t>
  </si>
  <si>
    <t>RM</t>
  </si>
  <si>
    <t>RMAX</t>
  </si>
  <si>
    <t>RMBI</t>
  </si>
  <si>
    <t>RMBL</t>
  </si>
  <si>
    <t>RMBS</t>
  </si>
  <si>
    <t>RMCF</t>
  </si>
  <si>
    <t>RMCO</t>
  </si>
  <si>
    <t>RMCOW</t>
  </si>
  <si>
    <t>RMD</t>
  </si>
  <si>
    <t>RMGC</t>
  </si>
  <si>
    <t>RMGCU</t>
  </si>
  <si>
    <t>RMI</t>
  </si>
  <si>
    <t>RMM</t>
  </si>
  <si>
    <t>RMMZ</t>
  </si>
  <si>
    <t>RMNI</t>
  </si>
  <si>
    <t>RMPL^</t>
  </si>
  <si>
    <t>RMR</t>
  </si>
  <si>
    <t>RMT</t>
  </si>
  <si>
    <t>RMTI</t>
  </si>
  <si>
    <t>RNA</t>
  </si>
  <si>
    <t>RNAC</t>
  </si>
  <si>
    <t>RNAZ</t>
  </si>
  <si>
    <t>RNG</t>
  </si>
  <si>
    <t>RNGR</t>
  </si>
  <si>
    <t>RNLX</t>
  </si>
  <si>
    <t>RNP</t>
  </si>
  <si>
    <t>RNR</t>
  </si>
  <si>
    <t>RNR^F</t>
  </si>
  <si>
    <t>RNR^G</t>
  </si>
  <si>
    <t>RNST</t>
  </si>
  <si>
    <t>RNW</t>
  </si>
  <si>
    <t>RNWWW</t>
  </si>
  <si>
    <t>RNXT</t>
  </si>
  <si>
    <t>ROAD</t>
  </si>
  <si>
    <t>ROCK</t>
  </si>
  <si>
    <t>ROCL</t>
  </si>
  <si>
    <t>ROCLW</t>
  </si>
  <si>
    <t>ROG</t>
  </si>
  <si>
    <t>ROI</t>
  </si>
  <si>
    <t>ROIC</t>
  </si>
  <si>
    <t>ROIV</t>
  </si>
  <si>
    <t>ROK</t>
  </si>
  <si>
    <t>ROKU</t>
  </si>
  <si>
    <t>ROL</t>
  </si>
  <si>
    <t>ROOT</t>
  </si>
  <si>
    <t>ROP</t>
  </si>
  <si>
    <t>ROSS</t>
  </si>
  <si>
    <t>ROST</t>
  </si>
  <si>
    <t>ROVR</t>
  </si>
  <si>
    <t>RPAY</t>
  </si>
  <si>
    <t>RPD</t>
  </si>
  <si>
    <t>RPHM</t>
  </si>
  <si>
    <t>RPID</t>
  </si>
  <si>
    <t>RPM</t>
  </si>
  <si>
    <t>RPRX</t>
  </si>
  <si>
    <t>RPTX</t>
  </si>
  <si>
    <t>RQI</t>
  </si>
  <si>
    <t>RR</t>
  </si>
  <si>
    <t>RRAC</t>
  </si>
  <si>
    <t>RRBI</t>
  </si>
  <si>
    <t>RRC</t>
  </si>
  <si>
    <t>RRGB</t>
  </si>
  <si>
    <t>RRR</t>
  </si>
  <si>
    <t>RRX</t>
  </si>
  <si>
    <t>RS</t>
  </si>
  <si>
    <t>RSF</t>
  </si>
  <si>
    <t>RSG</t>
  </si>
  <si>
    <t>RSI</t>
  </si>
  <si>
    <t>RSKD</t>
  </si>
  <si>
    <t>RSLS</t>
  </si>
  <si>
    <t>RSSS</t>
  </si>
  <si>
    <t>RSVR</t>
  </si>
  <si>
    <t>RSVRW</t>
  </si>
  <si>
    <t>RTC</t>
  </si>
  <si>
    <t>RTO</t>
  </si>
  <si>
    <t>RTX</t>
  </si>
  <si>
    <t>RUM</t>
  </si>
  <si>
    <t>RUMBW</t>
  </si>
  <si>
    <t>RUN</t>
  </si>
  <si>
    <t>RUSHA</t>
  </si>
  <si>
    <t>RUSHB</t>
  </si>
  <si>
    <t>RVLV</t>
  </si>
  <si>
    <t>RVMD</t>
  </si>
  <si>
    <t>RVMDW</t>
  </si>
  <si>
    <t>RVNC</t>
  </si>
  <si>
    <t>RVP</t>
  </si>
  <si>
    <t>RVPH</t>
  </si>
  <si>
    <t>RVPHW</t>
  </si>
  <si>
    <t>RVSB</t>
  </si>
  <si>
    <t>RVSN</t>
  </si>
  <si>
    <t>RVSNW</t>
  </si>
  <si>
    <t>RVT</t>
  </si>
  <si>
    <t>RVTY</t>
  </si>
  <si>
    <t>RVYL</t>
  </si>
  <si>
    <t>RWAY</t>
  </si>
  <si>
    <t>RWAYL</t>
  </si>
  <si>
    <t>RWAYZ</t>
  </si>
  <si>
    <t>RWLK</t>
  </si>
  <si>
    <t>RWOD</t>
  </si>
  <si>
    <t>RWT</t>
  </si>
  <si>
    <t>RWT^A</t>
  </si>
  <si>
    <t>RXO</t>
  </si>
  <si>
    <t>RXRX</t>
  </si>
  <si>
    <t>RXST</t>
  </si>
  <si>
    <t>RXT</t>
  </si>
  <si>
    <t>RY</t>
  </si>
  <si>
    <t>RYAAY</t>
  </si>
  <si>
    <t>RYAM</t>
  </si>
  <si>
    <t>RYAN</t>
  </si>
  <si>
    <t>RYI</t>
  </si>
  <si>
    <t>RYN</t>
  </si>
  <si>
    <t>RYTM</t>
  </si>
  <si>
    <t>RYZB</t>
  </si>
  <si>
    <t>RZB</t>
  </si>
  <si>
    <t>RZC</t>
  </si>
  <si>
    <t>RZLT</t>
  </si>
  <si>
    <t>S</t>
  </si>
  <si>
    <t>SA</t>
  </si>
  <si>
    <t>SABA</t>
  </si>
  <si>
    <t>SABR</t>
  </si>
  <si>
    <t>SABS</t>
  </si>
  <si>
    <t>SABSW</t>
  </si>
  <si>
    <t>SACC</t>
  </si>
  <si>
    <t>SACH</t>
  </si>
  <si>
    <t>SACH^A</t>
  </si>
  <si>
    <t>SAFE</t>
  </si>
  <si>
    <t>SAFT</t>
  </si>
  <si>
    <t>SAGA</t>
  </si>
  <si>
    <t>SAGAR</t>
  </si>
  <si>
    <t>SAGE</t>
  </si>
  <si>
    <t>SAH</t>
  </si>
  <si>
    <t>SAI</t>
  </si>
  <si>
    <t>SAIA</t>
  </si>
  <si>
    <t>SAIC</t>
  </si>
  <si>
    <t>SAITW</t>
  </si>
  <si>
    <t>SAJ</t>
  </si>
  <si>
    <t>SALM</t>
  </si>
  <si>
    <t>SAM</t>
  </si>
  <si>
    <t>SAMG</t>
  </si>
  <si>
    <t>SAN</t>
  </si>
  <si>
    <t>SANA</t>
  </si>
  <si>
    <t xml:space="preserve">SAND          </t>
  </si>
  <si>
    <t>SANG</t>
  </si>
  <si>
    <t>SANM</t>
  </si>
  <si>
    <t>SANW</t>
  </si>
  <si>
    <t>SAP</t>
  </si>
  <si>
    <t>SAR</t>
  </si>
  <si>
    <t>SASI</t>
  </si>
  <si>
    <t>SASR</t>
  </si>
  <si>
    <t>SAT</t>
  </si>
  <si>
    <t>SATL</t>
  </si>
  <si>
    <t>SATLW</t>
  </si>
  <si>
    <t>SATS</t>
  </si>
  <si>
    <t>SATX</t>
  </si>
  <si>
    <t>SAVA</t>
  </si>
  <si>
    <t>SAVAW</t>
  </si>
  <si>
    <t>SAVE</t>
  </si>
  <si>
    <t>SAY</t>
  </si>
  <si>
    <t>SAZ</t>
  </si>
  <si>
    <t>SB</t>
  </si>
  <si>
    <t>SB^C</t>
  </si>
  <si>
    <t>SB^D</t>
  </si>
  <si>
    <t>SBAC</t>
  </si>
  <si>
    <t>SBBA</t>
  </si>
  <si>
    <t>SBCF</t>
  </si>
  <si>
    <t>SBET</t>
  </si>
  <si>
    <t>SBEV</t>
  </si>
  <si>
    <t>SBFG</t>
  </si>
  <si>
    <t>SBFM</t>
  </si>
  <si>
    <t>SBGI</t>
  </si>
  <si>
    <t>SBH</t>
  </si>
  <si>
    <t>SBI</t>
  </si>
  <si>
    <t>SBLK</t>
  </si>
  <si>
    <t>SBOW</t>
  </si>
  <si>
    <t>SBR</t>
  </si>
  <si>
    <t>SBRA</t>
  </si>
  <si>
    <t>SBS</t>
  </si>
  <si>
    <t>SBSI</t>
  </si>
  <si>
    <t>SBSW</t>
  </si>
  <si>
    <t>SBT</t>
  </si>
  <si>
    <t>SBUX</t>
  </si>
  <si>
    <t>SBXC</t>
  </si>
  <si>
    <t>SCCB</t>
  </si>
  <si>
    <t>SCCC</t>
  </si>
  <si>
    <t>SCCD</t>
  </si>
  <si>
    <t>SCCE</t>
  </si>
  <si>
    <t>SCCF</t>
  </si>
  <si>
    <t>SCCG</t>
  </si>
  <si>
    <t>SCCO</t>
  </si>
  <si>
    <t>SCD</t>
  </si>
  <si>
    <t>SCE^G</t>
  </si>
  <si>
    <t>SCE^H</t>
  </si>
  <si>
    <t>SCE^J</t>
  </si>
  <si>
    <t>SCE^K</t>
  </si>
  <si>
    <t>SCE^L</t>
  </si>
  <si>
    <t>SCE^M</t>
  </si>
  <si>
    <t>SCHL</t>
  </si>
  <si>
    <t>SCHW</t>
  </si>
  <si>
    <t>SCHW^D</t>
  </si>
  <si>
    <t>SCHW^J</t>
  </si>
  <si>
    <t>SCI</t>
  </si>
  <si>
    <t>SCKT</t>
  </si>
  <si>
    <t>SCL</t>
  </si>
  <si>
    <t>SCLX</t>
  </si>
  <si>
    <t>SCLXW</t>
  </si>
  <si>
    <t>SCM</t>
  </si>
  <si>
    <t>SCNI</t>
  </si>
  <si>
    <t>SCOR</t>
  </si>
  <si>
    <t>SCPH</t>
  </si>
  <si>
    <t>SCRM</t>
  </si>
  <si>
    <t>SCRMU</t>
  </si>
  <si>
    <t>SCRMW</t>
  </si>
  <si>
    <t>SCS</t>
  </si>
  <si>
    <t>SCSC</t>
  </si>
  <si>
    <t>SCTL</t>
  </si>
  <si>
    <t>SCVL</t>
  </si>
  <si>
    <t>SCWO</t>
  </si>
  <si>
    <t>SCWX</t>
  </si>
  <si>
    <t>SCX</t>
  </si>
  <si>
    <t>SCYX</t>
  </si>
  <si>
    <t>SD</t>
  </si>
  <si>
    <t>SDA</t>
  </si>
  <si>
    <t>SDAWW</t>
  </si>
  <si>
    <t>SDGR</t>
  </si>
  <si>
    <t>SDHY</t>
  </si>
  <si>
    <t>SDIG</t>
  </si>
  <si>
    <t>SDOT</t>
  </si>
  <si>
    <t>SDPI</t>
  </si>
  <si>
    <t>SDRL</t>
  </si>
  <si>
    <t>SE</t>
  </si>
  <si>
    <t>SEAL^A</t>
  </si>
  <si>
    <t>SEAL^B</t>
  </si>
  <si>
    <t>SEAS</t>
  </si>
  <si>
    <t>SEAT</t>
  </si>
  <si>
    <t>SEATW</t>
  </si>
  <si>
    <t>SEB</t>
  </si>
  <si>
    <t>SECO</t>
  </si>
  <si>
    <t>SEDA</t>
  </si>
  <si>
    <t>SEDG</t>
  </si>
  <si>
    <t>SEE</t>
  </si>
  <si>
    <t>SEED</t>
  </si>
  <si>
    <t>SEEL</t>
  </si>
  <si>
    <t>SEER</t>
  </si>
  <si>
    <t>SEIC</t>
  </si>
  <si>
    <t>SELF</t>
  </si>
  <si>
    <t>SEM</t>
  </si>
  <si>
    <t>SEMR</t>
  </si>
  <si>
    <t>SENEA</t>
  </si>
  <si>
    <t>SENEB</t>
  </si>
  <si>
    <t>SENS</t>
  </si>
  <si>
    <t>SEPA</t>
  </si>
  <si>
    <t>SEPAW</t>
  </si>
  <si>
    <t>SERA</t>
  </si>
  <si>
    <t>SES</t>
  </si>
  <si>
    <t>SEVN</t>
  </si>
  <si>
    <t>SEZL</t>
  </si>
  <si>
    <t>SF</t>
  </si>
  <si>
    <t>SF^B</t>
  </si>
  <si>
    <t>SF^C</t>
  </si>
  <si>
    <t>SF^D</t>
  </si>
  <si>
    <t>SFB</t>
  </si>
  <si>
    <t>SFBC</t>
  </si>
  <si>
    <t>SFBS</t>
  </si>
  <si>
    <t>SFE</t>
  </si>
  <si>
    <t>SFIX</t>
  </si>
  <si>
    <t>SFL</t>
  </si>
  <si>
    <t>SFM</t>
  </si>
  <si>
    <t>SFNC</t>
  </si>
  <si>
    <t>SFST</t>
  </si>
  <si>
    <t>SFWL</t>
  </si>
  <si>
    <t>SG</t>
  </si>
  <si>
    <t>SGA</t>
  </si>
  <si>
    <t>SGBX</t>
  </si>
  <si>
    <t>SGC</t>
  </si>
  <si>
    <t>SGD</t>
  </si>
  <si>
    <t>SGE</t>
  </si>
  <si>
    <t>SGH</t>
  </si>
  <si>
    <t>SGHC</t>
  </si>
  <si>
    <t>SGHT</t>
  </si>
  <si>
    <t>SGLY</t>
  </si>
  <si>
    <t>SGMA</t>
  </si>
  <si>
    <t>SGML</t>
  </si>
  <si>
    <t>SGMO</t>
  </si>
  <si>
    <t>SGMT</t>
  </si>
  <si>
    <t>SGN</t>
  </si>
  <si>
    <t>SGRP</t>
  </si>
  <si>
    <t>SGRY</t>
  </si>
  <si>
    <t>SGU</t>
  </si>
  <si>
    <t>SHAK</t>
  </si>
  <si>
    <t>SHAP</t>
  </si>
  <si>
    <t>SHBI</t>
  </si>
  <si>
    <t>SHC</t>
  </si>
  <si>
    <t>SHCO</t>
  </si>
  <si>
    <t>SHCR</t>
  </si>
  <si>
    <t>SHEL</t>
  </si>
  <si>
    <t>SHEN</t>
  </si>
  <si>
    <t>SHFS</t>
  </si>
  <si>
    <t>SHFSW</t>
  </si>
  <si>
    <t>SHG</t>
  </si>
  <si>
    <t>SHIM</t>
  </si>
  <si>
    <t>SHIP</t>
  </si>
  <si>
    <t>SHLS</t>
  </si>
  <si>
    <t>SHLT</t>
  </si>
  <si>
    <t>SHO</t>
  </si>
  <si>
    <t>SHO^H</t>
  </si>
  <si>
    <t>SHO^I</t>
  </si>
  <si>
    <t>SHOO</t>
  </si>
  <si>
    <t>SHOP</t>
  </si>
  <si>
    <t>SHOT</t>
  </si>
  <si>
    <t>SHOTW</t>
  </si>
  <si>
    <t>SHPH</t>
  </si>
  <si>
    <t>SHPW</t>
  </si>
  <si>
    <t>SHPWW</t>
  </si>
  <si>
    <t>SHW</t>
  </si>
  <si>
    <t>SHYF</t>
  </si>
  <si>
    <t>SIBN</t>
  </si>
  <si>
    <t>SID</t>
  </si>
  <si>
    <t>SIDU</t>
  </si>
  <si>
    <t>SIEB</t>
  </si>
  <si>
    <t>SIEN</t>
  </si>
  <si>
    <t>SIF</t>
  </si>
  <si>
    <t>SIFY</t>
  </si>
  <si>
    <t>SIG</t>
  </si>
  <si>
    <t>SIGA</t>
  </si>
  <si>
    <t>SIGI</t>
  </si>
  <si>
    <t>SIGIP</t>
  </si>
  <si>
    <t>SII</t>
  </si>
  <si>
    <t>SILC</t>
  </si>
  <si>
    <t>SILK</t>
  </si>
  <si>
    <t>SILO</t>
  </si>
  <si>
    <t>SILV</t>
  </si>
  <si>
    <t>SIM</t>
  </si>
  <si>
    <t>SIMO</t>
  </si>
  <si>
    <t>SING</t>
  </si>
  <si>
    <t>SINT</t>
  </si>
  <si>
    <t>SIRI</t>
  </si>
  <si>
    <t>SISI</t>
  </si>
  <si>
    <t>SITC</t>
  </si>
  <si>
    <t>SITC^A</t>
  </si>
  <si>
    <t>SITE</t>
  </si>
  <si>
    <t>SITM</t>
  </si>
  <si>
    <t>SIX</t>
  </si>
  <si>
    <t>SJ</t>
  </si>
  <si>
    <t>SJM</t>
  </si>
  <si>
    <t>SJT</t>
  </si>
  <si>
    <t>SJW</t>
  </si>
  <si>
    <t>SKE</t>
  </si>
  <si>
    <t>SKGR</t>
  </si>
  <si>
    <t>SKGRU</t>
  </si>
  <si>
    <t>SKGRW</t>
  </si>
  <si>
    <t>SKIL</t>
  </si>
  <si>
    <t>SKIN</t>
  </si>
  <si>
    <t>SKLZ</t>
  </si>
  <si>
    <t>SKM</t>
  </si>
  <si>
    <t>SKT</t>
  </si>
  <si>
    <t>SKWD</t>
  </si>
  <si>
    <t>SKX</t>
  </si>
  <si>
    <t>SKY</t>
  </si>
  <si>
    <t>SKYH</t>
  </si>
  <si>
    <t>SKYT</t>
  </si>
  <si>
    <t>SKYW</t>
  </si>
  <si>
    <t>SKYX</t>
  </si>
  <si>
    <t>SLAB</t>
  </si>
  <si>
    <t>SLAC</t>
  </si>
  <si>
    <t>SLAM</t>
  </si>
  <si>
    <t>SLAMU</t>
  </si>
  <si>
    <t>SLAMW</t>
  </si>
  <si>
    <t>SLB</t>
  </si>
  <si>
    <t>SLCA</t>
  </si>
  <si>
    <t>SLDB</t>
  </si>
  <si>
    <t>SLDP</t>
  </si>
  <si>
    <t>SLDPW</t>
  </si>
  <si>
    <t>SLE</t>
  </si>
  <si>
    <t>SLF</t>
  </si>
  <si>
    <t>SLG</t>
  </si>
  <si>
    <t>SLG^I</t>
  </si>
  <si>
    <t>SLGC</t>
  </si>
  <si>
    <t>SLGCW</t>
  </si>
  <si>
    <t>SLGL</t>
  </si>
  <si>
    <t>SLGN</t>
  </si>
  <si>
    <t>SLI</t>
  </si>
  <si>
    <t>SLM</t>
  </si>
  <si>
    <t>SLMBP</t>
  </si>
  <si>
    <t>SLN</t>
  </si>
  <si>
    <t>SLNA</t>
  </si>
  <si>
    <t>SLNAW</t>
  </si>
  <si>
    <t>SLND</t>
  </si>
  <si>
    <t>SLNG</t>
  </si>
  <si>
    <t>SLNH</t>
  </si>
  <si>
    <t>SLNHP</t>
  </si>
  <si>
    <t>SLNO</t>
  </si>
  <si>
    <t>SLP</t>
  </si>
  <si>
    <t>SLQT</t>
  </si>
  <si>
    <t>SLRC</t>
  </si>
  <si>
    <t>SLRN</t>
  </si>
  <si>
    <t>SLRX</t>
  </si>
  <si>
    <t>SLS</t>
  </si>
  <si>
    <t>SLVM</t>
  </si>
  <si>
    <t>SM</t>
  </si>
  <si>
    <t>SMAR</t>
  </si>
  <si>
    <t>SMBC</t>
  </si>
  <si>
    <t>SMBK</t>
  </si>
  <si>
    <t>SMCI</t>
  </si>
  <si>
    <t>SMFG</t>
  </si>
  <si>
    <t>SMFL</t>
  </si>
  <si>
    <t>SMG</t>
  </si>
  <si>
    <t>SMHI</t>
  </si>
  <si>
    <t>SMID</t>
  </si>
  <si>
    <t>SMLP</t>
  </si>
  <si>
    <t>SMLR</t>
  </si>
  <si>
    <t>SMMF</t>
  </si>
  <si>
    <t>SMMT</t>
  </si>
  <si>
    <t>SMP</t>
  </si>
  <si>
    <t>SMPL</t>
  </si>
  <si>
    <t>SMR</t>
  </si>
  <si>
    <t>SMRT</t>
  </si>
  <si>
    <t>SMSI</t>
  </si>
  <si>
    <t>SMTC</t>
  </si>
  <si>
    <t>SMTI</t>
  </si>
  <si>
    <t>SMWB</t>
  </si>
  <si>
    <t>SMX</t>
  </si>
  <si>
    <t>SMXWW</t>
  </si>
  <si>
    <t>SN</t>
  </si>
  <si>
    <t>SNA</t>
  </si>
  <si>
    <t>SNAL</t>
  </si>
  <si>
    <t>SNAP</t>
  </si>
  <si>
    <t>SNAX</t>
  </si>
  <si>
    <t>SNAXW</t>
  </si>
  <si>
    <t>SNBR</t>
  </si>
  <si>
    <t>SNCE</t>
  </si>
  <si>
    <t>SNCR</t>
  </si>
  <si>
    <t>SNCRL</t>
  </si>
  <si>
    <t>SNCY</t>
  </si>
  <si>
    <t>SND</t>
  </si>
  <si>
    <t>SNDA</t>
  </si>
  <si>
    <t>SNDL</t>
  </si>
  <si>
    <t>SNDR</t>
  </si>
  <si>
    <t>SNDX</t>
  </si>
  <si>
    <t>SNES</t>
  </si>
  <si>
    <t>SNEX</t>
  </si>
  <si>
    <t>SNFCA</t>
  </si>
  <si>
    <t>SNGX</t>
  </si>
  <si>
    <t>SNMP</t>
  </si>
  <si>
    <t>SNN</t>
  </si>
  <si>
    <t>SNOA</t>
  </si>
  <si>
    <t>SNOW</t>
  </si>
  <si>
    <t>SNPO</t>
  </si>
  <si>
    <t>SNPS</t>
  </si>
  <si>
    <t>SNPX</t>
  </si>
  <si>
    <t>SNSE</t>
  </si>
  <si>
    <t>SNT</t>
  </si>
  <si>
    <t>SNTG</t>
  </si>
  <si>
    <t>SNTI</t>
  </si>
  <si>
    <t>SNV</t>
  </si>
  <si>
    <t>SNV^D</t>
  </si>
  <si>
    <t>SNV^E</t>
  </si>
  <si>
    <t>SNX</t>
  </si>
  <si>
    <t>SNY</t>
  </si>
  <si>
    <t>SO</t>
  </si>
  <si>
    <t>SOAR</t>
  </si>
  <si>
    <t>SOBR</t>
  </si>
  <si>
    <t>SOFI</t>
  </si>
  <si>
    <t>SOHO</t>
  </si>
  <si>
    <t>SOHOB</t>
  </si>
  <si>
    <t>SOHON</t>
  </si>
  <si>
    <t>SOHOO</t>
  </si>
  <si>
    <t>SOHU</t>
  </si>
  <si>
    <t>SOI</t>
  </si>
  <si>
    <t>SOJC</t>
  </si>
  <si>
    <t>SOJD</t>
  </si>
  <si>
    <t>SOJE</t>
  </si>
  <si>
    <t>SOL</t>
  </si>
  <si>
    <t>SOLO</t>
  </si>
  <si>
    <t>SON</t>
  </si>
  <si>
    <t>SOND</t>
  </si>
  <si>
    <t>SONDW</t>
  </si>
  <si>
    <t>SONM</t>
  </si>
  <si>
    <t>SONN</t>
  </si>
  <si>
    <t>SONO</t>
  </si>
  <si>
    <t>SONY</t>
  </si>
  <si>
    <t>SOPA</t>
  </si>
  <si>
    <t>SOPH</t>
  </si>
  <si>
    <t>SOR</t>
  </si>
  <si>
    <t>SOS</t>
  </si>
  <si>
    <t>SOTK</t>
  </si>
  <si>
    <t>SOUN</t>
  </si>
  <si>
    <t>SOUNW</t>
  </si>
  <si>
    <t>SOVO</t>
  </si>
  <si>
    <t>SP</t>
  </si>
  <si>
    <t>SPB</t>
  </si>
  <si>
    <t>SPCB</t>
  </si>
  <si>
    <t>SPCE</t>
  </si>
  <si>
    <t>SPE</t>
  </si>
  <si>
    <t>SPE^C</t>
  </si>
  <si>
    <t>SPEC</t>
  </si>
  <si>
    <t>SPECW</t>
  </si>
  <si>
    <t>SPFI</t>
  </si>
  <si>
    <t>SPG</t>
  </si>
  <si>
    <t>SPG^J</t>
  </si>
  <si>
    <t>SPGC</t>
  </si>
  <si>
    <t>SPGI</t>
  </si>
  <si>
    <t>SPH</t>
  </si>
  <si>
    <t>SPHR</t>
  </si>
  <si>
    <t>SPI</t>
  </si>
  <si>
    <t>SPIR</t>
  </si>
  <si>
    <t>SPKL</t>
  </si>
  <si>
    <t>SPKLU</t>
  </si>
  <si>
    <t>SPLK</t>
  </si>
  <si>
    <t>SPLP</t>
  </si>
  <si>
    <t>SPLP^A</t>
  </si>
  <si>
    <t>SPNS</t>
  </si>
  <si>
    <t>SPNT</t>
  </si>
  <si>
    <t>SPNT^B</t>
  </si>
  <si>
    <t>SPOK</t>
  </si>
  <si>
    <t>SPOT</t>
  </si>
  <si>
    <t>SPPL</t>
  </si>
  <si>
    <t>SPR</t>
  </si>
  <si>
    <t>SPRB</t>
  </si>
  <si>
    <t>SPRC</t>
  </si>
  <si>
    <t>SPRO</t>
  </si>
  <si>
    <t>SPRU</t>
  </si>
  <si>
    <t>SPRY</t>
  </si>
  <si>
    <t>SPSC</t>
  </si>
  <si>
    <t>SPT</t>
  </si>
  <si>
    <t>SPTN</t>
  </si>
  <si>
    <t>SPWH</t>
  </si>
  <si>
    <t>SPWR</t>
  </si>
  <si>
    <t>SPXC</t>
  </si>
  <si>
    <t>SPXX</t>
  </si>
  <si>
    <t>SQ</t>
  </si>
  <si>
    <t>SQFT</t>
  </si>
  <si>
    <t>SQFTP</t>
  </si>
  <si>
    <t>SQFTW</t>
  </si>
  <si>
    <t>SQM</t>
  </si>
  <si>
    <t>SQNS</t>
  </si>
  <si>
    <t>SQSP</t>
  </si>
  <si>
    <t>SR</t>
  </si>
  <si>
    <t>SR^A</t>
  </si>
  <si>
    <t>SRAD</t>
  </si>
  <si>
    <t>SRBK</t>
  </si>
  <si>
    <t>SRC</t>
  </si>
  <si>
    <t>SRC^A</t>
  </si>
  <si>
    <t>SRCE</t>
  </si>
  <si>
    <t>SRCL</t>
  </si>
  <si>
    <t>SRDX</t>
  </si>
  <si>
    <t>SRE</t>
  </si>
  <si>
    <t>SREA</t>
  </si>
  <si>
    <t>SRFM</t>
  </si>
  <si>
    <t>SRG</t>
  </si>
  <si>
    <t>SRG^A</t>
  </si>
  <si>
    <t>SRI</t>
  </si>
  <si>
    <t>SRL</t>
  </si>
  <si>
    <t>SRM</t>
  </si>
  <si>
    <t>SRPT</t>
  </si>
  <si>
    <t>SRRK</t>
  </si>
  <si>
    <t>SRTS</t>
  </si>
  <si>
    <t>SRV</t>
  </si>
  <si>
    <t>SRZN</t>
  </si>
  <si>
    <t>SRZNW</t>
  </si>
  <si>
    <t>SSB</t>
  </si>
  <si>
    <t>SSBI</t>
  </si>
  <si>
    <t>SSBK</t>
  </si>
  <si>
    <t>SSD</t>
  </si>
  <si>
    <t>SSIC</t>
  </si>
  <si>
    <t>SSKN</t>
  </si>
  <si>
    <t>SSL</t>
  </si>
  <si>
    <t>SSNC</t>
  </si>
  <si>
    <t>SSNT</t>
  </si>
  <si>
    <t>SSP</t>
  </si>
  <si>
    <t>SSRM</t>
  </si>
  <si>
    <t>SSSS</t>
  </si>
  <si>
    <t>SSSSL</t>
  </si>
  <si>
    <t>SST</t>
  </si>
  <si>
    <t>SSTI</t>
  </si>
  <si>
    <t>SSTK</t>
  </si>
  <si>
    <t>SSY</t>
  </si>
  <si>
    <t>SSYS</t>
  </si>
  <si>
    <t>ST</t>
  </si>
  <si>
    <t>STAA</t>
  </si>
  <si>
    <t>STAF</t>
  </si>
  <si>
    <t>STAG</t>
  </si>
  <si>
    <t>STBA</t>
  </si>
  <si>
    <t>STBX</t>
  </si>
  <si>
    <t>STC</t>
  </si>
  <si>
    <t>STCN</t>
  </si>
  <si>
    <t>STE</t>
  </si>
  <si>
    <t>STEL</t>
  </si>
  <si>
    <t>STEM</t>
  </si>
  <si>
    <t>STEP</t>
  </si>
  <si>
    <t>STER</t>
  </si>
  <si>
    <t>STEW</t>
  </si>
  <si>
    <t>STG</t>
  </si>
  <si>
    <t>STGW</t>
  </si>
  <si>
    <t>STHO</t>
  </si>
  <si>
    <t>STIM</t>
  </si>
  <si>
    <t>STIX</t>
  </si>
  <si>
    <t>STIXW</t>
  </si>
  <si>
    <t>STK</t>
  </si>
  <si>
    <t>STKH</t>
  </si>
  <si>
    <t>STKL</t>
  </si>
  <si>
    <t>STKS</t>
  </si>
  <si>
    <t>STLA</t>
  </si>
  <si>
    <t>STLD</t>
  </si>
  <si>
    <t>STM</t>
  </si>
  <si>
    <t>STN</t>
  </si>
  <si>
    <t>STNE</t>
  </si>
  <si>
    <t>STNG</t>
  </si>
  <si>
    <t>STOK</t>
  </si>
  <si>
    <t>STR</t>
  </si>
  <si>
    <t>STRA</t>
  </si>
  <si>
    <t>STRC</t>
  </si>
  <si>
    <t>STRCW</t>
  </si>
  <si>
    <t>STRL</t>
  </si>
  <si>
    <t>STRM</t>
  </si>
  <si>
    <t>STRO</t>
  </si>
  <si>
    <t>STRR</t>
  </si>
  <si>
    <t>STRRP</t>
  </si>
  <si>
    <t>STRS</t>
  </si>
  <si>
    <t>STRT</t>
  </si>
  <si>
    <t>STRW</t>
  </si>
  <si>
    <t>STSS</t>
  </si>
  <si>
    <t>STSSW</t>
  </si>
  <si>
    <t>STT</t>
  </si>
  <si>
    <t>STT^D</t>
  </si>
  <si>
    <t>STT^G</t>
  </si>
  <si>
    <t>STTK</t>
  </si>
  <si>
    <t>STVN</t>
  </si>
  <si>
    <t>STWD</t>
  </si>
  <si>
    <t>STX</t>
  </si>
  <si>
    <t>STXS</t>
  </si>
  <si>
    <t>STZ</t>
  </si>
  <si>
    <t>SU</t>
  </si>
  <si>
    <t>SUI</t>
  </si>
  <si>
    <t>SUM</t>
  </si>
  <si>
    <t>SUN</t>
  </si>
  <si>
    <t>SUNW</t>
  </si>
  <si>
    <t>SUP</t>
  </si>
  <si>
    <t>SUPN</t>
  </si>
  <si>
    <t>SUPV</t>
  </si>
  <si>
    <t>SURG</t>
  </si>
  <si>
    <t>SURGW</t>
  </si>
  <si>
    <t>SUZ</t>
  </si>
  <si>
    <t>SVC</t>
  </si>
  <si>
    <t>SVFD</t>
  </si>
  <si>
    <t>SVII</t>
  </si>
  <si>
    <t>SVIIR</t>
  </si>
  <si>
    <t>SVIIW</t>
  </si>
  <si>
    <t>SVM</t>
  </si>
  <si>
    <t>SVMH</t>
  </si>
  <si>
    <t>SVMHW</t>
  </si>
  <si>
    <t>SVRA</t>
  </si>
  <si>
    <t>SVRE</t>
  </si>
  <si>
    <t>SVT</t>
  </si>
  <si>
    <t>SVV</t>
  </si>
  <si>
    <t>SWAG</t>
  </si>
  <si>
    <t>SWAGW</t>
  </si>
  <si>
    <t>SWAV</t>
  </si>
  <si>
    <t>SWBI</t>
  </si>
  <si>
    <t>SWI</t>
  </si>
  <si>
    <t>SWIM</t>
  </si>
  <si>
    <t>SWIN</t>
  </si>
  <si>
    <t>SWK</t>
  </si>
  <si>
    <t>SWKH</t>
  </si>
  <si>
    <t>SWKHL</t>
  </si>
  <si>
    <t>SWKS</t>
  </si>
  <si>
    <t>SWN</t>
  </si>
  <si>
    <t>SWSS</t>
  </si>
  <si>
    <t>SWTX</t>
  </si>
  <si>
    <t>SWVL</t>
  </si>
  <si>
    <t>SWVLW</t>
  </si>
  <si>
    <t>SWX</t>
  </si>
  <si>
    <t>SWZ</t>
  </si>
  <si>
    <t>SXC</t>
  </si>
  <si>
    <t>SXI</t>
  </si>
  <si>
    <t>SXT</t>
  </si>
  <si>
    <t>SXTC</t>
  </si>
  <si>
    <t>SXTP</t>
  </si>
  <si>
    <t>SXTPW</t>
  </si>
  <si>
    <t>SY</t>
  </si>
  <si>
    <t>SYBT</t>
  </si>
  <si>
    <t>SYBX</t>
  </si>
  <si>
    <t>SYF</t>
  </si>
  <si>
    <t>SYF^A</t>
  </si>
  <si>
    <t>SYK</t>
  </si>
  <si>
    <t>SYM</t>
  </si>
  <si>
    <t>SYNA</t>
  </si>
  <si>
    <t>SYPR</t>
  </si>
  <si>
    <t>SYRA</t>
  </si>
  <si>
    <t>SYRE</t>
  </si>
  <si>
    <t>SYRS</t>
  </si>
  <si>
    <t>SYT</t>
  </si>
  <si>
    <t>SYTA</t>
  </si>
  <si>
    <t>SYTAW</t>
  </si>
  <si>
    <t>SYY</t>
  </si>
  <si>
    <t>SZZL</t>
  </si>
  <si>
    <t>SZZLW</t>
  </si>
  <si>
    <t>T</t>
  </si>
  <si>
    <t>T^A</t>
  </si>
  <si>
    <t>T^C</t>
  </si>
  <si>
    <t>TAC</t>
  </si>
  <si>
    <t>TACT</t>
  </si>
  <si>
    <t>TAIT</t>
  </si>
  <si>
    <t>TAK</t>
  </si>
  <si>
    <t>TAL</t>
  </si>
  <si>
    <t>TALK</t>
  </si>
  <si>
    <t>TALKW</t>
  </si>
  <si>
    <t>TALO</t>
  </si>
  <si>
    <t>TANH</t>
  </si>
  <si>
    <t>TAOP</t>
  </si>
  <si>
    <t>TAP</t>
  </si>
  <si>
    <t>TARA</t>
  </si>
  <si>
    <t>TARO</t>
  </si>
  <si>
    <t>TARS</t>
  </si>
  <si>
    <t>TASK</t>
  </si>
  <si>
    <t>TAST</t>
  </si>
  <si>
    <t>TATT</t>
  </si>
  <si>
    <t>TAYD</t>
  </si>
  <si>
    <t>TBB</t>
  </si>
  <si>
    <t>TBBK</t>
  </si>
  <si>
    <t>TBC</t>
  </si>
  <si>
    <t>TBI</t>
  </si>
  <si>
    <t>TBIO</t>
  </si>
  <si>
    <t>TBLA</t>
  </si>
  <si>
    <t>TBLAW</t>
  </si>
  <si>
    <t>TBLD</t>
  </si>
  <si>
    <t>TBLT</t>
  </si>
  <si>
    <t>TBMC</t>
  </si>
  <si>
    <t>TBMCR</t>
  </si>
  <si>
    <t>TBNK</t>
  </si>
  <si>
    <t>TBPH</t>
  </si>
  <si>
    <t>TC</t>
  </si>
  <si>
    <t>TCBC</t>
  </si>
  <si>
    <t>TCBI</t>
  </si>
  <si>
    <t>TCBIO</t>
  </si>
  <si>
    <t>TCBK</t>
  </si>
  <si>
    <t>TCBP</t>
  </si>
  <si>
    <t>TCBPW</t>
  </si>
  <si>
    <t>TCBS</t>
  </si>
  <si>
    <t>TCBX</t>
  </si>
  <si>
    <t>TCI</t>
  </si>
  <si>
    <t>TCJH</t>
  </si>
  <si>
    <t>TCMD</t>
  </si>
  <si>
    <t>TCN</t>
  </si>
  <si>
    <t>TCOA</t>
  </si>
  <si>
    <t>TCOM</t>
  </si>
  <si>
    <t>TCON</t>
  </si>
  <si>
    <t>TCPC</t>
  </si>
  <si>
    <t>TCRT</t>
  </si>
  <si>
    <t>TCRX</t>
  </si>
  <si>
    <t>TCS</t>
  </si>
  <si>
    <t>TCX</t>
  </si>
  <si>
    <t>TD</t>
  </si>
  <si>
    <t>TDC</t>
  </si>
  <si>
    <t>TDCX</t>
  </si>
  <si>
    <t>TDF</t>
  </si>
  <si>
    <t>TDG</t>
  </si>
  <si>
    <t>TDOC</t>
  </si>
  <si>
    <t>TDS</t>
  </si>
  <si>
    <t>TDS^U</t>
  </si>
  <si>
    <t>TDS^V</t>
  </si>
  <si>
    <t>TDUP</t>
  </si>
  <si>
    <t>TDW</t>
  </si>
  <si>
    <t>TDY</t>
  </si>
  <si>
    <t>TEAF</t>
  </si>
  <si>
    <t>TEAM</t>
  </si>
  <si>
    <t>TECH</t>
  </si>
  <si>
    <t>TECK</t>
  </si>
  <si>
    <t>TECTP</t>
  </si>
  <si>
    <t>TEDU</t>
  </si>
  <si>
    <t>TEF</t>
  </si>
  <si>
    <t>TEI</t>
  </si>
  <si>
    <t>TEL</t>
  </si>
  <si>
    <t>TELA</t>
  </si>
  <si>
    <t>TELL</t>
  </si>
  <si>
    <t>TELZ</t>
  </si>
  <si>
    <t>TENB</t>
  </si>
  <si>
    <t>TENK</t>
  </si>
  <si>
    <t>TENKR</t>
  </si>
  <si>
    <t>TENX</t>
  </si>
  <si>
    <t>TEO</t>
  </si>
  <si>
    <t>TER</t>
  </si>
  <si>
    <t>TERN</t>
  </si>
  <si>
    <t>TETE</t>
  </si>
  <si>
    <t>TETEW</t>
  </si>
  <si>
    <t>TEVA</t>
  </si>
  <si>
    <t>TEX</t>
  </si>
  <si>
    <t>TFC</t>
  </si>
  <si>
    <t>TFC^I</t>
  </si>
  <si>
    <t>TFC^O</t>
  </si>
  <si>
    <t>TFC^R</t>
  </si>
  <si>
    <t>TFFP</t>
  </si>
  <si>
    <t>TFII</t>
  </si>
  <si>
    <t>TFIN</t>
  </si>
  <si>
    <t>TFINP</t>
  </si>
  <si>
    <t>TFPM</t>
  </si>
  <si>
    <t>TFSA</t>
  </si>
  <si>
    <t>TFSL</t>
  </si>
  <si>
    <t>TFX</t>
  </si>
  <si>
    <t>TG</t>
  </si>
  <si>
    <t>TGAA</t>
  </si>
  <si>
    <t>TGAAW</t>
  </si>
  <si>
    <t>TGAN</t>
  </si>
  <si>
    <t>TGB</t>
  </si>
  <si>
    <t>TGH</t>
  </si>
  <si>
    <t>TGH^A</t>
  </si>
  <si>
    <t>TGH^B</t>
  </si>
  <si>
    <t>TGI</t>
  </si>
  <si>
    <t>TGL</t>
  </si>
  <si>
    <t>TGLS</t>
  </si>
  <si>
    <t>TGNA</t>
  </si>
  <si>
    <t>TGS</t>
  </si>
  <si>
    <t>TGT</t>
  </si>
  <si>
    <t>TGTX</t>
  </si>
  <si>
    <t>TGVC</t>
  </si>
  <si>
    <t>TGVCW</t>
  </si>
  <si>
    <t>TH</t>
  </si>
  <si>
    <t>THAR</t>
  </si>
  <si>
    <t>THC</t>
  </si>
  <si>
    <t>THCH</t>
  </si>
  <si>
    <t>THCP</t>
  </si>
  <si>
    <t>THCPU</t>
  </si>
  <si>
    <t>THFF</t>
  </si>
  <si>
    <t>THG</t>
  </si>
  <si>
    <t>THM</t>
  </si>
  <si>
    <t>THMO</t>
  </si>
  <si>
    <t>THO</t>
  </si>
  <si>
    <t>THQ</t>
  </si>
  <si>
    <t>THR</t>
  </si>
  <si>
    <t>THRD</t>
  </si>
  <si>
    <t>THRM</t>
  </si>
  <si>
    <t>THRX</t>
  </si>
  <si>
    <t>THRY</t>
  </si>
  <si>
    <t>THS</t>
  </si>
  <si>
    <t>THTX</t>
  </si>
  <si>
    <t>THW</t>
  </si>
  <si>
    <t>THWWW</t>
  </si>
  <si>
    <t>TIGO</t>
  </si>
  <si>
    <t>TIGR</t>
  </si>
  <si>
    <t>TIL</t>
  </si>
  <si>
    <t>TILE</t>
  </si>
  <si>
    <t>TIMB</t>
  </si>
  <si>
    <t>TIPT</t>
  </si>
  <si>
    <t>TIRX</t>
  </si>
  <si>
    <t>TISI</t>
  </si>
  <si>
    <t>TITN</t>
  </si>
  <si>
    <t>TIVC</t>
  </si>
  <si>
    <t>TIXT</t>
  </si>
  <si>
    <t>TJX</t>
  </si>
  <si>
    <t>TK</t>
  </si>
  <si>
    <t>TKC</t>
  </si>
  <si>
    <t>TKLF</t>
  </si>
  <si>
    <t>TKNO</t>
  </si>
  <si>
    <t>TKO</t>
  </si>
  <si>
    <t>TKR</t>
  </si>
  <si>
    <t>TLF</t>
  </si>
  <si>
    <t>TLGY</t>
  </si>
  <si>
    <t>TLIS</t>
  </si>
  <si>
    <t>TLK</t>
  </si>
  <si>
    <t>TLRY</t>
  </si>
  <si>
    <t>TLS</t>
  </si>
  <si>
    <t>TLSA</t>
  </si>
  <si>
    <t>TLSI</t>
  </si>
  <si>
    <t>TLSIW</t>
  </si>
  <si>
    <t>TLYS</t>
  </si>
  <si>
    <t>TM</t>
  </si>
  <si>
    <t>TMC</t>
  </si>
  <si>
    <t>TMCI</t>
  </si>
  <si>
    <t>TMCWW</t>
  </si>
  <si>
    <t>TMDX</t>
  </si>
  <si>
    <t>TME</t>
  </si>
  <si>
    <t>TMHC</t>
  </si>
  <si>
    <t>TMO</t>
  </si>
  <si>
    <t>TMP</t>
  </si>
  <si>
    <t>TMQ</t>
  </si>
  <si>
    <t>TMST</t>
  </si>
  <si>
    <t>TMTC</t>
  </si>
  <si>
    <t>TMTCR</t>
  </si>
  <si>
    <t>TMUS</t>
  </si>
  <si>
    <t>TNC</t>
  </si>
  <si>
    <t>TNDM</t>
  </si>
  <si>
    <t>TNET</t>
  </si>
  <si>
    <t>TNGX</t>
  </si>
  <si>
    <t>TNK</t>
  </si>
  <si>
    <t>TNL</t>
  </si>
  <si>
    <t>TNON</t>
  </si>
  <si>
    <t>TNP</t>
  </si>
  <si>
    <t>TNP^E</t>
  </si>
  <si>
    <t>TNP^F</t>
  </si>
  <si>
    <t>TNXP</t>
  </si>
  <si>
    <t>TNYA</t>
  </si>
  <si>
    <t>TOI</t>
  </si>
  <si>
    <t>TOL</t>
  </si>
  <si>
    <t>TOMZ</t>
  </si>
  <si>
    <t>TOON</t>
  </si>
  <si>
    <t>TOP</t>
  </si>
  <si>
    <t>TOPS</t>
  </si>
  <si>
    <t>TORO</t>
  </si>
  <si>
    <t>TOST</t>
  </si>
  <si>
    <t>TOUR</t>
  </si>
  <si>
    <t>TOVX</t>
  </si>
  <si>
    <t>TOWN</t>
  </si>
  <si>
    <t>TPB</t>
  </si>
  <si>
    <t>TPC</t>
  </si>
  <si>
    <t>TPCS</t>
  </si>
  <si>
    <t>TPET</t>
  </si>
  <si>
    <t>TPG</t>
  </si>
  <si>
    <t>TPH</t>
  </si>
  <si>
    <t>TPHS</t>
  </si>
  <si>
    <t>TPIC</t>
  </si>
  <si>
    <t>TPL</t>
  </si>
  <si>
    <t>TPR</t>
  </si>
  <si>
    <t>TPST</t>
  </si>
  <si>
    <t>TPTA</t>
  </si>
  <si>
    <t>TPVG</t>
  </si>
  <si>
    <t>TPX</t>
  </si>
  <si>
    <t>TPZ</t>
  </si>
  <si>
    <t>TR</t>
  </si>
  <si>
    <t>TRAK</t>
  </si>
  <si>
    <t>TRC</t>
  </si>
  <si>
    <t>TRDA</t>
  </si>
  <si>
    <t>TREE</t>
  </si>
  <si>
    <t>TREX</t>
  </si>
  <si>
    <t>TRGP</t>
  </si>
  <si>
    <t>TRI</t>
  </si>
  <si>
    <t>TRIB</t>
  </si>
  <si>
    <t>TRIN</t>
  </si>
  <si>
    <t>TRINL</t>
  </si>
  <si>
    <t>TRIP</t>
  </si>
  <si>
    <t>TRIS</t>
  </si>
  <si>
    <t>TRMB</t>
  </si>
  <si>
    <t>TRMD</t>
  </si>
  <si>
    <t>TRMK</t>
  </si>
  <si>
    <t>TRML</t>
  </si>
  <si>
    <t>TRMR</t>
  </si>
  <si>
    <t>TRN</t>
  </si>
  <si>
    <t>TRNO</t>
  </si>
  <si>
    <t>TRNR</t>
  </si>
  <si>
    <t>TRNS</t>
  </si>
  <si>
    <t>TRON</t>
  </si>
  <si>
    <t>TRONW</t>
  </si>
  <si>
    <t>TROO</t>
  </si>
  <si>
    <t>TROW</t>
  </si>
  <si>
    <t>TROX</t>
  </si>
  <si>
    <t>TRP</t>
  </si>
  <si>
    <t>TRS</t>
  </si>
  <si>
    <t>TRST</t>
  </si>
  <si>
    <t>TRT</t>
  </si>
  <si>
    <t>TRTL</t>
  </si>
  <si>
    <t>TRTN^A</t>
  </si>
  <si>
    <t>TRTN^B</t>
  </si>
  <si>
    <t>TRTN^C</t>
  </si>
  <si>
    <t>TRTN^D</t>
  </si>
  <si>
    <t>TRTN^E</t>
  </si>
  <si>
    <t>TRTX</t>
  </si>
  <si>
    <t>TRTX^C</t>
  </si>
  <si>
    <t>TRU</t>
  </si>
  <si>
    <t>TRUP</t>
  </si>
  <si>
    <t>TRV</t>
  </si>
  <si>
    <t>TRVG</t>
  </si>
  <si>
    <t>TRVI</t>
  </si>
  <si>
    <t>TRVN</t>
  </si>
  <si>
    <t>TRX</t>
  </si>
  <si>
    <t>TS</t>
  </si>
  <si>
    <t>TSAT</t>
  </si>
  <si>
    <t>TSBK</t>
  </si>
  <si>
    <t>TSBX</t>
  </si>
  <si>
    <t>TSCO</t>
  </si>
  <si>
    <t>TSE</t>
  </si>
  <si>
    <t>TSEM</t>
  </si>
  <si>
    <t>TSHA</t>
  </si>
  <si>
    <t>TSI</t>
  </si>
  <si>
    <t>TSLA</t>
  </si>
  <si>
    <t>TSLX</t>
  </si>
  <si>
    <t>TSM</t>
  </si>
  <si>
    <t>TSN</t>
  </si>
  <si>
    <t>TSP</t>
  </si>
  <si>
    <t>TSQ</t>
  </si>
  <si>
    <t>TSRI</t>
  </si>
  <si>
    <t>TSVT</t>
  </si>
  <si>
    <t>TT</t>
  </si>
  <si>
    <t>TTC</t>
  </si>
  <si>
    <t>TTD</t>
  </si>
  <si>
    <t>TTE</t>
  </si>
  <si>
    <t>TTEC</t>
  </si>
  <si>
    <t>TTEK</t>
  </si>
  <si>
    <t>TTGT</t>
  </si>
  <si>
    <t>TTI</t>
  </si>
  <si>
    <t>TTMI</t>
  </si>
  <si>
    <t>TTNP</t>
  </si>
  <si>
    <t>TTOO</t>
  </si>
  <si>
    <t>TTP</t>
  </si>
  <si>
    <t>TTSH</t>
  </si>
  <si>
    <t>TTWO</t>
  </si>
  <si>
    <t>TU</t>
  </si>
  <si>
    <t>TUP</t>
  </si>
  <si>
    <t>TURB</t>
  </si>
  <si>
    <t>TURN</t>
  </si>
  <si>
    <t>TUSK</t>
  </si>
  <si>
    <t>TUYA</t>
  </si>
  <si>
    <t>TV</t>
  </si>
  <si>
    <t>TVC</t>
  </si>
  <si>
    <t>TVE</t>
  </si>
  <si>
    <t>TVTX</t>
  </si>
  <si>
    <t>TW</t>
  </si>
  <si>
    <t>TWI</t>
  </si>
  <si>
    <t>TWIN</t>
  </si>
  <si>
    <t>TWKS</t>
  </si>
  <si>
    <t>TWLO</t>
  </si>
  <si>
    <t>TWLV</t>
  </si>
  <si>
    <t>TWLVW</t>
  </si>
  <si>
    <t>TWN</t>
  </si>
  <si>
    <t>TWO</t>
  </si>
  <si>
    <t>TWO^A</t>
  </si>
  <si>
    <t>TWO^B</t>
  </si>
  <si>
    <t>TWO^C</t>
  </si>
  <si>
    <t>TWOA</t>
  </si>
  <si>
    <t>TWOU</t>
  </si>
  <si>
    <t>TWST</t>
  </si>
  <si>
    <t>TX</t>
  </si>
  <si>
    <t>TXG</t>
  </si>
  <si>
    <t>TXMD</t>
  </si>
  <si>
    <t>TXN</t>
  </si>
  <si>
    <t>TXO</t>
  </si>
  <si>
    <t>TXRH</t>
  </si>
  <si>
    <t>TXT</t>
  </si>
  <si>
    <t>TY</t>
  </si>
  <si>
    <t>TY^</t>
  </si>
  <si>
    <t>TYG</t>
  </si>
  <si>
    <t>TYGO</t>
  </si>
  <si>
    <t>TYL</t>
  </si>
  <si>
    <t>TYRA</t>
  </si>
  <si>
    <t>TZOO</t>
  </si>
  <si>
    <t>U</t>
  </si>
  <si>
    <t>UA</t>
  </si>
  <si>
    <t>UAA</t>
  </si>
  <si>
    <t>UAL</t>
  </si>
  <si>
    <t>UAMY</t>
  </si>
  <si>
    <t>UAN</t>
  </si>
  <si>
    <t>UAVS</t>
  </si>
  <si>
    <t>UBCP</t>
  </si>
  <si>
    <t>UBER</t>
  </si>
  <si>
    <t>UBFO</t>
  </si>
  <si>
    <t>UBS</t>
  </si>
  <si>
    <t>UBSI</t>
  </si>
  <si>
    <t>UBX</t>
  </si>
  <si>
    <t>UCAR</t>
  </si>
  <si>
    <t>UCBI</t>
  </si>
  <si>
    <t>UCBIO</t>
  </si>
  <si>
    <t>UCL</t>
  </si>
  <si>
    <t>UCTT</t>
  </si>
  <si>
    <t>UDMY</t>
  </si>
  <si>
    <t>UDR</t>
  </si>
  <si>
    <t>UE</t>
  </si>
  <si>
    <t>UEC</t>
  </si>
  <si>
    <t>UEIC</t>
  </si>
  <si>
    <t>UFCS</t>
  </si>
  <si>
    <t>UFI</t>
  </si>
  <si>
    <t>UFPI</t>
  </si>
  <si>
    <t>UFPT</t>
  </si>
  <si>
    <t>UG</t>
  </si>
  <si>
    <t>UGI</t>
  </si>
  <si>
    <t>UGIC</t>
  </si>
  <si>
    <t>UGP</t>
  </si>
  <si>
    <t>UGRO</t>
  </si>
  <si>
    <t>UHAL</t>
  </si>
  <si>
    <t>UHG</t>
  </si>
  <si>
    <t>UHGWW</t>
  </si>
  <si>
    <t>UHS</t>
  </si>
  <si>
    <t>UHT</t>
  </si>
  <si>
    <t>UI</t>
  </si>
  <si>
    <t>UIS</t>
  </si>
  <si>
    <t>UK</t>
  </si>
  <si>
    <t>UKOMW</t>
  </si>
  <si>
    <t>UL</t>
  </si>
  <si>
    <t>ULBI</t>
  </si>
  <si>
    <t>ULCC</t>
  </si>
  <si>
    <t>ULH</t>
  </si>
  <si>
    <t>ULTA</t>
  </si>
  <si>
    <t>ULY</t>
  </si>
  <si>
    <t>UMBF</t>
  </si>
  <si>
    <t>UMC</t>
  </si>
  <si>
    <t>UMH</t>
  </si>
  <si>
    <t>UMH^D</t>
  </si>
  <si>
    <t>UNB</t>
  </si>
  <si>
    <t>UNCY</t>
  </si>
  <si>
    <t>UNF</t>
  </si>
  <si>
    <t>UNFI</t>
  </si>
  <si>
    <t>UNH</t>
  </si>
  <si>
    <t>UNIT</t>
  </si>
  <si>
    <t>UNM</t>
  </si>
  <si>
    <t>UNMA</t>
  </si>
  <si>
    <t>UNP</t>
  </si>
  <si>
    <t>UNTY</t>
  </si>
  <si>
    <t>UONE</t>
  </si>
  <si>
    <t>UONEK</t>
  </si>
  <si>
    <t>UP</t>
  </si>
  <si>
    <t>UPBD</t>
  </si>
  <si>
    <t>UPC</t>
  </si>
  <si>
    <t>UPLD</t>
  </si>
  <si>
    <t>UPS</t>
  </si>
  <si>
    <t>UPST</t>
  </si>
  <si>
    <t>UPWK</t>
  </si>
  <si>
    <t>UPXI</t>
  </si>
  <si>
    <t>URBN</t>
  </si>
  <si>
    <t>URG</t>
  </si>
  <si>
    <t>URGN</t>
  </si>
  <si>
    <t>URI</t>
  </si>
  <si>
    <t>UROY</t>
  </si>
  <si>
    <t>USA</t>
  </si>
  <si>
    <t>USAC</t>
  </si>
  <si>
    <t>USAP</t>
  </si>
  <si>
    <t>USAS</t>
  </si>
  <si>
    <t>USAU</t>
  </si>
  <si>
    <t>USB</t>
  </si>
  <si>
    <t>USB^A</t>
  </si>
  <si>
    <t>USB^H</t>
  </si>
  <si>
    <t>USB^P</t>
  </si>
  <si>
    <t>USB^Q</t>
  </si>
  <si>
    <t>USB^R</t>
  </si>
  <si>
    <t>USB^S</t>
  </si>
  <si>
    <t>USCB</t>
  </si>
  <si>
    <t>USCT</t>
  </si>
  <si>
    <t>USEA</t>
  </si>
  <si>
    <t>USEG</t>
  </si>
  <si>
    <t>USFD</t>
  </si>
  <si>
    <t>USGO</t>
  </si>
  <si>
    <t>USGOW</t>
  </si>
  <si>
    <t>USIO</t>
  </si>
  <si>
    <t>USLM</t>
  </si>
  <si>
    <t>USM</t>
  </si>
  <si>
    <t>USNA</t>
  </si>
  <si>
    <t>USPH</t>
  </si>
  <si>
    <t>UTF</t>
  </si>
  <si>
    <t>UTG</t>
  </si>
  <si>
    <t>UTHR</t>
  </si>
  <si>
    <t>UTI</t>
  </si>
  <si>
    <t>UTL</t>
  </si>
  <si>
    <t>UTMD</t>
  </si>
  <si>
    <t>UTSI</t>
  </si>
  <si>
    <t>UTZ</t>
  </si>
  <si>
    <t>UUU</t>
  </si>
  <si>
    <t>UUUU</t>
  </si>
  <si>
    <t>UVE</t>
  </si>
  <si>
    <t>UVSP</t>
  </si>
  <si>
    <t>UVV</t>
  </si>
  <si>
    <t>UWMC</t>
  </si>
  <si>
    <t>UXIN</t>
  </si>
  <si>
    <t>UZD</t>
  </si>
  <si>
    <t>UZE</t>
  </si>
  <si>
    <t>UZF</t>
  </si>
  <si>
    <t>V</t>
  </si>
  <si>
    <t>VABK</t>
  </si>
  <si>
    <t>VAC</t>
  </si>
  <si>
    <t>VAL</t>
  </si>
  <si>
    <t>VALE</t>
  </si>
  <si>
    <t>VALN</t>
  </si>
  <si>
    <t>VALU</t>
  </si>
  <si>
    <t>VANI</t>
  </si>
  <si>
    <t>VAQC</t>
  </si>
  <si>
    <t>VATE</t>
  </si>
  <si>
    <t>VAXX</t>
  </si>
  <si>
    <t>VBF</t>
  </si>
  <si>
    <t>VBFC</t>
  </si>
  <si>
    <t>VBIV</t>
  </si>
  <si>
    <t>VBNK</t>
  </si>
  <si>
    <t>VBTX</t>
  </si>
  <si>
    <t>VC</t>
  </si>
  <si>
    <t>VCEL</t>
  </si>
  <si>
    <t>VCIG</t>
  </si>
  <si>
    <t>VCNX</t>
  </si>
  <si>
    <t>VCSA</t>
  </si>
  <si>
    <t>VCTR</t>
  </si>
  <si>
    <t>VCV</t>
  </si>
  <si>
    <t>VCXB</t>
  </si>
  <si>
    <t>VCYT</t>
  </si>
  <si>
    <t>VECO</t>
  </si>
  <si>
    <t>VEEE</t>
  </si>
  <si>
    <t>VEEV</t>
  </si>
  <si>
    <t>VEL</t>
  </si>
  <si>
    <t>VEON</t>
  </si>
  <si>
    <t>VERA</t>
  </si>
  <si>
    <t>VERB</t>
  </si>
  <si>
    <t>VERBW</t>
  </si>
  <si>
    <t>VERI</t>
  </si>
  <si>
    <t>VERO</t>
  </si>
  <si>
    <t>VERU</t>
  </si>
  <si>
    <t>VERV</t>
  </si>
  <si>
    <t>VERX</t>
  </si>
  <si>
    <t>VERY</t>
  </si>
  <si>
    <t>VET</t>
  </si>
  <si>
    <t>VEV</t>
  </si>
  <si>
    <t>VFC</t>
  </si>
  <si>
    <t>VFF</t>
  </si>
  <si>
    <t>VFL</t>
  </si>
  <si>
    <t>VFS</t>
  </si>
  <si>
    <t>VFSWW</t>
  </si>
  <si>
    <t>VGAS</t>
  </si>
  <si>
    <t>VGASW</t>
  </si>
  <si>
    <t>VGI</t>
  </si>
  <si>
    <t>VGM</t>
  </si>
  <si>
    <t>VGR</t>
  </si>
  <si>
    <t>VGZ</t>
  </si>
  <si>
    <t>VHAQ</t>
  </si>
  <si>
    <t>VHC</t>
  </si>
  <si>
    <t>VHI</t>
  </si>
  <si>
    <t>VIA</t>
  </si>
  <si>
    <t>VIAO</t>
  </si>
  <si>
    <t>VIASP</t>
  </si>
  <si>
    <t>VIAV</t>
  </si>
  <si>
    <t>VICI</t>
  </si>
  <si>
    <t>VICR</t>
  </si>
  <si>
    <t>VIEW</t>
  </si>
  <si>
    <t>VIEWW</t>
  </si>
  <si>
    <t>VIGL</t>
  </si>
  <si>
    <t>VINC</t>
  </si>
  <si>
    <t>VINE</t>
  </si>
  <si>
    <t>VINO</t>
  </si>
  <si>
    <t>VINP</t>
  </si>
  <si>
    <t>VIOT</t>
  </si>
  <si>
    <t>VIPS</t>
  </si>
  <si>
    <t>VIR</t>
  </si>
  <si>
    <t>VIRC</t>
  </si>
  <si>
    <t>VIRI</t>
  </si>
  <si>
    <t>VIRT</t>
  </si>
  <si>
    <t>VIRX</t>
  </si>
  <si>
    <t>VISL</t>
  </si>
  <si>
    <t>VIST</t>
  </si>
  <si>
    <t>VITL</t>
  </si>
  <si>
    <t>VIV</t>
  </si>
  <si>
    <t>VIVK</t>
  </si>
  <si>
    <t>VJET</t>
  </si>
  <si>
    <t>VKI</t>
  </si>
  <si>
    <t>VKQ</t>
  </si>
  <si>
    <t>VKTX</t>
  </si>
  <si>
    <t>VLCN</t>
  </si>
  <si>
    <t>VLD</t>
  </si>
  <si>
    <t>VLGEA</t>
  </si>
  <si>
    <t>VLN</t>
  </si>
  <si>
    <t>VLO</t>
  </si>
  <si>
    <t>VLRS</t>
  </si>
  <si>
    <t>VLT</t>
  </si>
  <si>
    <t>VLTO</t>
  </si>
  <si>
    <t>VLY</t>
  </si>
  <si>
    <t>VLYPO</t>
  </si>
  <si>
    <t>VLYPP</t>
  </si>
  <si>
    <t>VMAR</t>
  </si>
  <si>
    <t>VMC</t>
  </si>
  <si>
    <t>VMCA</t>
  </si>
  <si>
    <t>VMD</t>
  </si>
  <si>
    <t>VMEO</t>
  </si>
  <si>
    <t>VMI</t>
  </si>
  <si>
    <t>VMO</t>
  </si>
  <si>
    <t>VNCE</t>
  </si>
  <si>
    <t>VNDA</t>
  </si>
  <si>
    <t>VNET</t>
  </si>
  <si>
    <t>VNO</t>
  </si>
  <si>
    <t>VNO^L</t>
  </si>
  <si>
    <t>VNO^M</t>
  </si>
  <si>
    <t>VNO^N</t>
  </si>
  <si>
    <t>VNO^O</t>
  </si>
  <si>
    <t>VNOM</t>
  </si>
  <si>
    <t>VNRX</t>
  </si>
  <si>
    <t>VNT</t>
  </si>
  <si>
    <t>VOC</t>
  </si>
  <si>
    <t>VOD</t>
  </si>
  <si>
    <t>VOR</t>
  </si>
  <si>
    <t>VOXR</t>
  </si>
  <si>
    <t>VOXX</t>
  </si>
  <si>
    <t>VOYA</t>
  </si>
  <si>
    <t>VOYA^B</t>
  </si>
  <si>
    <t>VPG</t>
  </si>
  <si>
    <t>VPV</t>
  </si>
  <si>
    <t>VRA</t>
  </si>
  <si>
    <t>VRAR</t>
  </si>
  <si>
    <t>VRAX</t>
  </si>
  <si>
    <t>VRCA</t>
  </si>
  <si>
    <t>VRDN</t>
  </si>
  <si>
    <t>VRE</t>
  </si>
  <si>
    <t>VREX</t>
  </si>
  <si>
    <t>VRM</t>
  </si>
  <si>
    <t>VRME</t>
  </si>
  <si>
    <t>VRMEW</t>
  </si>
  <si>
    <t>VRNA</t>
  </si>
  <si>
    <t>VRNS</t>
  </si>
  <si>
    <t>VRNT</t>
  </si>
  <si>
    <t>VRPX</t>
  </si>
  <si>
    <t>VRRM</t>
  </si>
  <si>
    <t>VRSK</t>
  </si>
  <si>
    <t>VRSN</t>
  </si>
  <si>
    <t>VRT</t>
  </si>
  <si>
    <t>VRTS</t>
  </si>
  <si>
    <t>VRTX</t>
  </si>
  <si>
    <t>VS</t>
  </si>
  <si>
    <t>VSAC</t>
  </si>
  <si>
    <t>VSACW</t>
  </si>
  <si>
    <t>VSAT</t>
  </si>
  <si>
    <t>VSCO</t>
  </si>
  <si>
    <t>VSEC</t>
  </si>
  <si>
    <t>VSH</t>
  </si>
  <si>
    <t>VSME</t>
  </si>
  <si>
    <t>VSSYW</t>
  </si>
  <si>
    <t>VST</t>
  </si>
  <si>
    <t>VSTA</t>
  </si>
  <si>
    <t>VSTE</t>
  </si>
  <si>
    <t>VSTEW</t>
  </si>
  <si>
    <t>VSTM</t>
  </si>
  <si>
    <t>VSTO</t>
  </si>
  <si>
    <t>VSTS</t>
  </si>
  <si>
    <t>VTAK</t>
  </si>
  <si>
    <t>VTEX</t>
  </si>
  <si>
    <t>VTGN</t>
  </si>
  <si>
    <t>VTLE</t>
  </si>
  <si>
    <t>VTMX</t>
  </si>
  <si>
    <t>VTN</t>
  </si>
  <si>
    <t>VTNR</t>
  </si>
  <si>
    <t>VTOL</t>
  </si>
  <si>
    <t>VTR</t>
  </si>
  <si>
    <t>VTRS</t>
  </si>
  <si>
    <t>VTRU</t>
  </si>
  <si>
    <t>VTS</t>
  </si>
  <si>
    <t>VTSI</t>
  </si>
  <si>
    <t>VTVT</t>
  </si>
  <si>
    <t>VTYX</t>
  </si>
  <si>
    <t>VUZI</t>
  </si>
  <si>
    <t>VVI</t>
  </si>
  <si>
    <t>VVOS</t>
  </si>
  <si>
    <t>VVPR</t>
  </si>
  <si>
    <t>VVR</t>
  </si>
  <si>
    <t>VVV</t>
  </si>
  <si>
    <t>VVX</t>
  </si>
  <si>
    <t>VWE</t>
  </si>
  <si>
    <t>VWEWW</t>
  </si>
  <si>
    <t>VXRT</t>
  </si>
  <si>
    <t>VYGR</t>
  </si>
  <si>
    <t>VYNE</t>
  </si>
  <si>
    <t>VYX</t>
  </si>
  <si>
    <t>VZ</t>
  </si>
  <si>
    <t>VZIO</t>
  </si>
  <si>
    <t>VZLA</t>
  </si>
  <si>
    <t>W</t>
  </si>
  <si>
    <t>WAB</t>
  </si>
  <si>
    <t>WABC</t>
  </si>
  <si>
    <t>WAFD</t>
  </si>
  <si>
    <t>WAFDP</t>
  </si>
  <si>
    <t>WAFU</t>
  </si>
  <si>
    <t>WAL</t>
  </si>
  <si>
    <t>WAL^A</t>
  </si>
  <si>
    <t>WALD</t>
  </si>
  <si>
    <t>WASH</t>
  </si>
  <si>
    <t>WAT</t>
  </si>
  <si>
    <t>WATT</t>
  </si>
  <si>
    <t>WAVD</t>
  </si>
  <si>
    <t>WAVE</t>
  </si>
  <si>
    <t>WAVS</t>
  </si>
  <si>
    <t>WAVSU</t>
  </si>
  <si>
    <t>WAVSW</t>
  </si>
  <si>
    <t>WB</t>
  </si>
  <si>
    <t>WBA</t>
  </si>
  <si>
    <t>WBD</t>
  </si>
  <si>
    <t>WBS</t>
  </si>
  <si>
    <t>WBS^F</t>
  </si>
  <si>
    <t>WBS^G</t>
  </si>
  <si>
    <t>WBUY</t>
  </si>
  <si>
    <t>WBX</t>
  </si>
  <si>
    <t>WCC</t>
  </si>
  <si>
    <t>WCC^A</t>
  </si>
  <si>
    <t>WCN</t>
  </si>
  <si>
    <t>WD</t>
  </si>
  <si>
    <t>WDAY</t>
  </si>
  <si>
    <t>WDC</t>
  </si>
  <si>
    <t>WDFC</t>
  </si>
  <si>
    <t>WDH</t>
  </si>
  <si>
    <t>WDI</t>
  </si>
  <si>
    <t>WDS</t>
  </si>
  <si>
    <t>WEA</t>
  </si>
  <si>
    <t>WEAV</t>
  </si>
  <si>
    <t>WEC</t>
  </si>
  <si>
    <t>WEL</t>
  </si>
  <si>
    <t>WELL</t>
  </si>
  <si>
    <t>WEN</t>
  </si>
  <si>
    <t>WERN</t>
  </si>
  <si>
    <t>WES</t>
  </si>
  <si>
    <t>WEST</t>
  </si>
  <si>
    <t>WESTW</t>
  </si>
  <si>
    <t>WETG</t>
  </si>
  <si>
    <t>WEX</t>
  </si>
  <si>
    <t>WEYS</t>
  </si>
  <si>
    <t>WF</t>
  </si>
  <si>
    <t>WFC</t>
  </si>
  <si>
    <t>WFC^A</t>
  </si>
  <si>
    <t>WFC^C</t>
  </si>
  <si>
    <t>WFC^D</t>
  </si>
  <si>
    <t>WFC^L</t>
  </si>
  <si>
    <t>WFC^R</t>
  </si>
  <si>
    <t>WFC^Y</t>
  </si>
  <si>
    <t>WFC^Z</t>
  </si>
  <si>
    <t>WFCF</t>
  </si>
  <si>
    <t>WFG</t>
  </si>
  <si>
    <t>WFRD</t>
  </si>
  <si>
    <t>WGO</t>
  </si>
  <si>
    <t>WGS</t>
  </si>
  <si>
    <t>WGSWW</t>
  </si>
  <si>
    <t>WH</t>
  </si>
  <si>
    <t>WHD</t>
  </si>
  <si>
    <t>WHF</t>
  </si>
  <si>
    <t>WHFCL</t>
  </si>
  <si>
    <t>WHG</t>
  </si>
  <si>
    <t>WHLM</t>
  </si>
  <si>
    <t>WHLR</t>
  </si>
  <si>
    <t>WHLRD</t>
  </si>
  <si>
    <t>WHLRP</t>
  </si>
  <si>
    <t>WHR</t>
  </si>
  <si>
    <t>WIA</t>
  </si>
  <si>
    <t>WILC</t>
  </si>
  <si>
    <t>WIMI</t>
  </si>
  <si>
    <t>WINA</t>
  </si>
  <si>
    <t>WING</t>
  </si>
  <si>
    <t>WINT</t>
  </si>
  <si>
    <t>WINV</t>
  </si>
  <si>
    <t>WINVR</t>
  </si>
  <si>
    <t>WINVU</t>
  </si>
  <si>
    <t>WINVW</t>
  </si>
  <si>
    <t>WIRE</t>
  </si>
  <si>
    <t>WISA</t>
  </si>
  <si>
    <t>WISH</t>
  </si>
  <si>
    <t>WIT</t>
  </si>
  <si>
    <t>WIW</t>
  </si>
  <si>
    <t>WIX</t>
  </si>
  <si>
    <t>WK</t>
  </si>
  <si>
    <t>WKC</t>
  </si>
  <si>
    <t>WKEY</t>
  </si>
  <si>
    <t>WKHS</t>
  </si>
  <si>
    <t>WKME</t>
  </si>
  <si>
    <t>WKSP</t>
  </si>
  <si>
    <t>WKSPW</t>
  </si>
  <si>
    <t>WLDN</t>
  </si>
  <si>
    <t>WLDS</t>
  </si>
  <si>
    <t>WLDSW</t>
  </si>
  <si>
    <t>WLFC</t>
  </si>
  <si>
    <t>WLGS</t>
  </si>
  <si>
    <t>WLK</t>
  </si>
  <si>
    <t>WLKP</t>
  </si>
  <si>
    <t>WLY</t>
  </si>
  <si>
    <t>WLYB</t>
  </si>
  <si>
    <t>WM</t>
  </si>
  <si>
    <t>WMB</t>
  </si>
  <si>
    <t>WMG</t>
  </si>
  <si>
    <t>WMK</t>
  </si>
  <si>
    <t>WMPN</t>
  </si>
  <si>
    <t>WMS</t>
  </si>
  <si>
    <t>WMT</t>
  </si>
  <si>
    <t>WNC</t>
  </si>
  <si>
    <t>WNEB</t>
  </si>
  <si>
    <t>WNNR</t>
  </si>
  <si>
    <t>WNS</t>
  </si>
  <si>
    <t>WNW</t>
  </si>
  <si>
    <t>WOLF</t>
  </si>
  <si>
    <t>WOOF</t>
  </si>
  <si>
    <t>WOR</t>
  </si>
  <si>
    <t>WORX</t>
  </si>
  <si>
    <t>WOW</t>
  </si>
  <si>
    <t>WPC</t>
  </si>
  <si>
    <t>WPM</t>
  </si>
  <si>
    <t>WPP</t>
  </si>
  <si>
    <t>WPRT</t>
  </si>
  <si>
    <t>WRAC</t>
  </si>
  <si>
    <t>WRAP</t>
  </si>
  <si>
    <t>WRB</t>
  </si>
  <si>
    <t>WRB^E</t>
  </si>
  <si>
    <t>WRB^F</t>
  </si>
  <si>
    <t>WRB^G</t>
  </si>
  <si>
    <t>WRB^H</t>
  </si>
  <si>
    <t>WRBY</t>
  </si>
  <si>
    <t>WRK</t>
  </si>
  <si>
    <t>WRLD</t>
  </si>
  <si>
    <t>WRN</t>
  </si>
  <si>
    <t>WRNT</t>
  </si>
  <si>
    <t>WS</t>
  </si>
  <si>
    <t>WSBC</t>
  </si>
  <si>
    <t>WSBCP</t>
  </si>
  <si>
    <t>WSBF</t>
  </si>
  <si>
    <t>WSC</t>
  </si>
  <si>
    <t>WSFS</t>
  </si>
  <si>
    <t>WSM</t>
  </si>
  <si>
    <t>WSO</t>
  </si>
  <si>
    <t>WSO/B</t>
  </si>
  <si>
    <t>WSR</t>
  </si>
  <si>
    <t>WST</t>
  </si>
  <si>
    <t>WT</t>
  </si>
  <si>
    <t>WTBA</t>
  </si>
  <si>
    <t>WTER</t>
  </si>
  <si>
    <t>WTFC</t>
  </si>
  <si>
    <t>WTFCM</t>
  </si>
  <si>
    <t>WTFCP</t>
  </si>
  <si>
    <t>WTI</t>
  </si>
  <si>
    <t>WTM</t>
  </si>
  <si>
    <t>WTMA</t>
  </si>
  <si>
    <t>WTMAR</t>
  </si>
  <si>
    <t>WTO</t>
  </si>
  <si>
    <t>WTRG</t>
  </si>
  <si>
    <t>WTS</t>
  </si>
  <si>
    <t>WTTR</t>
  </si>
  <si>
    <t>WTW</t>
  </si>
  <si>
    <t>WU</t>
  </si>
  <si>
    <t>WULF</t>
  </si>
  <si>
    <t>WVE</t>
  </si>
  <si>
    <t>WVVI</t>
  </si>
  <si>
    <t>WVVIP</t>
  </si>
  <si>
    <t>WW</t>
  </si>
  <si>
    <t>WWD</t>
  </si>
  <si>
    <t>WWR</t>
  </si>
  <si>
    <t>WWW</t>
  </si>
  <si>
    <t>WY</t>
  </si>
  <si>
    <t>WYNN</t>
  </si>
  <si>
    <t>WYY</t>
  </si>
  <si>
    <t>X</t>
  </si>
  <si>
    <t>XAIR</t>
  </si>
  <si>
    <t>XBIO</t>
  </si>
  <si>
    <t>XBIOW</t>
  </si>
  <si>
    <t>XBIT</t>
  </si>
  <si>
    <t>XBP</t>
  </si>
  <si>
    <t>XBPEW</t>
  </si>
  <si>
    <t>XCUR</t>
  </si>
  <si>
    <t>XEL</t>
  </si>
  <si>
    <t>XELA</t>
  </si>
  <si>
    <t>XELAP</t>
  </si>
  <si>
    <t>XELB</t>
  </si>
  <si>
    <t>XENE</t>
  </si>
  <si>
    <t>XERS</t>
  </si>
  <si>
    <t>XFIN</t>
  </si>
  <si>
    <t>XFLT</t>
  </si>
  <si>
    <t>XFLT^A</t>
  </si>
  <si>
    <t>XFOR</t>
  </si>
  <si>
    <t>XGN</t>
  </si>
  <si>
    <t>XHR</t>
  </si>
  <si>
    <t>XIN</t>
  </si>
  <si>
    <t>XLO</t>
  </si>
  <si>
    <t>XMTR</t>
  </si>
  <si>
    <t>XNCR</t>
  </si>
  <si>
    <t>XNET</t>
  </si>
  <si>
    <t>XOMA</t>
  </si>
  <si>
    <t>XOMAO</t>
  </si>
  <si>
    <t>XOMAP</t>
  </si>
  <si>
    <t>XOS</t>
  </si>
  <si>
    <t>XOSWW</t>
  </si>
  <si>
    <t>XP</t>
  </si>
  <si>
    <t>XPDB</t>
  </si>
  <si>
    <t>XPDBW</t>
  </si>
  <si>
    <t>XPEL</t>
  </si>
  <si>
    <t>XPER</t>
  </si>
  <si>
    <t>XPEV</t>
  </si>
  <si>
    <t>XPL</t>
  </si>
  <si>
    <t>XPO</t>
  </si>
  <si>
    <t>XPOF</t>
  </si>
  <si>
    <t>XPON</t>
  </si>
  <si>
    <t>XPRO</t>
  </si>
  <si>
    <t>XRAY</t>
  </si>
  <si>
    <t>XRTX</t>
  </si>
  <si>
    <t>XRX</t>
  </si>
  <si>
    <t>XTLB</t>
  </si>
  <si>
    <t>XTNT</t>
  </si>
  <si>
    <t>XWEL</t>
  </si>
  <si>
    <t>XXII</t>
  </si>
  <si>
    <t>XYF</t>
  </si>
  <si>
    <t>XYL</t>
  </si>
  <si>
    <t>YALA</t>
  </si>
  <si>
    <t>YCBD</t>
  </si>
  <si>
    <t>YCBD^A</t>
  </si>
  <si>
    <t>YELP</t>
  </si>
  <si>
    <t>YETI</t>
  </si>
  <si>
    <t>YEXT</t>
  </si>
  <si>
    <t>YGF</t>
  </si>
  <si>
    <t>YGMZ</t>
  </si>
  <si>
    <t>YHGJ</t>
  </si>
  <si>
    <t>YI</t>
  </si>
  <si>
    <t>YJ</t>
  </si>
  <si>
    <t>YMAB</t>
  </si>
  <si>
    <t>YMM</t>
  </si>
  <si>
    <t>YORW</t>
  </si>
  <si>
    <t>YOSH</t>
  </si>
  <si>
    <t>YOTA</t>
  </si>
  <si>
    <t>YOTAR</t>
  </si>
  <si>
    <t>YOTAU</t>
  </si>
  <si>
    <t>YOTAW</t>
  </si>
  <si>
    <t>YOU</t>
  </si>
  <si>
    <t>YPF</t>
  </si>
  <si>
    <t>YQ</t>
  </si>
  <si>
    <t>YRD</t>
  </si>
  <si>
    <t>YS</t>
  </si>
  <si>
    <t>YSBPW</t>
  </si>
  <si>
    <t>YSG</t>
  </si>
  <si>
    <t>YTEN</t>
  </si>
  <si>
    <t>YTRA</t>
  </si>
  <si>
    <t>YUM</t>
  </si>
  <si>
    <t>YUMC</t>
  </si>
  <si>
    <t>YY</t>
  </si>
  <si>
    <t>Z</t>
  </si>
  <si>
    <t>ZAPP</t>
  </si>
  <si>
    <t>ZAPPW</t>
  </si>
  <si>
    <t>ZBH</t>
  </si>
  <si>
    <t>ZBRA</t>
  </si>
  <si>
    <t>ZCAR</t>
  </si>
  <si>
    <t>ZCARW</t>
  </si>
  <si>
    <t>ZCMD</t>
  </si>
  <si>
    <t>ZD</t>
  </si>
  <si>
    <t>ZDGE</t>
  </si>
  <si>
    <t>ZENV</t>
  </si>
  <si>
    <t>ZEPP</t>
  </si>
  <si>
    <t>ZETA</t>
  </si>
  <si>
    <t>ZEUS</t>
  </si>
  <si>
    <t>ZFOX</t>
  </si>
  <si>
    <t>ZFOXW</t>
  </si>
  <si>
    <t>ZG</t>
  </si>
  <si>
    <t>ZGN</t>
  </si>
  <si>
    <t>ZH</t>
  </si>
  <si>
    <t>ZI</t>
  </si>
  <si>
    <t>ZIM</t>
  </si>
  <si>
    <t>ZIMV</t>
  </si>
  <si>
    <t>ZION</t>
  </si>
  <si>
    <t>ZIONL</t>
  </si>
  <si>
    <t>ZIONO</t>
  </si>
  <si>
    <t>ZIONP</t>
  </si>
  <si>
    <t>ZIP</t>
  </si>
  <si>
    <t>ZJYL</t>
  </si>
  <si>
    <t>ZKH</t>
  </si>
  <si>
    <t>ZKIN</t>
  </si>
  <si>
    <t>ZLAB</t>
  </si>
  <si>
    <t>ZLS</t>
  </si>
  <si>
    <t>ZM</t>
  </si>
  <si>
    <t>ZNTL</t>
  </si>
  <si>
    <t>ZOM</t>
  </si>
  <si>
    <t>ZS</t>
  </si>
  <si>
    <t>ZTEK</t>
  </si>
  <si>
    <t>ZTO</t>
  </si>
  <si>
    <t>ZTR</t>
  </si>
  <si>
    <t>ZTS</t>
  </si>
  <si>
    <t>ZUMZ</t>
  </si>
  <si>
    <t>ZUO</t>
  </si>
  <si>
    <t>ZURA</t>
  </si>
  <si>
    <t>ZVIA</t>
  </si>
  <si>
    <t>ZVRA</t>
  </si>
  <si>
    <t>ZVSA</t>
  </si>
  <si>
    <t>ZWS</t>
  </si>
  <si>
    <t>ZYME</t>
  </si>
  <si>
    <t>ZYXI</t>
  </si>
  <si>
    <t>Name</t>
  </si>
  <si>
    <t>Agilent Technologies Inc. Common Stock</t>
  </si>
  <si>
    <t xml:space="preserve">Alcoa Corporation Common Stock </t>
  </si>
  <si>
    <t>ATA Creativity Global American Depositary Shares</t>
  </si>
  <si>
    <t>Armada Acquisition Corp. I Common Stock</t>
  </si>
  <si>
    <t>Ares Acquisition Corporation II Class A Ordinary Shares</t>
  </si>
  <si>
    <t>Aadi Bioscience Inc. Common Stock</t>
  </si>
  <si>
    <t>African Agriculture Holdings Inc. Common Stock</t>
  </si>
  <si>
    <t>African Agriculture Holdings Inc. Warrant</t>
  </si>
  <si>
    <t>Arlington Asset Investment Corp 6.000% Senior Notes Due 2026</t>
  </si>
  <si>
    <t>American Airlines Group Inc. Common Stock</t>
  </si>
  <si>
    <t>Altisource Asset Management Corp Com</t>
  </si>
  <si>
    <t>Atlantic American Corporation Common Stock</t>
  </si>
  <si>
    <t xml:space="preserve">Aarons Holdings Company Inc. Common Stock </t>
  </si>
  <si>
    <t>Applied Optoelectronics Inc. Common Stock</t>
  </si>
  <si>
    <t>AAON Inc. Common Stock</t>
  </si>
  <si>
    <t>Advance Auto Parts Inc.</t>
  </si>
  <si>
    <t>Apple Inc. Common Stock</t>
  </si>
  <si>
    <t>American Assets Trust Inc. Common Stock</t>
  </si>
  <si>
    <t>Almaden Minerals Ltd. Common Shares</t>
  </si>
  <si>
    <t>AllianceBernstein Holding L.P.  Units</t>
  </si>
  <si>
    <t>American Battery Technology Company Common Stock</t>
  </si>
  <si>
    <t>AbbVie Inc. Common Stock</t>
  </si>
  <si>
    <t>Ameris Bancorp Common Stock</t>
  </si>
  <si>
    <t>AbCellera Biologics Inc. Common Shares</t>
  </si>
  <si>
    <t>Abeona Therapeutics Inc. Common Stock</t>
  </si>
  <si>
    <t>Ambev S.A. American Depositary Shares (Each representing 1 Common Share)</t>
  </si>
  <si>
    <t>Asbury Automotive Group Inc Common Stock</t>
  </si>
  <si>
    <t>ARCA biopharma Inc. Common Stock</t>
  </si>
  <si>
    <t>Abacus Life Inc. Class A Common Stock</t>
  </si>
  <si>
    <t>Abacus Life Inc. 9.875% Fixed Rate Senior Notes due 2028</t>
  </si>
  <si>
    <t>Abacus Life Inc. Warrant</t>
  </si>
  <si>
    <t>Able View Global Inc. Class B Ordinary Shares</t>
  </si>
  <si>
    <t>Able View Global Inc. Warrant</t>
  </si>
  <si>
    <t>ABM Industries Incorporated Common Stock</t>
  </si>
  <si>
    <t>Airbnb Inc. Class A Common Stock</t>
  </si>
  <si>
    <t>Acumen Pharmaceuticals Inc. Common Stock</t>
  </si>
  <si>
    <t>Arbor Realty Trust Common Stock</t>
  </si>
  <si>
    <t>Arbor Realty Trust 6.375% Series D Cumulative Redeemable Preferred Stock Liquidation Preference $25.00 per Share</t>
  </si>
  <si>
    <t>Arbor Realty Trust 6.25% Series E Cumulative Redeemable Preferred Stock</t>
  </si>
  <si>
    <t>Arbor Realty Trust 6.25% Series F Fixed-to-Floating Rate Cumulative Redeemable Preferred Stock Liquidation Preference $25.00 per share</t>
  </si>
  <si>
    <t>Absci Corporation Common Stock</t>
  </si>
  <si>
    <t>Abbott Laboratories Common Stock</t>
  </si>
  <si>
    <t>Abits Group Inc Ordinary Shares</t>
  </si>
  <si>
    <t>Arbutus Biopharma Corporation Common Stock</t>
  </si>
  <si>
    <t>ABVC BioPharma Inc. Common Stock</t>
  </si>
  <si>
    <t>Abivax SA American Depositary Shares</t>
  </si>
  <si>
    <t>Associated Capital Group Inc. Common Stock</t>
  </si>
  <si>
    <t xml:space="preserve">Arcosa Inc. Common Stock </t>
  </si>
  <si>
    <t>Atlantic Coastal Acquisition Corp. II Class A Common Stock</t>
  </si>
  <si>
    <t>Atlantic Coastal Acquisition Corp. II Warrant</t>
  </si>
  <si>
    <t>Acri Capital Acquisition Corporation Class A Common Stock</t>
  </si>
  <si>
    <t>ACADIA Pharmaceuticals Inc. Common Stock</t>
  </si>
  <si>
    <t>Atlantic Coastal Acquisition Corp. Class A Common Stock</t>
  </si>
  <si>
    <t>Atlantic Coastal Acquisition Corp. Unit</t>
  </si>
  <si>
    <t>Atlantic Coastal Acquisition Corp. Warrant</t>
  </si>
  <si>
    <t>Alset Capital Acquisition Corp. Class A Common Stock</t>
  </si>
  <si>
    <t>Aurora Cannabis Inc. Common Shares</t>
  </si>
  <si>
    <t>Ace Global Business Acquisition Limited Ordinary Shares</t>
  </si>
  <si>
    <t>Ace Global Business Acquisition Limited Unit</t>
  </si>
  <si>
    <t>Ace Global Business Acquisition Limited Warrant</t>
  </si>
  <si>
    <t>Accolade Inc. Common Stock</t>
  </si>
  <si>
    <t>Acco Brands Corporation Common Stock</t>
  </si>
  <si>
    <t>ProFrac Holding Corp. Class A Common Stock</t>
  </si>
  <si>
    <t xml:space="preserve">Accel Entertainment Inc. </t>
  </si>
  <si>
    <t xml:space="preserve">Adicet Bio Inc. Common Stock </t>
  </si>
  <si>
    <t>Arch Capital Group Ltd. Common Stock</t>
  </si>
  <si>
    <t>Arch Capital Group Ltd. Depositary Shares each Representing a 1/1000th Interest in a 4.550% Non-Cumulative Preferred Share Series G</t>
  </si>
  <si>
    <t>Arch Capital Group Ltd. Depositary Shares Each Representing 1/1000th Interest in a Share of 5.45% Non-Cumulative Preferred Shares Series F</t>
  </si>
  <si>
    <t>Acadia Healthcare Company Inc. Common Stock</t>
  </si>
  <si>
    <t>Achilles Therapeutics plc American Depositary Shares</t>
  </si>
  <si>
    <t>Archer Aviation Inc. Class A Common Stock</t>
  </si>
  <si>
    <t>Achieve Life Sciences Inc. Common Shares</t>
  </si>
  <si>
    <t>Albertsons Companies Inc. Class A Common Stock</t>
  </si>
  <si>
    <t>American Coastal Insurance Corporation Common Stock</t>
  </si>
  <si>
    <t>AC Immune SA Common Stock</t>
  </si>
  <si>
    <t>ACI Worldwide Inc. Common Stock</t>
  </si>
  <si>
    <t>Axcelis Technologies Inc. Common Stock</t>
  </si>
  <si>
    <t>Arcellx Inc. Common Stock</t>
  </si>
  <si>
    <t>AECOM Common Stock</t>
  </si>
  <si>
    <t>ACM Research Inc. Class A Common Stock</t>
  </si>
  <si>
    <t>Accenture plc Class A Ordinary Shares (Ireland)</t>
  </si>
  <si>
    <t>ACNB Corporation Common Stock</t>
  </si>
  <si>
    <t>Ascent Industries Co. Common Stock</t>
  </si>
  <si>
    <t>Aclarion Inc. Common Stock</t>
  </si>
  <si>
    <t>Aclarion Inc. Warrant</t>
  </si>
  <si>
    <t>Acorda Therapeutics Inc. Common Stock</t>
  </si>
  <si>
    <t>abrdn Income Credit Strategies Fund Common Shares</t>
  </si>
  <si>
    <t>abrdn Income Credit Strategies Fund 5.250% Series A Perpetual Preferred Stock</t>
  </si>
  <si>
    <t>ACRES Commercial Realty Corp. Common Stock</t>
  </si>
  <si>
    <t xml:space="preserve">ACRES Commercial Realty Corp. 8.625% Fixed-to-Floating Series C Cumulative Redeemable Preferred Stock </t>
  </si>
  <si>
    <t>ACRES Commercial Realty Corp. 7.875% Series D Cumulative Redeemable Preferred Stock</t>
  </si>
  <si>
    <t>Ares Commercial Real Estate Corporation Common Stock</t>
  </si>
  <si>
    <t>Aclaris Therapeutics Inc. Common Stock</t>
  </si>
  <si>
    <t>Acrivon Therapeutics Inc. Common Stock</t>
  </si>
  <si>
    <t>AcelRx Pharmaceuticals Inc. Common Stock</t>
  </si>
  <si>
    <t>Acasti Pharma Inc. Class A Common Stock</t>
  </si>
  <si>
    <t>Enact Holdings Inc. Common Stock</t>
  </si>
  <si>
    <t>Acacia Research Corporation (Acacia Tech) Common Stock</t>
  </si>
  <si>
    <t>Acme United Corporation. Common Stock</t>
  </si>
  <si>
    <t>Virtus Diversified Income &amp; Convertible Fund Common Shares of Beneficial Interest</t>
  </si>
  <si>
    <t>ACV Auctions Inc. Class A Common Stock</t>
  </si>
  <si>
    <t>Acurx Pharmaceuticals Inc. Common Stock</t>
  </si>
  <si>
    <t>Adagene Inc. American Depositary Shares</t>
  </si>
  <si>
    <t>Adaptimmune Therapeutics plc American Depositary Shares</t>
  </si>
  <si>
    <t>Adobe Inc. Common Stock</t>
  </si>
  <si>
    <t>Agree Realty Corporation Common Stock</t>
  </si>
  <si>
    <t>Agree Realty Corporation Depositary Shares each representing 1/1000th of a 4.250% Series A Cumulative Redeemable Preferred Stock</t>
  </si>
  <si>
    <t>ADC Therapeutics SA Common Shares</t>
  </si>
  <si>
    <t>Color Star Technology Co. Ltd. Class A Ordinary Shares</t>
  </si>
  <si>
    <t>Adeia Inc. Common Stock</t>
  </si>
  <si>
    <t>Advanced Emissions Solutions Inc. Common Stock</t>
  </si>
  <si>
    <t>Analog Devices Inc. Common Stock</t>
  </si>
  <si>
    <t>Adial Pharmaceuticals Inc Common Stock</t>
  </si>
  <si>
    <t>Archer-Daniels-Midland Company Common Stock</t>
  </si>
  <si>
    <t>ADMA Biologics Inc Common Stock</t>
  </si>
  <si>
    <t>Advent Technologies Holdings Inc. Class A Common Stock</t>
  </si>
  <si>
    <t xml:space="preserve">Adient plc Ordinary Shares </t>
  </si>
  <si>
    <t>Advent Technologies Holdings Inc. Warrant</t>
  </si>
  <si>
    <t>Edoc Acquisition Corp. Class A Ordinary Share</t>
  </si>
  <si>
    <t>Automatic Data Processing Inc. Common Stock</t>
  </si>
  <si>
    <t>Adaptive Biotechnologies Corporation Common Stock</t>
  </si>
  <si>
    <t>Ault Disruptive Technologies Corporation Common Stock</t>
  </si>
  <si>
    <t>ADS-TEC ENERGY PLC Ordinary Shares</t>
  </si>
  <si>
    <t>ADS-TEC ENERGY PLC Warrant</t>
  </si>
  <si>
    <t>Autodesk Inc. Common Stock</t>
  </si>
  <si>
    <t>ADT Inc. Common Stock</t>
  </si>
  <si>
    <t>AdTheorent Holding Company Inc. Common Stock</t>
  </si>
  <si>
    <t>AdTheorent Holding Company Inc. Warrants</t>
  </si>
  <si>
    <t>ADTRAN Holdings Inc. Common Stock</t>
  </si>
  <si>
    <t>Aditxt Inc. Common Stock</t>
  </si>
  <si>
    <t>Addus HomeCare Corporation Common Stock</t>
  </si>
  <si>
    <t>Advantage Solutions Inc. Class A Common Stock</t>
  </si>
  <si>
    <t>Adverum Biotechnologies Inc. Common Stock</t>
  </si>
  <si>
    <t>Advantage Solutions Inc. Warrant</t>
  </si>
  <si>
    <t>Adams Diversified Equity Fund Inc.</t>
  </si>
  <si>
    <t>Addex Therapeutics Ltd American Depositary Shares</t>
  </si>
  <si>
    <t>Adams Resources &amp; Energy Inc. Common Stock</t>
  </si>
  <si>
    <t>AltEnergy Acquisition Corp. Class A Common Stock</t>
  </si>
  <si>
    <t>Ameren Corporation Common Stock</t>
  </si>
  <si>
    <t>abrdn Emerging Markets Equity Income Fund Inc. Common Stock</t>
  </si>
  <si>
    <t>Aegon Funding Company LLC 5.10% Subordinated Notes due 2049</t>
  </si>
  <si>
    <t>Aegon Ltd. New York Registry Shares</t>
  </si>
  <si>
    <t>Antelope Enterprise Holdings Limited Class A Ordinary Shares</t>
  </si>
  <si>
    <t>Aehr Test Systems Common Stock</t>
  </si>
  <si>
    <t>Alset Inc. Common Stock (TX)</t>
  </si>
  <si>
    <t>Advanced Energy Industries Inc. Common Stock</t>
  </si>
  <si>
    <t>American Equity Investment Life Holding Company Common Stock</t>
  </si>
  <si>
    <t>American Equity Investment Life Holding Company Depositary Shares each representing a 1/1000th interest in a share of 5.95% Fixed-Rate Reset Non-Cumulative Preferred Stock Series A</t>
  </si>
  <si>
    <t>American Equity Investment Life Holding Company Depositary Shares each representing a 1/1000th interest in a share of 6.625% Fixed-Rate Reset Non-Cumulative Preferred Stock Series B</t>
  </si>
  <si>
    <t>Agnico Eagle Mines Limited Common Stock</t>
  </si>
  <si>
    <t>Aethlon Medical Inc. Common Stock</t>
  </si>
  <si>
    <t>Alliance Entertainment Holding Corporation Class A Common Stock</t>
  </si>
  <si>
    <t>Alliance Entertainment Holding Corporation Warrants</t>
  </si>
  <si>
    <t>American Eagle Outfitters Inc. Common Stock</t>
  </si>
  <si>
    <t>AEON Biopharma Inc. Class A Common Stock</t>
  </si>
  <si>
    <t>American Electric Power Company Inc. Common Stock</t>
  </si>
  <si>
    <t>AerCap Holdings N.V. Ordinary Shares</t>
  </si>
  <si>
    <t>Aeries Technology Inc. Class A Ordinary Share</t>
  </si>
  <si>
    <t>The AES Corporation Common Stock</t>
  </si>
  <si>
    <t>The AES Corporation Corporate Units</t>
  </si>
  <si>
    <t>Atlas Energy Solutions Inc. Common Stock</t>
  </si>
  <si>
    <t>Aeva Technologies Inc. Common Stock</t>
  </si>
  <si>
    <t>ADDvantage Technologies Group Inc. Common Stock</t>
  </si>
  <si>
    <t>AudioEye Inc. Common Stock</t>
  </si>
  <si>
    <t>Aeterna Zentaris Inc. Common Stock</t>
  </si>
  <si>
    <t>Aura FAT Projects Acquisition Corp Class A Ordinary Shares</t>
  </si>
  <si>
    <t>Aura FAT Projects Acquisition Corp Warrant</t>
  </si>
  <si>
    <t>AllianceBernstein National Municipal Income Fund Inc</t>
  </si>
  <si>
    <t>Affinity Bancshares Inc. Common Stock (MD)</t>
  </si>
  <si>
    <t>AFC Gamma Inc. Common Stock</t>
  </si>
  <si>
    <t>American Financial Group Inc. Common Stock</t>
  </si>
  <si>
    <t>American Financial Group Inc. 5.875% Subordinated Debentures due 2059</t>
  </si>
  <si>
    <t>American Financial Group Inc. 5.125% Subordinated Debentures due 2059</t>
  </si>
  <si>
    <t>American Financial Group Inc. 5.625% Subordinated Debentures due 2060</t>
  </si>
  <si>
    <t>American Financial Group Inc. 4.500% Subordinated Debentures due 2060</t>
  </si>
  <si>
    <t>Acutus Medical Inc. Common Stock</t>
  </si>
  <si>
    <t>Aimei Health Technology Co. Ltd Unit</t>
  </si>
  <si>
    <t>AFLAC Incorporated Common Stock</t>
  </si>
  <si>
    <t>Affimed N.V.</t>
  </si>
  <si>
    <t>Forafric Global PLC Ordinary Shares</t>
  </si>
  <si>
    <t>Forafric Global PLC Warrants</t>
  </si>
  <si>
    <t>Affirm Holdings Inc. Class A Common Stock</t>
  </si>
  <si>
    <t>Apollo Senior Floating Rate Fund Inc. Common Stock</t>
  </si>
  <si>
    <t>Afya Limited Class A Common Shares</t>
  </si>
  <si>
    <t>First Majestic Silver Corp. Ordinary Shares (Canada)</t>
  </si>
  <si>
    <t>Allied Gaming &amp; Entertainment Inc. Common Stock</t>
  </si>
  <si>
    <t>AGBA Group Holding Limited Ordinary Share</t>
  </si>
  <si>
    <t>AGBA Group Holding Limited Warrant</t>
  </si>
  <si>
    <t>AGCO Corporation Common Stock</t>
  </si>
  <si>
    <t>abrdn Global Dynamic Dividend Fund Common Shares of Beneficial Interest</t>
  </si>
  <si>
    <t>AgeX Therapeutics Inc. Common Stock</t>
  </si>
  <si>
    <t>Agenus Inc. Common Stock</t>
  </si>
  <si>
    <t>Agrify Corporation Common Stock</t>
  </si>
  <si>
    <t>Alamos Gold Inc. Class A Common Shares</t>
  </si>
  <si>
    <t>Agios Pharmaceuticals Inc. Common Stock</t>
  </si>
  <si>
    <t>agilon health inc. Common Stock</t>
  </si>
  <si>
    <t>Federal Agricultural Mortgage Corporation Common Stock</t>
  </si>
  <si>
    <t>Federal Agricultural Mortgage Corporation Preferred Series C Fixed to Fltg</t>
  </si>
  <si>
    <t>Federal Agricultural Mortgage Corporation 5.700% Non-Cumulative Preferred Stock Series D</t>
  </si>
  <si>
    <t>Federal Agricultural Mortgage Corporation 5.750% Non-Cumulative Preferred Stock Series E</t>
  </si>
  <si>
    <t>Federal Agricultural Mortgage Corporation 5.250% Non-Cumulative Preferred Stock Series F</t>
  </si>
  <si>
    <t>Federal Agricultural Mortgage Corporation 4.875% Non-Cumulative Preferred Stock Series G</t>
  </si>
  <si>
    <t>AGM Group Holdings Inc. Class A Ordinary Shares</t>
  </si>
  <si>
    <t>AGNC Investment Corp. Common Stock</t>
  </si>
  <si>
    <t>AGNC Investment Corp. Depositary Shares Each Representing a 1/1000th Interest in a Share of 7.75% Series G Fixed-Rate Reset Cumulative Redeemable Preferred Stock</t>
  </si>
  <si>
    <t>AGNC Investment Corp. Depositary Shares rep 6.875% Series D Fixed-to-Floating Cumulative Redeemable Preferred Stock</t>
  </si>
  <si>
    <t>AGNC Investment Corp. Depositary Shares Each Representing a 1/1000th Interest in a Share of 7.00% Series C Fixed-To-Floating Rate Cumulative Redeemable Preferred Stock</t>
  </si>
  <si>
    <t>AGNC Investment Corp. Depositary Shares each representing a 1/1000th interest in a share of 6.50% Series E Fixed-to-Floating Cumulative Redeemable Preferred Stock</t>
  </si>
  <si>
    <t>AGNC Investment Corp. Depositary Shares Each Representing a 1/1000th Interest in a Share of 6.125% Series F Fixed-to-Floating Rate Cumulative Redeemable Preferred Stock</t>
  </si>
  <si>
    <t>Assured Guaranty Ltd. Common Stock</t>
  </si>
  <si>
    <t>Avangrid Inc. Common Stock</t>
  </si>
  <si>
    <t>AgriFORCE  Growing Systems Ltd. Common Shares</t>
  </si>
  <si>
    <t>AgriFORCE  Growing Systems Ltd. Warrant</t>
  </si>
  <si>
    <t>Adecoagro S.A. Common Shares</t>
  </si>
  <si>
    <t>Agile Therapeutics Inc. Common Stock</t>
  </si>
  <si>
    <t>PlayAGS Inc. Common Stock</t>
  </si>
  <si>
    <t>Agiliti Inc. Common Stock</t>
  </si>
  <si>
    <t>Argan Inc. Common Stock</t>
  </si>
  <si>
    <t>Agilysys Inc. Common Stock (DE)</t>
  </si>
  <si>
    <t>AdaptHealth Corp. Common Stock</t>
  </si>
  <si>
    <t>Akso Health Group ADS</t>
  </si>
  <si>
    <t>Armada Hoffler Properties Inc. Common Stock</t>
  </si>
  <si>
    <t>Armada Hoffler Properties Inc. 6.75% Series A Cumulative Redeemable Perpetual Preferred Stock</t>
  </si>
  <si>
    <t>Advanced Health Intelligence Ltd. American Depositary Shares</t>
  </si>
  <si>
    <t>Aspen Insurance Holdings Limited 5.95% Fixed-to-Floating Rate Perpetual Non-Cumulative Preference Shares</t>
  </si>
  <si>
    <t>Aspen Insurance Holdings Limited 5.625% Perpetual Non-Cumulative Preference Shares</t>
  </si>
  <si>
    <t>Aspen Insurance Holdings Limited Depositary Shares each representing a 1/1000th interest in a share of 5.625% Perpetual Non-Cumulative Preference Shares</t>
  </si>
  <si>
    <t>Ashford Hospitality Trust Inc Common Stock</t>
  </si>
  <si>
    <t>Ashford Hospitality Trust Inc 8.45% Series D Cumulative Preferred Stock</t>
  </si>
  <si>
    <t>Ashford Hospitality Trust Inc 7.375% Series F Cumulative Preferred Stock</t>
  </si>
  <si>
    <t>Ashford Hospitality Trust Inc 7.375% Series G Cumulative Preferred Stock</t>
  </si>
  <si>
    <t>Ashford Hospitality Trust Inc 7.50% Series H Cumulative Preferred Stock</t>
  </si>
  <si>
    <t>Ashford Hospitality Trust Inc 7.50% Series I Cumulative Preferred Stock</t>
  </si>
  <si>
    <t>C3.ai Inc. Class A Common Stock</t>
  </si>
  <si>
    <t>AIB Acquisition Corporation Class A Ordinary Shares</t>
  </si>
  <si>
    <t>Arlington Asset Investment Corp 6.750% Notes due 2025</t>
  </si>
  <si>
    <t>Apollo Tactical Income Fund Inc. Common Stock</t>
  </si>
  <si>
    <t>American International Group Inc. New Common Stock</t>
  </si>
  <si>
    <t>American International Group Inc. Depositary Shares Each Representing a 1/1000th Interest in a Share of Series A 5.85% Non-Cumulative Perpetual Preferred Stock</t>
  </si>
  <si>
    <t>Aesthetic Medical International Holdings Group Ltd. American Depositary Shares</t>
  </si>
  <si>
    <t>Senmiao Technology Limited Common Stock</t>
  </si>
  <si>
    <t>AIM ImmunoTech Inc. Common Stock</t>
  </si>
  <si>
    <t>Aimfinity Investment Corp. I Unit</t>
  </si>
  <si>
    <t>Aimfinity Investment Corp. I Subunit</t>
  </si>
  <si>
    <t>Ainos Inc. Common Stock</t>
  </si>
  <si>
    <t>Ainos Inc. Warrants</t>
  </si>
  <si>
    <t>Albany International Corporation Common Stock</t>
  </si>
  <si>
    <t>Ashford Inc. (Holding Company) Common Stock</t>
  </si>
  <si>
    <t>Virtus Artificial Intelligence &amp; Technology Opportunities Fund Common Shares of Beneficial Interest</t>
  </si>
  <si>
    <t>Arteris Inc. Common Stock</t>
  </si>
  <si>
    <t>AAR Corp. Common Stock</t>
  </si>
  <si>
    <t>Apartment Income REIT Corp. Common Stock</t>
  </si>
  <si>
    <t>reAlpha Tech Corp. Common Stock</t>
  </si>
  <si>
    <t>Airgain Inc. Common Stock</t>
  </si>
  <si>
    <t>Air Industries Group Common Stock</t>
  </si>
  <si>
    <t>AirSculpt Technologies Inc. Common Stock</t>
  </si>
  <si>
    <t>Air T Inc. Common Stock</t>
  </si>
  <si>
    <t>Air T Inc. Air T Funding Alpha Income Trust Preferred Securities</t>
  </si>
  <si>
    <t>Airship AI Holdings Inc. Class A Common Stock</t>
  </si>
  <si>
    <t>Airship AI Holdings Inc. Warrants</t>
  </si>
  <si>
    <t>Applied Industrial Technologies Inc. Common Stock</t>
  </si>
  <si>
    <t>AI TRANSPORTATION ACQUISITION CORP Ordinary shares</t>
  </si>
  <si>
    <t>AI TRANSPORTATION ACQUISITION CORP Right</t>
  </si>
  <si>
    <t>AI TRANSPORTATION ACQUISITION CORP Unit</t>
  </si>
  <si>
    <t>Meta Data Limited ADS</t>
  </si>
  <si>
    <t>Apartment Investment and Management Company Common Stock</t>
  </si>
  <si>
    <t>XIAO-I Corporation American Depositary Shares</t>
  </si>
  <si>
    <t>Assurant Inc. Common Stock</t>
  </si>
  <si>
    <t>Assurant Inc. 5.25% Subordinated Notes due 2061</t>
  </si>
  <si>
    <t>Arthur J. Gallagher &amp; Co. Common Stock</t>
  </si>
  <si>
    <t>Great Ajax Corp. Common Stock</t>
  </si>
  <si>
    <t>Great Ajax Corp. 7.25% Convertible Senior Notes due 2024</t>
  </si>
  <si>
    <t>a.k.a. Brands Holding Corp. Common Stock</t>
  </si>
  <si>
    <t>Akamai Technologies Inc. Common Stock</t>
  </si>
  <si>
    <t>Akanda Corp. Common Shares</t>
  </si>
  <si>
    <t>Akebia Therapeutics Inc. Common Stock</t>
  </si>
  <si>
    <t>Akili Inc. Common Stock</t>
  </si>
  <si>
    <t>Embotelladora Andina S.A.</t>
  </si>
  <si>
    <t>Acadia Realty Trust Common Stock</t>
  </si>
  <si>
    <t>Akero Therapeutics Inc. Common Stock</t>
  </si>
  <si>
    <t>Akoustis Technologies Inc. Common Stock</t>
  </si>
  <si>
    <t>Akari Therapeutics plc ADS</t>
  </si>
  <si>
    <t>Akoya BioSciences Inc. Common Stock</t>
  </si>
  <si>
    <t>Air Lease Corporation Class A Common Stock</t>
  </si>
  <si>
    <t>Air Lease Corporation 6.150% Fixed-to-Floating Rate Non-Cumulative Perpetual Preferred Stock Series A</t>
  </si>
  <si>
    <t>Alarum Technologies Ltd. American Depositary Share</t>
  </si>
  <si>
    <t>Albemarle Corporation Common Stock</t>
  </si>
  <si>
    <t>Avalon GloboCare Corp. Common Stock</t>
  </si>
  <si>
    <t>Alcon Inc. Ordinary Shares</t>
  </si>
  <si>
    <t>AltC Acquisition Corp. Class A Common Stock</t>
  </si>
  <si>
    <t>Alternus Clean Energy Inc. Class A Common Stock</t>
  </si>
  <si>
    <t>Alico Inc. Common Stock</t>
  </si>
  <si>
    <t>Alchemy Investments Acquisition Corp 1 Class A Ordinary Shares</t>
  </si>
  <si>
    <t>Alchemy Investments Acquisition Corp 1 Warrants</t>
  </si>
  <si>
    <t>Aldeyra Therapeutics Inc. Common Stock</t>
  </si>
  <si>
    <t>Allete Inc.</t>
  </si>
  <si>
    <t>Alector Inc. Common Stock</t>
  </si>
  <si>
    <t>Alexander &amp; Baldwin Inc. Common Stock REIT Holding Company</t>
  </si>
  <si>
    <t>Alamo Group Inc. Common Stock</t>
  </si>
  <si>
    <t>Allegro MicroSystems Inc. Common Stock</t>
  </si>
  <si>
    <t>Align Technology Inc. Common Stock</t>
  </si>
  <si>
    <t>Aligos Therapeutics Inc. Common Stock</t>
  </si>
  <si>
    <t>Allegiant Travel Company Common Stock</t>
  </si>
  <si>
    <t>Alignment Healthcare Inc. Common Stock</t>
  </si>
  <si>
    <t>Alimera Sciences Inc. Common Stock</t>
  </si>
  <si>
    <t>Alight Inc. Class A Common Stock</t>
  </si>
  <si>
    <t>Alaska Air Group Inc. Common Stock</t>
  </si>
  <si>
    <t>Alkermes plc Ordinary Shares</t>
  </si>
  <si>
    <t>Alkami Technology Inc. Common Stock</t>
  </si>
  <si>
    <t>Allstate Corporation (The) Common Stock</t>
  </si>
  <si>
    <t>Allstate Corporation (The) 5.100% Fixed-to-Floating Rate Subordinated Debentures due 2053</t>
  </si>
  <si>
    <t>Allstate Corporation (The) Depositary Shares each representing a 1/1000th interest in a share of Fixed Rate Noncumulative Perpetual Preferred Stock Series H</t>
  </si>
  <si>
    <t>Allstate Corporation (The) Depositary Shares each representing a 1/1000th interest in a share of Fixed Rate Noncumulative Perpetual Preferred Stock Series I</t>
  </si>
  <si>
    <t>Allstate Corporation (The) Depositary Shares each representing a 1/1000th interest in a share of Fixed Rate Noncumulative Perpetual Preferred Stock Series J</t>
  </si>
  <si>
    <t>Allegion plc Ordinary Shares</t>
  </si>
  <si>
    <t>Allego N.V. Ordinary Share</t>
  </si>
  <si>
    <t>Allakos Inc. Common Stock</t>
  </si>
  <si>
    <t>Allogene Therapeutics Inc. Common Stock</t>
  </si>
  <si>
    <t>Allarity Therapeutics Inc. Common Stock</t>
  </si>
  <si>
    <t>Allot Ltd. Ordinary Shares</t>
  </si>
  <si>
    <t>Ally Financial Inc. Common Stock</t>
  </si>
  <si>
    <t>Allient Inc. Common Stock</t>
  </si>
  <si>
    <t>Alnylam Pharmaceuticals Inc. Common Stock</t>
  </si>
  <si>
    <t>AstroNova Inc. Common Stock</t>
  </si>
  <si>
    <t>Alpine Immune Sciences Inc. Common Stock</t>
  </si>
  <si>
    <t>Alpine 4 Holdings Inc. Class A Common Stock</t>
  </si>
  <si>
    <t>Alarm.com Holdings Inc. Common Stock</t>
  </si>
  <si>
    <t>Aileron Therapeutics Inc. Common Stock</t>
  </si>
  <si>
    <t>Alerus Financial Corporation Common Stock</t>
  </si>
  <si>
    <t>Alpha Star Acquisition Corporation Ordinary Shares</t>
  </si>
  <si>
    <t>Alpha Star Acquisition Corporation Rights</t>
  </si>
  <si>
    <t>Allison Transmission Holdings Inc. Common Stock</t>
  </si>
  <si>
    <t>Altimmune Inc. Common Stock</t>
  </si>
  <si>
    <t>Alta Equipment Group Inc. Class A Common Stock</t>
  </si>
  <si>
    <t>Alta Equipment Group Inc. Depositary Shares (each representing 1/1000th in a share of 10% Series A Cumulative Perpetual Preferred Stock)</t>
  </si>
  <si>
    <t>AlTi Global Inc. Class A Common Stock</t>
  </si>
  <si>
    <t>Arcadium Lithium plc Ordinary Shares</t>
  </si>
  <si>
    <t>Alto Ingredients Inc. Common Stock</t>
  </si>
  <si>
    <t>Altair Engineering Inc. Class A Common Stock</t>
  </si>
  <si>
    <t>Altitude Acquisition Corp. Class A Common Stock</t>
  </si>
  <si>
    <t>Allurion Technologies Inc. Common Stock</t>
  </si>
  <si>
    <t>Autoliv Inc. Common Stock</t>
  </si>
  <si>
    <t>Alvotech Ordinary Shares</t>
  </si>
  <si>
    <t>Alvotech Warrant</t>
  </si>
  <si>
    <t>AlloVir Inc. Common Stock</t>
  </si>
  <si>
    <t>Alexander's Inc. Common Stock</t>
  </si>
  <si>
    <t>ALX Oncology Holdings Inc. Common Stock</t>
  </si>
  <si>
    <t>Alithya Group inc. Class A Subordinate Voting Shares</t>
  </si>
  <si>
    <t>Alzamend Neuro Inc. Common Stock</t>
  </si>
  <si>
    <t>Antero Midstream Corporation Common Stock</t>
  </si>
  <si>
    <t>Amalgamated Financial Corp. Common Stock (DE)</t>
  </si>
  <si>
    <t>Ambrx Biopharma Inc. Common Stock</t>
  </si>
  <si>
    <t>Applied Materials Inc. Common Stock</t>
  </si>
  <si>
    <t>Ambarella Inc. Ordinary Shares</t>
  </si>
  <si>
    <t>Ambac Financial Group Inc. Common Stock</t>
  </si>
  <si>
    <t>Ambipar Emergency Response Class A Ordinary Shares</t>
  </si>
  <si>
    <t>Ambow Education Holding Ltd. American Depository Shares each representing two Class A ordinary shares</t>
  </si>
  <si>
    <t>Ardagh Metal Packaging S.A. Ordinary Shares</t>
  </si>
  <si>
    <t>AMC Entertainment Holdings Inc. Class A Common Stock</t>
  </si>
  <si>
    <t>Amcor plc Ordinary Shares</t>
  </si>
  <si>
    <t>AMC Networks Inc. Class A Common Stock</t>
  </si>
  <si>
    <t>Advanced Micro Devices Inc. Common Stock</t>
  </si>
  <si>
    <t>AMETEK Inc.</t>
  </si>
  <si>
    <t>Amedisys Inc Common Stock</t>
  </si>
  <si>
    <t>Apollo Medical Holdings Inc. Common Stock</t>
  </si>
  <si>
    <t>Affiliated Managers Group Inc. Common Stock</t>
  </si>
  <si>
    <t>Amgen Inc. Common Stock</t>
  </si>
  <si>
    <t>American Homes 4 Rent Common Shares of Beneficial Interest</t>
  </si>
  <si>
    <t>American Homes 4 Rent Series G cumulative redeemable perpetual preferred shares of beneficial interest</t>
  </si>
  <si>
    <t>American Homes 4 Rent Series H cumulative redeemable perpetual Preferred Shares of Beneficial Interest</t>
  </si>
  <si>
    <t>AssetMark Financial Holdings Inc. Common Stock</t>
  </si>
  <si>
    <t>Amkor Technology Inc. Common Stock</t>
  </si>
  <si>
    <t>American Lithium Corp. Common Stock</t>
  </si>
  <si>
    <t>Amylyx Pharmaceuticals Inc. Common Stock</t>
  </si>
  <si>
    <t>AMN Healthcare Services Inc</t>
  </si>
  <si>
    <t>American National Bankshares Inc. Common Stock</t>
  </si>
  <si>
    <t>Ameriprise Financial Inc. Common Stock</t>
  </si>
  <si>
    <t>Ampio Pharmaceuticals Inc.</t>
  </si>
  <si>
    <t>Amplitech Group Inc. Common Stock</t>
  </si>
  <si>
    <t>Amplitech Group Inc. Warrants</t>
  </si>
  <si>
    <t>Amphastar Pharmaceuticals Inc. Common Stock</t>
  </si>
  <si>
    <t>Amplitude Inc. Class A Common Stock</t>
  </si>
  <si>
    <t>Altus Power Inc. Class A Common Stock</t>
  </si>
  <si>
    <t>Amprius Technologies Inc. Common Stock</t>
  </si>
  <si>
    <t>Amplify Energy Corp. Common Stock</t>
  </si>
  <si>
    <t>Alpha Metallurgical Resources Inc. Common Stock</t>
  </si>
  <si>
    <t>Ameresco Inc. Class A Common Stock</t>
  </si>
  <si>
    <t>A-Mark Precious Metals Inc. Common Stock</t>
  </si>
  <si>
    <t>Amarin Corporation plc</t>
  </si>
  <si>
    <t>Amneal Pharmaceuticals Inc. Class A Common Stock</t>
  </si>
  <si>
    <t>American Shared Hospital Services Common Stock</t>
  </si>
  <si>
    <t>American Superconductor Corporation Common Stock</t>
  </si>
  <si>
    <t>AMERISAFE Inc. Common Stock</t>
  </si>
  <si>
    <t>Amesite Inc. Common Stock</t>
  </si>
  <si>
    <t>American Software Inc. Class A Common Stock</t>
  </si>
  <si>
    <t>American Tower Corporation (REIT) Common Stock</t>
  </si>
  <si>
    <t>Amerant Bancorp Inc. Class A Common Stock</t>
  </si>
  <si>
    <t>AMTD IDEA Group American Depositary Shares each representing six (6) Class A Ordinary Shares</t>
  </si>
  <si>
    <t>Aemetis Inc. (DE) Common Stock</t>
  </si>
  <si>
    <t>American Woodmark Corporation Common Stock</t>
  </si>
  <si>
    <t>American Well Corporation Class A Common Stock</t>
  </si>
  <si>
    <t>America Movil S.A.B. de C.V. American Depositary Shares (each representing the right to receive twenty (20) Series B Shares</t>
  </si>
  <si>
    <t>Amazon.com Inc. Common Stock</t>
  </si>
  <si>
    <t>AutoNation Inc. Common Stock</t>
  </si>
  <si>
    <t>AnaptysBio Inc. Common Stock</t>
  </si>
  <si>
    <t>Andersons Inc. (The) Common Stock</t>
  </si>
  <si>
    <t>Anebulo Pharmaceuticals Inc. Common Stock</t>
  </si>
  <si>
    <t>Arista Networks Inc. Common Stock</t>
  </si>
  <si>
    <t>Abercrombie &amp; Fitch Company Common Stock</t>
  </si>
  <si>
    <t>Anghami Inc. Ordinary Shares</t>
  </si>
  <si>
    <t>Anghami Inc. Warrants</t>
  </si>
  <si>
    <t>Angi Inc. Class A Common Stock</t>
  </si>
  <si>
    <t>AngioDynamics Inc. Common Stock</t>
  </si>
  <si>
    <t>Anika Therapeutics Inc. Common Stock</t>
  </si>
  <si>
    <t>ANI Pharmaceuticals Inc.</t>
  </si>
  <si>
    <t>Anixa Biosciences Inc. Common Stock</t>
  </si>
  <si>
    <t>Adlai Nortye Ltd. American Depositary Shares</t>
  </si>
  <si>
    <t>Annexon Inc. Common Stock</t>
  </si>
  <si>
    <t>Agriculture &amp; Natural Solutions Acquisition Corporation Class A Ordinary Shares</t>
  </si>
  <si>
    <t>Agriculture &amp; Natural Solutions Acquisition Corporation Unit</t>
  </si>
  <si>
    <t>Agriculture &amp; Natural Solutions Acquisition Corporation Warrant</t>
  </si>
  <si>
    <t>ANSYS Inc. Common Stock</t>
  </si>
  <si>
    <t>AirNet Technology Inc. American Depositary Shares</t>
  </si>
  <si>
    <t>AN2 Therapeutics Inc. Common Stock</t>
  </si>
  <si>
    <t>Annovis Bio Inc. Common Stock</t>
  </si>
  <si>
    <t>Sphere 3D Corp. Common Shares</t>
  </si>
  <si>
    <t>abrdn Total Dynamic Dividend Fund Common Shares of Beneficial Interest</t>
  </si>
  <si>
    <t>Arogo Capital Acquisition Corp. Class A Common Stock</t>
  </si>
  <si>
    <t>Arogo Capital Acquisition Corp. Warrant</t>
  </si>
  <si>
    <t>Angel Oak Mortgage REIT Inc. Common Stock</t>
  </si>
  <si>
    <t>Aon plc Class A Ordinary Shares (Ireland)</t>
  </si>
  <si>
    <t>American Oncology Network Inc. Class A Common Stock</t>
  </si>
  <si>
    <t>Artivion Inc. Common Stock</t>
  </si>
  <si>
    <t>A.O. Smith Corporation Common Stock</t>
  </si>
  <si>
    <t>Alpha and Omega Semiconductor Limited Common Shares</t>
  </si>
  <si>
    <t xml:space="preserve">American Outdoor Brands Inc. Common Stock </t>
  </si>
  <si>
    <t>Ampco-Pittsburgh Corporation Common Stock</t>
  </si>
  <si>
    <t>APA Corporation Common Stock</t>
  </si>
  <si>
    <t>StoneBridge Acquisition Corporation Class A Ordinary Shares</t>
  </si>
  <si>
    <t>StoneBridge Acquisition Corporation Warrant</t>
  </si>
  <si>
    <t>Artisan Partners Asset Management Inc. Class A Common Stock</t>
  </si>
  <si>
    <t>AP Acquisition Corp Class A Ordinary Shares</t>
  </si>
  <si>
    <t>AppTech Payments Corp. Common Stock</t>
  </si>
  <si>
    <t>AppTech Payments Corp. Warrant</t>
  </si>
  <si>
    <t>Air Products and Chemicals Inc. Common Stock</t>
  </si>
  <si>
    <t>Applied DNA Sciences Inc. Common Stock</t>
  </si>
  <si>
    <t>American Public Education Inc. Common Stock</t>
  </si>
  <si>
    <t>APi Group Corporation Common Stock</t>
  </si>
  <si>
    <t>Apogee Therapeutics Inc. Common Stock</t>
  </si>
  <si>
    <t>Amphenol Corporation Common Stock</t>
  </si>
  <si>
    <t>Agora Inc. American Depositary Shares</t>
  </si>
  <si>
    <t>Applied Digital Corporation Common Stock</t>
  </si>
  <si>
    <t>Apple Hospitality REIT Inc. Common Shares</t>
  </si>
  <si>
    <t>Apollomics Inc. Class A Ordinary Shares</t>
  </si>
  <si>
    <t>Apollomics Inc. Warrant</t>
  </si>
  <si>
    <t>Apellis Pharmaceuticals Inc. Common Stock</t>
  </si>
  <si>
    <t>Applied Therapeutics Inc. Common Stock</t>
  </si>
  <si>
    <t>Aptorum Group Limited Class A Ordinary Shares</t>
  </si>
  <si>
    <t>Apollo Global Management Inc. (New) Common Stock</t>
  </si>
  <si>
    <t>Apollo Global Management Inc. 6.75% Series A Mandatory Convertible Preferred Stock</t>
  </si>
  <si>
    <t>Apogee Enterprises Inc. Common Stock</t>
  </si>
  <si>
    <t>Apollo Global Management Inc. 7.625% Fixed-Rate Resettable Junior Subordinated Notes due 2053</t>
  </si>
  <si>
    <t>Applovin Corporation Class A Common Stock</t>
  </si>
  <si>
    <t>AppFolio Inc. Class A Common Stock</t>
  </si>
  <si>
    <t>Appian Corporation Class A Common Stock</t>
  </si>
  <si>
    <t>Digital Turbine Inc. Common Stock</t>
  </si>
  <si>
    <t>Aprea Therapeutics Inc. Common stock</t>
  </si>
  <si>
    <t>Alpha Pro Tech Ltd. Common Stock</t>
  </si>
  <si>
    <t>Alpha Partners Technology Merger Corp. Class A Ordinary Shares</t>
  </si>
  <si>
    <t>Alpha Partners Technology Merger Corp. Unit</t>
  </si>
  <si>
    <t>Alpha Partners Technology Merger Corp. Warrant</t>
  </si>
  <si>
    <t>Aptose Biosciences Inc. Common Shares</t>
  </si>
  <si>
    <t>Aptiv PLC Ordinary Shares</t>
  </si>
  <si>
    <t>Aptevo Therapeutics Inc. Common Stock</t>
  </si>
  <si>
    <t>Asia Pacific Wire &amp; Cable Corporation Ltd. Ordinary Shares (Bermuda)</t>
  </si>
  <si>
    <t>APx Acquisition Corp. I Class A Ordinary Share</t>
  </si>
  <si>
    <t>Apyx Medical Corporation Common Stock</t>
  </si>
  <si>
    <t>AquaBounty Technologies Inc. Common Stock</t>
  </si>
  <si>
    <t>Aqua Metals Inc. Common Stock</t>
  </si>
  <si>
    <t>Algonquin Power &amp; Utilities Corp. Common Shares</t>
  </si>
  <si>
    <t>Algonquin Power &amp; Utilities Corp. 6.20% Fixed-to-Floating Subordinated Notes Series 2019-A due July 1 2079</t>
  </si>
  <si>
    <t>Algonquin Power &amp; Utilities Corp. Corporate Units</t>
  </si>
  <si>
    <t>Aquestive Therapeutics Inc. Common Stock</t>
  </si>
  <si>
    <t>Aquaron Acquisition Corp. Common Stock</t>
  </si>
  <si>
    <t>Antero Resources Corporation Common Stock</t>
  </si>
  <si>
    <t>Aravive Inc. Common Stock</t>
  </si>
  <si>
    <t>Accuray Incorporated Common Stock</t>
  </si>
  <si>
    <t>ARB IOT Group Limited Ordinary Shares</t>
  </si>
  <si>
    <t>Arbe Robotics Ltd. Ordinary Shares</t>
  </si>
  <si>
    <t>Arbe Robotics Ltd. Warrant</t>
  </si>
  <si>
    <t>Argo Blockchain plc American Depositary Shares</t>
  </si>
  <si>
    <t>Argo Blockchain plc 8.75% Senior Notes due 2026</t>
  </si>
  <si>
    <t>ARC Document Solutions Inc. Common Stock</t>
  </si>
  <si>
    <t>ArcBest Corporation Common Stock</t>
  </si>
  <si>
    <t>Ares Capital Corporation Common Stock</t>
  </si>
  <si>
    <t>Arch Resources Inc. Class A Common Stock</t>
  </si>
  <si>
    <t>Arcos Dorados Holdings Inc. Class A Shares</t>
  </si>
  <si>
    <t>Arcturus Therapeutics Holdings Inc. Common Stock</t>
  </si>
  <si>
    <t>Ares Dynamic Credit Allocation Fund Inc. Common Shares</t>
  </si>
  <si>
    <t>Ardelyx Inc. Common Stock</t>
  </si>
  <si>
    <t>Alexandria Real Estate Equities Inc. Common Stock</t>
  </si>
  <si>
    <t>American Rebel Holdings Inc. Common Stock</t>
  </si>
  <si>
    <t>American Rebel Holdings Inc. Warrants</t>
  </si>
  <si>
    <t>American Resources Corporation Class A Common Stock</t>
  </si>
  <si>
    <t>The Arena Group Holdings Inc. Common Stock</t>
  </si>
  <si>
    <t>Ares Management Corporation Class A Common Stock</t>
  </si>
  <si>
    <t>Argo Group International Holdings Ltd. 6.5% Senior Notes Due 2042</t>
  </si>
  <si>
    <t>Argo Group International Holdings Inc. Depositary Shares Each Representing a 1/1000th Interest in a 7.00% Resettable Fixed Rate Preference Share Series A</t>
  </si>
  <si>
    <t>argenx SE American Depositary Shares</t>
  </si>
  <si>
    <t>Arhaus Inc. Class A Common Stock</t>
  </si>
  <si>
    <t>Apollo Commercial Real Estate Finance Inc</t>
  </si>
  <si>
    <t>Aris Water Solutions Inc. Class A Common Stock</t>
  </si>
  <si>
    <t>Arisz Acquisition Corp. Common Stock</t>
  </si>
  <si>
    <t>Arisz Acquisition Corp. Right</t>
  </si>
  <si>
    <t>Arisz Acquisition Corp. Warrant</t>
  </si>
  <si>
    <t>ARKO Corp. Common Stock</t>
  </si>
  <si>
    <t>ARKO Corp. Warrant</t>
  </si>
  <si>
    <t>Ark Restaurants Corp. Common Stock</t>
  </si>
  <si>
    <t>American Realty Investors Inc. Common Stock</t>
  </si>
  <si>
    <t>Arlo Technologies Inc. Common Stock</t>
  </si>
  <si>
    <t>Alliance Resource Partners L.P. Common Units representing Limited Partners Interests</t>
  </si>
  <si>
    <t>Arm Holdings plc American Depositary Shares</t>
  </si>
  <si>
    <t>Aramark Common Stock</t>
  </si>
  <si>
    <t>Aris Mining Corporation Common Shares</t>
  </si>
  <si>
    <t>Armata Pharmaceuticals Inc. Common Stock</t>
  </si>
  <si>
    <t>Archrock Inc. Common Stock</t>
  </si>
  <si>
    <t>Arrow Financial Corporation Common Stock</t>
  </si>
  <si>
    <t>Arqit Quantum Inc. Ordinary Shares</t>
  </si>
  <si>
    <t>Arqit Quantum Inc. Warrants</t>
  </si>
  <si>
    <t>Arcutis Biotherapeutics Inc. Common Stock</t>
  </si>
  <si>
    <t>ARMOUR Residential REIT Inc.</t>
  </si>
  <si>
    <t>ARMOUR Residential REIT Inc. 7% Series C Cumulative Redeemable Preferred Stock (liquidation preference $25.00 per share)</t>
  </si>
  <si>
    <t>Arrowroot Acquisition Corp. Class A common stock</t>
  </si>
  <si>
    <t>Arrowroot Acquisition Corp. Unit</t>
  </si>
  <si>
    <t>Arrowroot Acquisition Corp. Warrant</t>
  </si>
  <si>
    <t>Array Technologies Inc. Common Stock</t>
  </si>
  <si>
    <t>Artelo Biosciences Inc. Common Stock</t>
  </si>
  <si>
    <t>Artelo Biosciences Inc. Warrant</t>
  </si>
  <si>
    <t>Artesian Resources Corporation Class A Common Stock</t>
  </si>
  <si>
    <t>Art's-Way Manufacturing Co. Inc. Common Stock</t>
  </si>
  <si>
    <t>Arrival Ordinary Shares</t>
  </si>
  <si>
    <t>Arvinas Inc. Common Stock</t>
  </si>
  <si>
    <t>Arrow Electronics Inc. Common Stock</t>
  </si>
  <si>
    <t>Arrowhead Pharmaceuticals Inc. Common Stock</t>
  </si>
  <si>
    <t>ARYA Sciences Acquisition Corp IV Class A Odinary Shares</t>
  </si>
  <si>
    <t>ASA  Gold and Precious Metals Limited</t>
  </si>
  <si>
    <t>Sendas Distribuidora S A ADS</t>
  </si>
  <si>
    <t>Asana Inc. Class A Common Stock</t>
  </si>
  <si>
    <t>Associated Banc-Corp Common Stock</t>
  </si>
  <si>
    <t>Associated Banc-Corp Depositary Shares each representing a 1/40th interest in a share of 5.875% Non-Cumulative Perpetual Preferred Stock Series E</t>
  </si>
  <si>
    <t>Associated Banc-Corp Depositary Shares each representing a 1/40th interest in a share of Associated Banc-Corp 5.625% Non-Cumulative Perpetual Preferred Stock Series F</t>
  </si>
  <si>
    <t>Associated Banc-Corp 6.625% Fixed-Rate Reset Subordinated Notes due 2033</t>
  </si>
  <si>
    <t>Ardmore Shipping Corporation Common Stock</t>
  </si>
  <si>
    <t>A SPAC I Acquisition Corp. Class A Ordinary Share</t>
  </si>
  <si>
    <t>A SPAC I Acquisition Corp. Warrant</t>
  </si>
  <si>
    <t>A SPAC II Acquisition Corp. Ordinary Shares</t>
  </si>
  <si>
    <t>A SPAC II Acquisition Corp. Right</t>
  </si>
  <si>
    <t>A SPAC II Acquisition Corp. Warrant</t>
  </si>
  <si>
    <t>Liberty All-Star Growth Fund Inc.</t>
  </si>
  <si>
    <t>abrdn Global Infrastructure Income Fund Common Shares of Beneficial Interest</t>
  </si>
  <si>
    <t>ASGN Incorporated Common Stock</t>
  </si>
  <si>
    <t>Ashland Inc. Common Stock</t>
  </si>
  <si>
    <t xml:space="preserve">AdvanSix Inc. Common Stock </t>
  </si>
  <si>
    <t>AerSale Corporation Common Stock</t>
  </si>
  <si>
    <t>ASLAN Pharmaceuticals Limited American Depositary Shares</t>
  </si>
  <si>
    <t>Avino Silver &amp; Gold Mines Ltd. Common Shares (Canada)</t>
  </si>
  <si>
    <t>Assembly Biosciences Inc. Common Stock</t>
  </si>
  <si>
    <t>ASML Holding N.V. New York Registry Shares</t>
  </si>
  <si>
    <t>Ascendis Pharma A/S American Depositary Shares</t>
  </si>
  <si>
    <t>Actelis Networks Inc. Common Stock</t>
  </si>
  <si>
    <t>Academy Sports and Outdoors Inc. Common Stock</t>
  </si>
  <si>
    <t>ASP Isotopes Inc. Common Stock</t>
  </si>
  <si>
    <t>Aspen Aerogels Inc. Common Stock</t>
  </si>
  <si>
    <t>Altisource Portfolio Solutions S.A. Common Stock</t>
  </si>
  <si>
    <t>Grupo Aeroportuario del Sureste S.A. de C.V. Common Stock</t>
  </si>
  <si>
    <t>Assertio Holdings Inc. Common Stock</t>
  </si>
  <si>
    <t>AmeriServ Financial Inc. Common Stock</t>
  </si>
  <si>
    <t>Asset Entities Inc. Class B Common Stock</t>
  </si>
  <si>
    <t>Astrotech Corporation (DE) Common Stock</t>
  </si>
  <si>
    <t>Astec Industries Inc. Common Stock</t>
  </si>
  <si>
    <t>Ascent Solar Technologies Inc. Common Stock</t>
  </si>
  <si>
    <t>Algoma Steel Group Inc. Common Shares</t>
  </si>
  <si>
    <t>Algoma Steel Group Inc. Warrant</t>
  </si>
  <si>
    <t>Astra Space Inc. Class A Common Stock</t>
  </si>
  <si>
    <t>AST SpaceMobile Inc. Class A Common Stock</t>
  </si>
  <si>
    <t>AST SpaceMobile Inc. Warrant</t>
  </si>
  <si>
    <t>Asure Software Inc Common Stock</t>
  </si>
  <si>
    <t xml:space="preserve">ASE Technology Holding Co. Ltd. American Depositary Shares (each representing Two Common Shares) </t>
  </si>
  <si>
    <t>Asensus Surgical Inc. Common Stock</t>
  </si>
  <si>
    <t>Amtech Systems Inc. Common Stock</t>
  </si>
  <si>
    <t>ATAI Life Sciences N.V. Common Shares</t>
  </si>
  <si>
    <t>Aurora Technology Acquisition Corp. Class A Ordinary Shares</t>
  </si>
  <si>
    <t>Aurora Technology Acquisition Corp. Rights</t>
  </si>
  <si>
    <t>Aurora Technology Acquisition Corp. Unit</t>
  </si>
  <si>
    <t>Atour Lifestyle Holdings Limited American Depositary Shares</t>
  </si>
  <si>
    <t>Atlas Corp. 7.95% Series D</t>
  </si>
  <si>
    <t>Atlas Corp. 7.875% Series H</t>
  </si>
  <si>
    <t>Atlas Corp. 7.125% Notes due 2027</t>
  </si>
  <si>
    <t>Alphatec Holdings Inc. Common Stock</t>
  </si>
  <si>
    <t>Athena Technology Acquisition Corp. II Class A Common Stock</t>
  </si>
  <si>
    <t>A10 Networks Inc. Common Stock</t>
  </si>
  <si>
    <t>Aterian Inc. Common Stock</t>
  </si>
  <si>
    <t>Anterix Inc. Common Stock</t>
  </si>
  <si>
    <t>Adtalem Global Education Inc. Common Stock</t>
  </si>
  <si>
    <t>Alpha Technology Group Limited Ordinary Shares</t>
  </si>
  <si>
    <t>Athene Holding Ltd. Depositary Shares Each Representing a 1/1000th Interest in a 6.35% Fixed-to-Floating Rate Perpetual Non-Cumulative Preference Share Series A</t>
  </si>
  <si>
    <t>Athene Holding Ltd. Depositary Shares Each Representing a 1/1000th Interest in a 5.625% Fixed Rate Perpetual Non- Cumulative Preference Share Series B par value $1.00 per share</t>
  </si>
  <si>
    <t>Athene Holding Ltd. Depositary Shares each representing a 1/1000th Interest in a Share of 6.375% Fixed-Rate Reset Perpetual Non-Cumulative Preference Shares Series C</t>
  </si>
  <si>
    <t>Athene Holding Ltd. Depositary Shares Each Representing a 1/1000th Interest in a 4.875% Fixed-Rate Perpetual Non-Cumulative Preference Share Series D</t>
  </si>
  <si>
    <t>Athene Holding Ltd. Depositary Shares Each Representing a 1/1000th Interest in a 7.750% Fixed-Rate Reset Perpetual Non-Cumulative Preference Share Series E</t>
  </si>
  <si>
    <t>Athira Pharma Inc. Common Stock</t>
  </si>
  <si>
    <t>Alterity Therapeutics Limited American Depositary Shares</t>
  </si>
  <si>
    <t>Autohome Inc. American Depositary Shares each representing four class A ordinary shares.</t>
  </si>
  <si>
    <t>ATI Inc. Common Stock</t>
  </si>
  <si>
    <t>ATIF Holdings Limited Ordinary Shares</t>
  </si>
  <si>
    <t>ATI Physical Therapy Inc. Class A Common Stock</t>
  </si>
  <si>
    <t>Atkore Inc. Common Stock</t>
  </si>
  <si>
    <t>Atlanticus Holdings Corporation Common Stock</t>
  </si>
  <si>
    <t>Atlanticus Holdings Corporation 6.125% Senior Notes due 2026</t>
  </si>
  <si>
    <t>Atlanticus Holdings Corporation 7.625% Series B Cumulative Perpetual Preferred Stock no par value per share</t>
  </si>
  <si>
    <t>Ames National Corporation Common Stock</t>
  </si>
  <si>
    <t>Atlas Lithium Corporation Common Stock</t>
  </si>
  <si>
    <t>AlphaTime Acquisition Corp Ordinary Shares</t>
  </si>
  <si>
    <t>AlphaTime Acquisition Corp Right</t>
  </si>
  <si>
    <t>Atmus Filtration Technologies Inc. Common Stock</t>
  </si>
  <si>
    <t>180 Life Sciences Corp. Common Stock</t>
  </si>
  <si>
    <t>180 Life Sciences Corp. Warrant</t>
  </si>
  <si>
    <t>ATN International Inc. Common Stock</t>
  </si>
  <si>
    <t>Actinium Pharmaceuticals Inc. (Delaware) Common Stock</t>
  </si>
  <si>
    <t>Atmos Energy Corporation Common Stock</t>
  </si>
  <si>
    <t>Atomera Incorporated Common Stock</t>
  </si>
  <si>
    <t>Atossa Therapeutics Inc. Common Stock</t>
  </si>
  <si>
    <t>Agape ATP Corporation Common Stock</t>
  </si>
  <si>
    <t>AptarGroup Inc. Common Stock</t>
  </si>
  <si>
    <t>Atara Biotherapeutics Inc. Common Stock</t>
  </si>
  <si>
    <t>AtriCure Inc. Common Stock</t>
  </si>
  <si>
    <t>Atrion Corporation Common Stock</t>
  </si>
  <si>
    <t>Astronics Corporation Common Stock</t>
  </si>
  <si>
    <t>ATS Corporation Common Shares</t>
  </si>
  <si>
    <t>Air Transport Services Group Inc</t>
  </si>
  <si>
    <t>Altice USA Inc. Class A Common Stock</t>
  </si>
  <si>
    <t>Addentax Group Corp. Common Stock</t>
  </si>
  <si>
    <t>Avenue Therapeutics Inc. Common Stock</t>
  </si>
  <si>
    <t>Astria Therapeutics Inc. Common Stock</t>
  </si>
  <si>
    <t>AngloGold Ashanti PLC Ordinary Shares</t>
  </si>
  <si>
    <t>Atlantic Union Bankshares Corporation Common Stock</t>
  </si>
  <si>
    <t>Atlantic Union Bankshares Corporation Depositary Shares each representing a 1/400th ownership interest in a share of 6.875% Perpetual Non-Cumulative Preferred Stock Series A</t>
  </si>
  <si>
    <t>Auburn National Bancorporation Inc. Common Stock</t>
  </si>
  <si>
    <t>AudioCodes Ltd. Common Stock</t>
  </si>
  <si>
    <t>Augmedix Inc. Common Stock</t>
  </si>
  <si>
    <t>authID Inc. Common Stock</t>
  </si>
  <si>
    <t>Ault Alliance Inc. Common Stock</t>
  </si>
  <si>
    <t>Ault Alliance Inc. 13.00% Series D Cumulative Redeemable Perpetual Preferred Stock</t>
  </si>
  <si>
    <t>Golden Minerals Company Common Stock</t>
  </si>
  <si>
    <t>Aurinia Pharmaceuticals Inc Ordinary Shares</t>
  </si>
  <si>
    <t>Aurora Innovation Inc. Class A Common Stock</t>
  </si>
  <si>
    <t>Aura Biosciences Inc. Common Stock</t>
  </si>
  <si>
    <t>Aurora Innovation Inc. Warrant</t>
  </si>
  <si>
    <t>Austin Gold Corp. Common Shares</t>
  </si>
  <si>
    <t>Autolus Therapeutics plc American Depositary Share</t>
  </si>
  <si>
    <t>Auddia Inc. Common Stock</t>
  </si>
  <si>
    <t>Auddia Inc. Warrants</t>
  </si>
  <si>
    <t>Applied UV Inc. Common Stock</t>
  </si>
  <si>
    <t>Applied UV Inc. 10.5% Series A Cumulative Perpetual Preferred Stock $0.0001 par value per share</t>
  </si>
  <si>
    <t>Avista Corporation Common Stock</t>
  </si>
  <si>
    <t>Aveanna Healthcare Holdings Inc. Common Stock</t>
  </si>
  <si>
    <t>Grupo Aval Acciones y Valores S.A. ADR (Each representing 20 preferred shares)</t>
  </si>
  <si>
    <t>AeroVironment Inc. Common Stock</t>
  </si>
  <si>
    <t>AvalonBay Communities Inc. Common Stock</t>
  </si>
  <si>
    <t>American Vanguard Corporation Common Stock ($0.10 Par Value)</t>
  </si>
  <si>
    <t>Avadel Pharmaceuticals plc American Depositary Shares</t>
  </si>
  <si>
    <t>AvidXchange Holdings Inc. Common Stock</t>
  </si>
  <si>
    <t>Broadcom Inc. Common Stock</t>
  </si>
  <si>
    <t>Avinger Inc. Common Stock</t>
  </si>
  <si>
    <t>Achari Ventures Holdings Corp. I Common Stock</t>
  </si>
  <si>
    <t>Atea Pharmaceuticals Inc. Common Stock</t>
  </si>
  <si>
    <t>Advent Convertible and Income Fund</t>
  </si>
  <si>
    <t>Avanos Medical Inc. Common Stock</t>
  </si>
  <si>
    <t>Avient Corporation Common Stock</t>
  </si>
  <si>
    <t>Aviat Networks Inc. Common Stock</t>
  </si>
  <si>
    <t>Mission Produce Inc. Common Stock</t>
  </si>
  <si>
    <t>AvePoint Inc. Class A Common Stock</t>
  </si>
  <si>
    <t>AvePoint Inc. Warrant</t>
  </si>
  <si>
    <t>AVROBIO Inc. Common Stock</t>
  </si>
  <si>
    <t>Avnet Inc. Common Stock</t>
  </si>
  <si>
    <t>Aerovate Therapeutics Inc. Common Stock</t>
  </si>
  <si>
    <t>Avantor Inc. Common Stock</t>
  </si>
  <si>
    <t>Avalo Therapeutics Inc. Common Stock</t>
  </si>
  <si>
    <t>Anavex Life Sciences Corp. Common Stock</t>
  </si>
  <si>
    <t>Avery Dennison Corporation Common Stock</t>
  </si>
  <si>
    <t>Alliancebernstein Global High Income Fund</t>
  </si>
  <si>
    <t>Aspira Women's Health Inc. Common Stock</t>
  </si>
  <si>
    <t>Armstrong World Industries Inc Common Stock</t>
  </si>
  <si>
    <t>AERWINS Technologies Inc. Common Stock</t>
  </si>
  <si>
    <t>AERWINS Technologies Inc. Warrant</t>
  </si>
  <si>
    <t>American Water Works Company Inc. Common Stock</t>
  </si>
  <si>
    <t>abrdn Global Premier Properties Fund Common Shares of Beneficial Interest</t>
  </si>
  <si>
    <t>American States Water Company Common Stock</t>
  </si>
  <si>
    <t>Aware Inc. Common Stock</t>
  </si>
  <si>
    <t>Avalon Holdings Corporation Common Stock</t>
  </si>
  <si>
    <t>Axos Financial Inc. Common Stock</t>
  </si>
  <si>
    <t>Accelerate Diagnostics Inc. Common Stock</t>
  </si>
  <si>
    <t>Axogen Inc. Common Stock</t>
  </si>
  <si>
    <t>American Axle &amp; Manufacturing Holdings Inc. Common Stock</t>
  </si>
  <si>
    <t>Axonics Inc. Common Stock</t>
  </si>
  <si>
    <t>Axon Enterprise Inc. Common Stock</t>
  </si>
  <si>
    <t>American Express Company Common Stock</t>
  </si>
  <si>
    <t>AMREP Corporation Common Stock</t>
  </si>
  <si>
    <t>Axis Capital Holdings Limited Common Stock</t>
  </si>
  <si>
    <t>Axis Capital Holdings Limited Depositary Shares each representing 1/100th interest in a share of a 5.50% Series E Preferred Shares</t>
  </si>
  <si>
    <t>Axsome Therapeutics Inc. Common Stock</t>
  </si>
  <si>
    <t>Axalta Coating Systems Ltd. Common Shares</t>
  </si>
  <si>
    <t>AXT Inc Common Stock</t>
  </si>
  <si>
    <t>Atlantica Sustainable Infrastructure plc Ordinary Shares</t>
  </si>
  <si>
    <t xml:space="preserve">Acuity Brands Inc. </t>
  </si>
  <si>
    <t>AYRO Inc. Common Stock</t>
  </si>
  <si>
    <t>Aytu BioPharma Inc.  Common Stock</t>
  </si>
  <si>
    <t>Alteryx Inc. Class A Common Stock</t>
  </si>
  <si>
    <t>A2Z Smart Technologies Corp. Common Shares</t>
  </si>
  <si>
    <t>The AZEK Company Inc. Class A Common Stock</t>
  </si>
  <si>
    <t>AstraZeneca PLC American Depositary Shares</t>
  </si>
  <si>
    <t>AutoZone Inc. Common Stock</t>
  </si>
  <si>
    <t>Aspen Technology Inc. Common Stock</t>
  </si>
  <si>
    <t>Azenta Inc.</t>
  </si>
  <si>
    <t>Azitra Inc Common Stock</t>
  </si>
  <si>
    <t>Azul S.A. American Depositary Shares (each representing three preferred shares)</t>
  </si>
  <si>
    <t>AZZ Inc.</t>
  </si>
  <si>
    <t>Barnes Group Inc. Common Stock</t>
  </si>
  <si>
    <t>Boeing Company (The) Common Stock</t>
  </si>
  <si>
    <t>Alibaba Group Holding Limited American Depositary Shares each representing eight Ordinary share</t>
  </si>
  <si>
    <t>Bank of America Corporation Common Stock</t>
  </si>
  <si>
    <t>Bank of America Corporation Depositary Shares each representing a 1/1000th interest in a share of 6.000% Non-Cumulative Preferred Stock Series GG</t>
  </si>
  <si>
    <t>Bank of America Corporation Depositary Sh repstg 1/1000th Perp Pfd Ser E</t>
  </si>
  <si>
    <t>Bank of America Corporation Depositary Shares each representing a 1/1000th interest in a share of 5.875% Non- Cumulative Preferred Stock Series HH</t>
  </si>
  <si>
    <t>Bank of America Corporation Non Cumulative Perpetual Conv Pfd Ser L</t>
  </si>
  <si>
    <t>Bank of America Corporation Depositary Shares each representing a 1/1000th interest in a share of 5.375% Non-Cumulative Preferred Stock Series KK</t>
  </si>
  <si>
    <t>Bank of America Corporation Depositary shares each representing 1/1000th interest in a share of 5.000% Non-Cumulative Preferred Stock Series LL</t>
  </si>
  <si>
    <t>Bank of America Corporation Depositary shares each representing 1/1000th interest in a share of 4.375% Non-Cumulative Preferred Stock Series NN</t>
  </si>
  <si>
    <t>Bank of America Corporation Depositary Shares each representing a 1/1000th interest in a share of 4.125% Non-Cumulative Preferred Stock Series PP</t>
  </si>
  <si>
    <t>Bank of America Corporation Depositary shares each representing 1/1000th interest in a share of 4.250% Non-Cumulative Preferred Stock Series QQ</t>
  </si>
  <si>
    <t>Bank of America Corporation Depositary shares each representing 1/1000th interest in a share of 4.750% Non-Cumulative Preferred Stock Series SS</t>
  </si>
  <si>
    <t>Berenson Acquisition Corp. I Class A Common Stock</t>
  </si>
  <si>
    <t>IMAC Holdings Inc. Common Stock</t>
  </si>
  <si>
    <t>Bridger Aerospace Group Holdings Inc. Common Stock</t>
  </si>
  <si>
    <t>Bridger Aerospace Group Holdings Inc. Warrant</t>
  </si>
  <si>
    <t>BayFirst Financial Corp. Common Stock</t>
  </si>
  <si>
    <t>Booz Allen Hamilton Holding Corporation Common Stock</t>
  </si>
  <si>
    <t>Braskem SA ADR</t>
  </si>
  <si>
    <t>Ball Corporation Common Stock</t>
  </si>
  <si>
    <t>Bally's Corporation Common Stock</t>
  </si>
  <si>
    <t>Brookfield Asset Management Inc Class A Limited Voting Shares</t>
  </si>
  <si>
    <t>Banc of California Inc. Common Stock</t>
  </si>
  <si>
    <t>Banc of California Inc. Depositary Shares each representing a 1/40th interest in a share of 7.75% non-cumulative perpetual preferred stock Series F</t>
  </si>
  <si>
    <t>Bandwidth Inc. Class A Common Stock</t>
  </si>
  <si>
    <t>BancFirst Corporation Common Stock</t>
  </si>
  <si>
    <t>BancFirst Corporation - BFC Capital Trust II Cumulative Trust Preferred Securities</t>
  </si>
  <si>
    <t>CBL International Limited Ordinary Shares</t>
  </si>
  <si>
    <t>Banner Corporation Common Stock</t>
  </si>
  <si>
    <t>ArrowMark Financial Corp. Common Stock</t>
  </si>
  <si>
    <t>Baosheng Media Group Holdings Limited Ordinary shares</t>
  </si>
  <si>
    <t>Credicorp Ltd. Common Stock</t>
  </si>
  <si>
    <t>BARK Inc. Class A Common Stock</t>
  </si>
  <si>
    <t>Couchbase Inc. Common Stock</t>
  </si>
  <si>
    <t>Battalion Oil Corporation Common Stock</t>
  </si>
  <si>
    <t>Atlanta Braves Holdings Inc. Series A Common Stock</t>
  </si>
  <si>
    <t>Atlanta Braves Holdings Inc. Series C Common Stock</t>
  </si>
  <si>
    <t>Baxter International Inc. Common Stock</t>
  </si>
  <si>
    <t>Bayview Acquisition Corp Class A Ordinary Shares</t>
  </si>
  <si>
    <t>Bayview Acquisition Corp Right</t>
  </si>
  <si>
    <t>Bayview Acquisition Corp Unit</t>
  </si>
  <si>
    <t>BlackBerry Limited Common Stock</t>
  </si>
  <si>
    <t>BigBear.ai Inc. Common Stock</t>
  </si>
  <si>
    <t>Banco BBVA Argentina S.A. ADS</t>
  </si>
  <si>
    <t>Concrete Pumping Holdings Inc. Common Stock</t>
  </si>
  <si>
    <t>Banco Bradesco Sa American Depositary Shares</t>
  </si>
  <si>
    <t>Barings BDC Inc. Common Stock</t>
  </si>
  <si>
    <t>Banco Bradesco Sa American Depositary Shares (each representing one Common Share)</t>
  </si>
  <si>
    <t>Beasley Broadcast Group Inc. Class A Common Stock</t>
  </si>
  <si>
    <t>BridgeBio Pharma Inc. Common Stock</t>
  </si>
  <si>
    <t>Bone Biologics Corp Common Stock</t>
  </si>
  <si>
    <t>Bone Biologics Corp Warrants</t>
  </si>
  <si>
    <t>BlackRock Taxable Municipal Bond Trust Common Shares of Beneficial Interest</t>
  </si>
  <si>
    <t>Barrett Business Services Inc. Common Stock</t>
  </si>
  <si>
    <t xml:space="preserve">Brookfield Business Partners L.P. Limited Partnership Units </t>
  </si>
  <si>
    <t>Brookfield Business Corporation Class A Exchangeable Subordinate Voting Shares</t>
  </si>
  <si>
    <t>Banco Bilbao Vizcaya Argentaria S.A. Common Stock</t>
  </si>
  <si>
    <t>Build-A-Bear Workshop Inc. Common Stock</t>
  </si>
  <si>
    <t>Bath &amp; Body Works Inc.</t>
  </si>
  <si>
    <t>Best Buy Co. Inc. Common Stock</t>
  </si>
  <si>
    <t>Brunswick Corporation Common Stock</t>
  </si>
  <si>
    <t>Brunswick Corporation 6.500% Senior Notes due 2048</t>
  </si>
  <si>
    <t>Brunswick Corporation 6.625% Senior Notes due 2049</t>
  </si>
  <si>
    <t>Brunswick Corporation 6.375% Notes due 2049</t>
  </si>
  <si>
    <t>BioAtla Inc. Common Stock</t>
  </si>
  <si>
    <t>Southern California Bancorp Common Stock</t>
  </si>
  <si>
    <t>BYND Cannasoft Enterprises Inc. Common Stock</t>
  </si>
  <si>
    <t>BlackRock Capital Allocation Term Trust Common Shares of Beneficial Interest</t>
  </si>
  <si>
    <t>BCB Bancorp Inc. (NJ) Common Stock</t>
  </si>
  <si>
    <t>Boise Cascade L.L.C. Common Stock</t>
  </si>
  <si>
    <t>BioCardia Inc. Common Stock</t>
  </si>
  <si>
    <t>BioCardia Inc. Warrant</t>
  </si>
  <si>
    <t>BCE Inc. Common Stock</t>
  </si>
  <si>
    <t>Atreca Inc. Class A Common Stock</t>
  </si>
  <si>
    <t>Banco De Chile ADS</t>
  </si>
  <si>
    <t>Brainstorm Cell Therapeutics Inc. Common Stock</t>
  </si>
  <si>
    <t>BayCom Corp Common Stock</t>
  </si>
  <si>
    <t>Brinks Company (The) Common Stock</t>
  </si>
  <si>
    <t>Brightcove Inc. Common Stock</t>
  </si>
  <si>
    <t>1895 Bancorp of Wisconsin Inc. (MD) Common Stock</t>
  </si>
  <si>
    <t>Balchem Corporation Common Stock</t>
  </si>
  <si>
    <t>BioCryst Pharmaceuticals Inc. Common Stock</t>
  </si>
  <si>
    <t>Barclays PLC Common Stock</t>
  </si>
  <si>
    <t>Blockchain Coinvestors Acquisition Corp. I Class A Ordinary Shares</t>
  </si>
  <si>
    <t>Blockchain Coinvestors Acquisition Corp. I Unit</t>
  </si>
  <si>
    <t>Blockchain Coinvestors Acquisition Corp. I Warrant</t>
  </si>
  <si>
    <t>Bain Capital Specialty Finance Inc. Common Stock</t>
  </si>
  <si>
    <t>BriaCell Therapeutics Corp. Common Shares</t>
  </si>
  <si>
    <t>BriaCell Therapeutics Corp. Warrant</t>
  </si>
  <si>
    <t>Bancroft Fund Ltd.</t>
  </si>
  <si>
    <t>Bancroft Fund Limited 5.375% Series A Cumulative Preferred Shares</t>
  </si>
  <si>
    <t>BlackRock Resources Common Shares of Beneficial Interest</t>
  </si>
  <si>
    <t>Bicycle Therapeutics plc American Depositary Shares</t>
  </si>
  <si>
    <t>Belden Inc Common Stock</t>
  </si>
  <si>
    <t>Blackrock Enhanced Equity Dividend Trust</t>
  </si>
  <si>
    <t>Flanigan's Enterprises Inc. Common Stock</t>
  </si>
  <si>
    <t>Brandywine Realty Trust Common Stock</t>
  </si>
  <si>
    <t>Biodexa Pharmaceuticals plc American Depositary Shs</t>
  </si>
  <si>
    <t>Biodesix Inc. Common Stock</t>
  </si>
  <si>
    <t>Black Diamond Therapeutics Inc. Common Stock</t>
  </si>
  <si>
    <t>Becton Dickinson and Company Common Stock</t>
  </si>
  <si>
    <t>Bloom Energy Corporation Class A Common Stock</t>
  </si>
  <si>
    <t>Beam Therapeutics Inc. Common Stock</t>
  </si>
  <si>
    <t>Heartbeam Inc. Common Stock</t>
  </si>
  <si>
    <t>Heartbeam Inc. Warrant</t>
  </si>
  <si>
    <t>Beacon Roofing Supply Inc. Common Stock</t>
  </si>
  <si>
    <t>Bright Scholar Education Holdings Limited American Depositary Shares each  representing four Class A Ordinary Share</t>
  </si>
  <si>
    <t>Beam Global Common Stock</t>
  </si>
  <si>
    <t>Beam Global Warrant</t>
  </si>
  <si>
    <t>Mobile Infrastructure Corporation Common Stock</t>
  </si>
  <si>
    <t>KE Holdings Inc American Depositary Shares (each representing three Class A Ordinary Shares)</t>
  </si>
  <si>
    <t>Bel Fuse Inc. Class A Common Stock</t>
  </si>
  <si>
    <t>Bel Fuse Inc. Class B Common Stock</t>
  </si>
  <si>
    <t>Franklin Resources Inc. Common Stock</t>
  </si>
  <si>
    <t>Beneficient Class A Common Stock</t>
  </si>
  <si>
    <t>Beneficient Warrant</t>
  </si>
  <si>
    <t xml:space="preserve">Brookfield Renewable Partners L.P. </t>
  </si>
  <si>
    <t>Brookfield Renewable Partners L.P. 5.25% Class A Preferred Limited Partnership Units Series 17</t>
  </si>
  <si>
    <t xml:space="preserve">Brookfield Renewable Corporation Class A Subordinate Voting Shares </t>
  </si>
  <si>
    <t>Brookfield BRP Holdings (Canada) Inc. 4.625% Perpetual Subordinated Notes</t>
  </si>
  <si>
    <t>Brookfield BRP Holdings (Canada) Inc. 4.875% Perpetual Subordinated Notes</t>
  </si>
  <si>
    <t>Berry Global Group Inc. Common Stock</t>
  </si>
  <si>
    <t>BEST Inc. American Depositary Shares each representing twenty (20) Class A Ordinary Shares</t>
  </si>
  <si>
    <t>Better Home &amp; Finance Holding Company Class A Common Stock</t>
  </si>
  <si>
    <t>Better Home &amp; Finance Holding Company Warrant</t>
  </si>
  <si>
    <t>Bit Brother Limited Class A Ordinary Shares</t>
  </si>
  <si>
    <t>Brown Forman Corporation</t>
  </si>
  <si>
    <t>Battery Future Acquisition Corp. Class A Ordinary Shares</t>
  </si>
  <si>
    <t>Bright Horizons Family Solutions Inc. Common Stock</t>
  </si>
  <si>
    <t>Bank First Corporation Common Stock</t>
  </si>
  <si>
    <t>Bread Financial Holdings Inc. Common Stock</t>
  </si>
  <si>
    <t xml:space="preserve">BurgerFi International Inc. Common Stock </t>
  </si>
  <si>
    <t xml:space="preserve">BurgerFi International Inc. Warrant </t>
  </si>
  <si>
    <t>BankFinancial Corporation Common Stock</t>
  </si>
  <si>
    <t>BlackRock Municipal Income Trust</t>
  </si>
  <si>
    <t>Butterfly Network Inc. Class A Common Stock</t>
  </si>
  <si>
    <t>Bullfrog AI Holdings Inc. Common Stock</t>
  </si>
  <si>
    <t>Bullfrog AI Holdings Inc. Warrants</t>
  </si>
  <si>
    <t>Biofrontera Inc. Common Stock</t>
  </si>
  <si>
    <t>Biofrontera Inc. Warrants</t>
  </si>
  <si>
    <t>Saul Centers Inc. Common Stock</t>
  </si>
  <si>
    <t>Saul Centers Inc. Depositary Shares each representing 1/100th of a share of 6.125% Series D Cumulative Redeemable Preferred Stock</t>
  </si>
  <si>
    <t>Saul Centers Inc. Depositary shares each representing a 1/100th fractional interest in a share of 6.000% Series E Cumulative Redeemable Preferred Stock</t>
  </si>
  <si>
    <t>Business First Bancshares Inc. Common Stock</t>
  </si>
  <si>
    <t>BowFlex Inc. Common Stock</t>
  </si>
  <si>
    <t>BlackRock California Municipal Income Trust</t>
  </si>
  <si>
    <t>Bunge Limited Common Shares</t>
  </si>
  <si>
    <t>Blackstone Strategic Credit 2027 Term Fund Common Shares of Beneficial Interest</t>
  </si>
  <si>
    <t>BGC Group Inc. Class A Common Stock</t>
  </si>
  <si>
    <t>Big 5 Sporting Goods Corporation Common Stock</t>
  </si>
  <si>
    <t>Barings Global Short Duration High Yield Fund Common Shares of Beneficial Interests</t>
  </si>
  <si>
    <t>Birks Group Inc. Common Stock</t>
  </si>
  <si>
    <t>BioNexus Gene Lab Corp Common stock</t>
  </si>
  <si>
    <t>BeiGene Ltd. American Depositary Shares</t>
  </si>
  <si>
    <t>BlackRock Energy and Resources Trust</t>
  </si>
  <si>
    <t>B&amp;G Foods Inc. Common Stock</t>
  </si>
  <si>
    <t>BGSF Inc. Common Stock</t>
  </si>
  <si>
    <t>BlackRock Floating Rate Income Trust</t>
  </si>
  <si>
    <t>Blackstone Long Short Credit Income Fund Common Shares</t>
  </si>
  <si>
    <t>Bright Green Corporation Common Stock</t>
  </si>
  <si>
    <t>Blackrock Enhanced International Dividend Trust</t>
  </si>
  <si>
    <t>Biglari Holdings Inc. Class B Common Stock</t>
  </si>
  <si>
    <t>Focus Impact BH3 Acquisition Company Class A Common Stock</t>
  </si>
  <si>
    <t>Focus Impact BH3 Acquisition Company Warrants</t>
  </si>
  <si>
    <t>Blue Hat Interactive Entertainment Technology Ordinary Shares</t>
  </si>
  <si>
    <t>Bar Harbor Bankshares Inc. Common Stock</t>
  </si>
  <si>
    <t>Bausch Health Companies Inc. Common Stock</t>
  </si>
  <si>
    <t>Benchmark Electronics Inc. Common Stock</t>
  </si>
  <si>
    <t>Brighthouse Financial Inc. Common Stock</t>
  </si>
  <si>
    <t>Brighthouse Financial Inc. 6.25% Junior Subordinated Debentures due 2058</t>
  </si>
  <si>
    <t>Brighthouse Financial Inc. Depositary shares each representing a 1/1000th Interest in a Share of 4.625% Non-Cumulative Preferred Stock Series D</t>
  </si>
  <si>
    <t>Brighthouse Financial Inc. Depositary shares each representing a 1/1000th interest in a share of 5.375% Non-Cumulative Preferred Stock Series C</t>
  </si>
  <si>
    <t>Brighthouse Financial Inc. Depositary Shares 6.75% Non-Cumulative Preferred Stock Series B</t>
  </si>
  <si>
    <t>Brighthouse Financial Inc. Depositary Shares 6.6% Non-Cumulative Preferred Stock Series A</t>
  </si>
  <si>
    <t>Bright Health Group Inc. Common Stock</t>
  </si>
  <si>
    <t>Benson Hill Inc. Common Stock</t>
  </si>
  <si>
    <t>Blackrock Core Bond Trust</t>
  </si>
  <si>
    <t>Berkshire Hills Bancorp Inc. Common Stock</t>
  </si>
  <si>
    <t>Bluerock Homes Trust Inc. Class A Common Stock</t>
  </si>
  <si>
    <t>BHP Group Limited American Depositary Shares (Each representing two Ordinary Shares)</t>
  </si>
  <si>
    <t>Braemar Hotels &amp; Resorts Inc. Common Stock</t>
  </si>
  <si>
    <t>Braemar Hotels &amp; Resorts Inc. 5.50% Series B Cumulative Convertible Preferred Stock par value $0.01 per share</t>
  </si>
  <si>
    <t>Braemar Hotels &amp; Resorts Inc. 8.25% Series D Cumulative Preferred Stock  par value $0.01 per share</t>
  </si>
  <si>
    <t>Burke &amp; Herbert Financial Services Corp. Common Stock</t>
  </si>
  <si>
    <t>BlackRock Virginia Municipal Bond Trust</t>
  </si>
  <si>
    <t xml:space="preserve">Biohaven Ltd. Common Shares </t>
  </si>
  <si>
    <t>bioAffinity Technologies Inc. Common Stock</t>
  </si>
  <si>
    <t>bioAffinity Technologies Inc. Warrant</t>
  </si>
  <si>
    <t>Baidu Inc. ADS</t>
  </si>
  <si>
    <t>Big Lots Inc. Common Stock</t>
  </si>
  <si>
    <t>BigCommerce Holdings Inc. Series 1 Common Stock</t>
  </si>
  <si>
    <t>BlackRock Innovation and Growth Term Trust Common Shares of Beneficial Interest</t>
  </si>
  <si>
    <t>Biogen Inc. Common Stock</t>
  </si>
  <si>
    <t>Bilibili Inc. American Depositary Shares</t>
  </si>
  <si>
    <t>BILL Holdings Inc. Common Stock</t>
  </si>
  <si>
    <t>BIMI International Medical Inc. Common Stock</t>
  </si>
  <si>
    <t>Bio-Rad Laboratories Inc. Class A Common Stock</t>
  </si>
  <si>
    <t>Bio-Rad Laboratories Inc.</t>
  </si>
  <si>
    <t>Biolase Inc. Common Stock</t>
  </si>
  <si>
    <t>Biora Therapeutics Inc. Common Stock</t>
  </si>
  <si>
    <t>Bioceres Crop Solutions Corp. Ordinary Shares</t>
  </si>
  <si>
    <t>Brookfield Infrastructure Partners LP Limited Partnership Units</t>
  </si>
  <si>
    <t>Brookfield Infrastructure Partners LP 5.125% Class A Preferred Limited Partnership Units Series 13</t>
  </si>
  <si>
    <t>Brookfield Infrastructure Partners LP 5.000% Class A Preferred Limited Partnership Units Series 14</t>
  </si>
  <si>
    <t xml:space="preserve">Brookfield Infrastructure Corporation </t>
  </si>
  <si>
    <t>Brookfield Infrastructure Corporation 5.000% Subordinated Notes due 2081</t>
  </si>
  <si>
    <t>BIP Bermuda Holdings I Limited 5.125% Perpetual Subordinated Notes</t>
  </si>
  <si>
    <t>Allbirds Inc. Class A Common Stock</t>
  </si>
  <si>
    <t>Birkenstock Holding plc Ordinary Shares</t>
  </si>
  <si>
    <t>BlackRock Multi-Sector Income Trust Common Shares of Beneficial Interest</t>
  </si>
  <si>
    <t>Bite Acquisition Corp. Common Stock</t>
  </si>
  <si>
    <t>Bitfarms Ltd. Common Stock</t>
  </si>
  <si>
    <t>BioVie Inc. Class A Common Stock</t>
  </si>
  <si>
    <t>BJ's Wholesale Club Holdings Inc. Common Stock</t>
  </si>
  <si>
    <t>Bluejay Diagnostics Inc. Common Stock</t>
  </si>
  <si>
    <t>BJ's Restaurants Inc. Common Stock</t>
  </si>
  <si>
    <t>The Bank of New York Mellon Corporation Common Stock</t>
  </si>
  <si>
    <t>BlackRock Capital Investment Corporation Common Stock</t>
  </si>
  <si>
    <t>Brookdale Senior Living Inc. Common Stock</t>
  </si>
  <si>
    <t>Brookdale Senior Living Inc. 7.00% Tangible Equity Units</t>
  </si>
  <si>
    <t>Buckle Inc. (The) Common Stock</t>
  </si>
  <si>
    <t>Black Hills Corporation Common Stock</t>
  </si>
  <si>
    <t>Bakkt Holdings Inc. Class A Common Stock</t>
  </si>
  <si>
    <t>BlackRock Investment Quality Municipal Trust Inc. (The)</t>
  </si>
  <si>
    <t>Booking Holdings Inc. Common Stock</t>
  </si>
  <si>
    <t>Baker Hughes Company Class A Common Stock</t>
  </si>
  <si>
    <t>BlackSky Technology Inc. Class A Common Stock</t>
  </si>
  <si>
    <t>BlackRock Income Trust Inc. (The)</t>
  </si>
  <si>
    <t>BK Technologies Corporation Common Stock</t>
  </si>
  <si>
    <t>BankUnited Inc. Common Stock</t>
  </si>
  <si>
    <t>BIO-key International Inc. Common Stock</t>
  </si>
  <si>
    <t>BlackLine Inc. Common Stock</t>
  </si>
  <si>
    <t>Bellevue Life Sciences Acquisition Corp. Common Stock</t>
  </si>
  <si>
    <t>Bellevue Life Sciences Acquisition Corp. Rights</t>
  </si>
  <si>
    <t>Blue Bird Corporation Common Stock</t>
  </si>
  <si>
    <t>Blackboxstocks Inc. Common Stock</t>
  </si>
  <si>
    <t>Bausch + Lomb Corporation Common Shares</t>
  </si>
  <si>
    <t>TopBuild Corp. Common Stock</t>
  </si>
  <si>
    <t>Blade Air Mobility Inc. Class A Common Stock</t>
  </si>
  <si>
    <t>Blade Air Mobility Inc. Warrants</t>
  </si>
  <si>
    <t>Ballard Power Systems Inc. Common Shares</t>
  </si>
  <si>
    <t>Builders FirstSource Inc. Common Stock</t>
  </si>
  <si>
    <t>BlackRock Municipal Income Trust II</t>
  </si>
  <si>
    <t>bleuacacia ltd Class A Ordinary Shares</t>
  </si>
  <si>
    <t>bleuacacia ltd Rights</t>
  </si>
  <si>
    <t>bleuacacia ltd Warrants</t>
  </si>
  <si>
    <t>BioLife Solutions Inc. Common Stock</t>
  </si>
  <si>
    <t>Blue Foundry Bancorp Common Stock</t>
  </si>
  <si>
    <t>Bridgeline Digital Inc. Common Stock</t>
  </si>
  <si>
    <t>BlackRock Inc. Common Stock</t>
  </si>
  <si>
    <t>Blackbaud Inc. Common Stock</t>
  </si>
  <si>
    <t>Bloomin' Brands Inc. Common Stock</t>
  </si>
  <si>
    <t>Blend Labs Inc. Class A Common Stock</t>
  </si>
  <si>
    <t>Blink Charging Co. Common Stock</t>
  </si>
  <si>
    <t>BioLineRx Ltd. American Depositary Shares</t>
  </si>
  <si>
    <t>Belite Bio Inc American Depositary Shares</t>
  </si>
  <si>
    <t>BlueRiver Acquisition Corp. Class A Ordinary Shares</t>
  </si>
  <si>
    <t>bluebird bio Inc. Common Stock</t>
  </si>
  <si>
    <t>Blackrock Limited Duration Income Trust</t>
  </si>
  <si>
    <t>Banco Latinoamericano de Comercio Exterior S.A.</t>
  </si>
  <si>
    <t>Backblaze Inc. Class A Common Stock</t>
  </si>
  <si>
    <t>Banco Macro S.A.  ADR (representing Ten Class B Common Shares)</t>
  </si>
  <si>
    <t>Bumble Inc. Class A Common Stock</t>
  </si>
  <si>
    <t>Blackrock Health Sciences Trust</t>
  </si>
  <si>
    <t>Biomea Fusion Inc. Common Stock</t>
  </si>
  <si>
    <t>BlackRock Health Sciences Term Trust Common Shares of Beneficial Interest</t>
  </si>
  <si>
    <t>Badger Meter Inc. Common Stock</t>
  </si>
  <si>
    <t>Bank of America Corporation Depositary Shares (Each representing a 1/1200th interest in a share of Floating Rate Non-Cumulative Preferred Stock  Series 1)</t>
  </si>
  <si>
    <t>Bank of America Corporation Depositary Shares (Each representing a 1/1200th interest in a Share of Floating Rate Non-Cumulative Preferred Stock Series 2)</t>
  </si>
  <si>
    <t>Bank of America Corporation Depositary Shares (Each representing a 1/1200th interest in a Share of Floating Rate Non-Cumulative Preferred Stock Series 4)</t>
  </si>
  <si>
    <t>Bank of America Corporation Depositary Shares (Each representing a 1/1200th Interest in a Share of Floating Rate Non-Cumulative Preferred Stock Series 5)</t>
  </si>
  <si>
    <t>BlackRock 2037 Municipal Target Term Trust Common Shares of Beneficial Interest</t>
  </si>
  <si>
    <t>Bank Of Montreal Common Stock</t>
  </si>
  <si>
    <t>Beamr Imaging Ltd. Ordinary Share</t>
  </si>
  <si>
    <t>Biomerica Inc. Common Stock</t>
  </si>
  <si>
    <t>Bank of Marin Bancorp Common Stock</t>
  </si>
  <si>
    <t>BioMarin Pharmaceutical Inc. Common Stock</t>
  </si>
  <si>
    <t>BM Technologies Inc. Common Stock</t>
  </si>
  <si>
    <t>Bristol-Myers Squibb Company Common Stock</t>
  </si>
  <si>
    <t>Brookfield Corporation Class A Limited Voting Shares</t>
  </si>
  <si>
    <t>Barnes &amp; Noble Education Inc Common Stock</t>
  </si>
  <si>
    <t>Bionano Genomics Inc. Common Stock</t>
  </si>
  <si>
    <t>Brookfield Finance Inc. 4.625% Subordinated Notes due October 16 2080</t>
  </si>
  <si>
    <t>Bannix Acquisition Corp. Common Stock</t>
  </si>
  <si>
    <t>Bannix Acquisition Corp. Warrant</t>
  </si>
  <si>
    <t>Brookfield Finance Inc. 4.50% Perpetual Subordinated Notes</t>
  </si>
  <si>
    <t>Broadstone Net Lease Inc. Common Stock</t>
  </si>
  <si>
    <t>Bionomics Limited American Depository Shares</t>
  </si>
  <si>
    <t>Burning Rock Biotech Limited American Depositary Shares</t>
  </si>
  <si>
    <t>Brookfield Reinsurance Ltd. Class A Exchangeable Limited Voting Shares</t>
  </si>
  <si>
    <t>Brenmiller Energy Ltd Ordinary Shares</t>
  </si>
  <si>
    <t>Bank Nova Scotia Halifax Pfd 3 Ordinary Shares</t>
  </si>
  <si>
    <t>Benitec Biopharma Inc. Common Stock</t>
  </si>
  <si>
    <t>BioNTech SE American Depositary Share</t>
  </si>
  <si>
    <t>BlackRock New York Municipal Income Trust</t>
  </si>
  <si>
    <t>Banzai International Inc. Class A Common Stock</t>
  </si>
  <si>
    <t>Banzai International Inc. Warrant</t>
  </si>
  <si>
    <t>Boston Omaha Corporation Class A Common Stock</t>
  </si>
  <si>
    <t>Blue Ocean Acquisition Corp Class A Ordinary Shares</t>
  </si>
  <si>
    <t>Blue Ocean Acquisition Corp Warrants</t>
  </si>
  <si>
    <t>The Beachbody Company Inc. Class A Common Stock</t>
  </si>
  <si>
    <t>Blackrock Enhanced Global Dividend Trust Common Shares of Beneficial Interest</t>
  </si>
  <si>
    <t>BranchOut Food Inc. Common Stock</t>
  </si>
  <si>
    <t>Bank of Hawaii Corporation Common Stock</t>
  </si>
  <si>
    <t>Bank of Hawaii Corporation Depositary Shares Each Representing a 1/40th Interest in a Share of 4.375% Fixed Rate Non-Cumulative Perpetual Preferred Stock Series A</t>
  </si>
  <si>
    <t>BOK Financial Corporation Common Stock</t>
  </si>
  <si>
    <t>Bolt Biotherapeutics Inc. Common Stock</t>
  </si>
  <si>
    <t>Bon Natural Life Limited Ordinary Shares</t>
  </si>
  <si>
    <t>DMC Global Inc. Common Stock</t>
  </si>
  <si>
    <t>Boot Barn Holdings Inc. Common Stock</t>
  </si>
  <si>
    <t>Borr Drilling Limited Common Shares</t>
  </si>
  <si>
    <t>B.O.S. Better Online Solutions Common Stock</t>
  </si>
  <si>
    <t>Bank of the James Financial Group Inc. Common Stock</t>
  </si>
  <si>
    <t>Bowlero Corp. Class A Common Stock</t>
  </si>
  <si>
    <t>Bowen Acquisition Corp Ordinary Shares</t>
  </si>
  <si>
    <t>Box Inc. Class A Common Stock</t>
  </si>
  <si>
    <t>Boxlight Corporation Class A Common Stock</t>
  </si>
  <si>
    <t>BP p.l.c. Common Stock</t>
  </si>
  <si>
    <t>Blueprint Medicines Corporation Common Stock</t>
  </si>
  <si>
    <t>Popular Inc. Common Stock</t>
  </si>
  <si>
    <t>Popular Inc. Popular Capital Trust II - 6.125% Cumulative Monthly Income Trust Preferred Securities</t>
  </si>
  <si>
    <t>Princeton Bancorp Inc. Common Stock (PA)</t>
  </si>
  <si>
    <t>BP Prudhoe Bay Royalty Trust Common Stock</t>
  </si>
  <si>
    <t>Bio-Path Holdings Inc. Common Stock</t>
  </si>
  <si>
    <t>Biophytis SA American Depositary Share (0.01 Euro)</t>
  </si>
  <si>
    <t>Brookfield Property Partners L.P. 6.25% Class A Cumulative Redeemable Preferred Units Series 1</t>
  </si>
  <si>
    <t>Brookfield Property Partners L.P. 5.750% Class A Cumulative Redeemable Perpetual Preferred Units Series 3</t>
  </si>
  <si>
    <t>Brookfield Property Partners L.P. 6.375% Class A Cumulative Redeemable Perpetual Preferred Units Series 2</t>
  </si>
  <si>
    <t>Brookfield Property Partners L.P. 6.50% Class A Cumulative Redeemable Perpetual Preferred Units</t>
  </si>
  <si>
    <t>Boqii Holding Limited American Depositary Shares representing Class A Ordinary Shares</t>
  </si>
  <si>
    <t>Broadridge Financial Solutions Inc. Common Stock</t>
  </si>
  <si>
    <t>Broad Capital Acquisition Corp Common Stock</t>
  </si>
  <si>
    <t>Broad Capital Acquisition Corp Rights</t>
  </si>
  <si>
    <t>Bragg Gaming Group Inc. Common Shares</t>
  </si>
  <si>
    <t xml:space="preserve">BellRing Brands Inc. Common Stock </t>
  </si>
  <si>
    <t>Blue Ridge Bankshares Inc. Common Stock</t>
  </si>
  <si>
    <t>Brady Corporation Common Stock</t>
  </si>
  <si>
    <t>BRC Inc. Class A Common Stock</t>
  </si>
  <si>
    <t>Bridge Investment Group Holdings Inc. Class A Common Stock</t>
  </si>
  <si>
    <t>Brera Holdings PLC Class B Ordinary Shares</t>
  </si>
  <si>
    <t>Breeze Holdings Acquisition Corp. Common Stock</t>
  </si>
  <si>
    <t>Breeze Holdings Acquisition Corp. Right</t>
  </si>
  <si>
    <t>Breeze Holdings Acquisition Corp. Warrant</t>
  </si>
  <si>
    <t>Barfresh Food Group Inc. Common Stock</t>
  </si>
  <si>
    <t>BRF S.A.</t>
  </si>
  <si>
    <t>Bridgford Foods Corporation Common Stock</t>
  </si>
  <si>
    <t>Berkshire Hathaway Inc.</t>
  </si>
  <si>
    <t>BurTech Acquisition Corp. Class A Common Stock</t>
  </si>
  <si>
    <t>BurTech Acquisition Corp. Warrants</t>
  </si>
  <si>
    <t>Brookline Bancorp Inc. Common Stock</t>
  </si>
  <si>
    <t>Bruker Corporation Common Stock</t>
  </si>
  <si>
    <t>Brilliant Earth Group Inc. Class A Common Stock</t>
  </si>
  <si>
    <t>Barnwell Industries Inc. Common Stock</t>
  </si>
  <si>
    <t>Barinthus Biotherapeutics plc American Depositary Shares</t>
  </si>
  <si>
    <t>Brown &amp; Brown Inc. Common Stock</t>
  </si>
  <si>
    <t>Brooge Energy Limited Ordinary Shares</t>
  </si>
  <si>
    <t>Brooge Holdings Limited Warrant expiring 12/20/2024</t>
  </si>
  <si>
    <t>Dutch Bros Inc. Class A Common Stock</t>
  </si>
  <si>
    <t>BRP Group Inc. (Insurance Company) Class A Common Stock</t>
  </si>
  <si>
    <t>Bruush Oral Care Inc. Common Stock</t>
  </si>
  <si>
    <t>Bruush Oral Care Inc. Warrant</t>
  </si>
  <si>
    <t>BrightSpire Capital Inc. Class A Common Stock</t>
  </si>
  <si>
    <t>BRT Apartments Corp. (MD) Common Stock</t>
  </si>
  <si>
    <t>BioRestorative Therapies Inc. Common Stock (NV)</t>
  </si>
  <si>
    <t>Saba Capital Income &amp; Opportunities Fund SBI</t>
  </si>
  <si>
    <t>Brixmor Property Group Inc. Common Stock</t>
  </si>
  <si>
    <t>Berry Corporation (bry) Common Stock</t>
  </si>
  <si>
    <t>Braze Inc. Class A Common Stock</t>
  </si>
  <si>
    <t>Banco Santander - Chile ADS</t>
  </si>
  <si>
    <t>Bogota Financial Corp. Common Stock</t>
  </si>
  <si>
    <t>Banco Santander Brasil SA American Depositary Shares each representing one unit</t>
  </si>
  <si>
    <t>Bassett Furniture Industries Incorporated Common Stock</t>
  </si>
  <si>
    <t>Blue Star Foods Corp. Common Stock</t>
  </si>
  <si>
    <t>BioSig Technologies Inc. Common Stock</t>
  </si>
  <si>
    <t>BrightSphere Investment Group Inc. Common Stock</t>
  </si>
  <si>
    <t>Blackstone Senior Floating Rate 2027 Term Fund Common Shares of Beneficial Interest</t>
  </si>
  <si>
    <t>Black Stone Minerals L.P. Common units representing limited partner interests</t>
  </si>
  <si>
    <t>Sierra Bancorp Common Stock</t>
  </si>
  <si>
    <t>BlackRock Science and Technology Trust Common Shares of Beneficial Interest</t>
  </si>
  <si>
    <t>BlackRock Science and Technology Term Trust Common Shares of Beneficial Interest</t>
  </si>
  <si>
    <t>Bank7 Corp. Common stock</t>
  </si>
  <si>
    <t>Boston Scientific Corporation Common Stock</t>
  </si>
  <si>
    <t>Bentley Systems Incorporated Class B Common Stock</t>
  </si>
  <si>
    <t>BlackRock Long-Term Municipal Advantage Trust Common Shares of Beneficial Interest</t>
  </si>
  <si>
    <t>BioXcel Therapeutics Inc. Common Stock</t>
  </si>
  <si>
    <t>BT Brands Inc. Common Stock</t>
  </si>
  <si>
    <t>BT Brands Inc. Warrant</t>
  </si>
  <si>
    <t>Bit Digital Inc. Ordinary Shares</t>
  </si>
  <si>
    <t>BIT Mining Limited ADS</t>
  </si>
  <si>
    <t>BTCS Inc. Common Stock</t>
  </si>
  <si>
    <t>BTC Digital Ltd. Ordinary Shares</t>
  </si>
  <si>
    <t>BTC Digital Ltd. Warrant</t>
  </si>
  <si>
    <t>Biotricity Inc. Common Stock</t>
  </si>
  <si>
    <t>Bitdeer Technologies Group Class A Ordinary Shares</t>
  </si>
  <si>
    <t>Baytex Energy Corp Common Shares</t>
  </si>
  <si>
    <t>B2Gold Corp Common shares (Canada)</t>
  </si>
  <si>
    <t>British American Tobacco  Industries p.l.c. Common Stock ADR</t>
  </si>
  <si>
    <t>Bitcoin Depot Inc. Class A Common Stock</t>
  </si>
  <si>
    <t>Biote Corp. Class A Common Stock</t>
  </si>
  <si>
    <t>Bitcoin Depot Inc. Warrant</t>
  </si>
  <si>
    <t>John Hancock Financial Opportunities Fund Common Stock</t>
  </si>
  <si>
    <t>Bit Origin Limited Ordinary Shares</t>
  </si>
  <si>
    <t>BlackRock Municipal 2030 Target Term Trust</t>
  </si>
  <si>
    <t>Better Choice Company Inc. Common Stock</t>
  </si>
  <si>
    <t>Better Therapeutics Inc. Common Stock</t>
  </si>
  <si>
    <t xml:space="preserve">Peabody Energy Corporation Common Stock </t>
  </si>
  <si>
    <t>BlackRock Credit Allocation Income Trust</t>
  </si>
  <si>
    <t>Anheuser-Busch Inbev SA Sponsored ADR (Belgium)</t>
  </si>
  <si>
    <t>BlackRock Utility Infrastructure &amp; Power Opportunities Trust</t>
  </si>
  <si>
    <t>Bukit Jalil Global Acquisition 1 Ltd. Ordinary Shares</t>
  </si>
  <si>
    <t>Burford Capital Limited Ordinary Shares</t>
  </si>
  <si>
    <t>Burlington Stores Inc. Common Stock</t>
  </si>
  <si>
    <t>Nuburu Inc. Common Stock</t>
  </si>
  <si>
    <t>First Busey Corporation Class A Common Stock</t>
  </si>
  <si>
    <t>BrightView Holdings Inc. Common Stock</t>
  </si>
  <si>
    <t>BV Financial Inc. Common Stock</t>
  </si>
  <si>
    <t>Bluegreen Vacations Holding Corporation Class A Common Stock</t>
  </si>
  <si>
    <t>Buenaventura Mining Company Inc.</t>
  </si>
  <si>
    <t>Bioventus Inc. Class A Common Stock</t>
  </si>
  <si>
    <t>Babcock &amp; Wilcox Enterprises Inc. Common Stock</t>
  </si>
  <si>
    <t>Babcock &amp; Wilcox Enterprises Inc. 7.75% Series A Cumulative Perpetual Preferred Stock</t>
  </si>
  <si>
    <t>BorgWarner Inc. Common Stock</t>
  </si>
  <si>
    <t>Blue World Acquisition Corporation Class A Ordinary Shares</t>
  </si>
  <si>
    <t>BrainsWay Ltd. American Depositary Shares</t>
  </si>
  <si>
    <t>Bridgewater Bancshares Inc. Common Stock</t>
  </si>
  <si>
    <t>Bridgewater Bancshares Inc. Depositary Shares Each Representing a 1/100th Interest in a Share of 5.875% Non-Cumulative Perpetual Preferred Stock Series A</t>
  </si>
  <si>
    <t>Broadwind Inc. Common Stock</t>
  </si>
  <si>
    <t>Bankwell Financial Group Inc. Common Stock</t>
  </si>
  <si>
    <t>BrandywineGLOBAL Global Income Opportunities Fund Inc.</t>
  </si>
  <si>
    <t>Bowman Consulting Group Ltd. Common Stock</t>
  </si>
  <si>
    <t>Betterware de Mexico S.A.P.I. de C.V. Ordinary Shares</t>
  </si>
  <si>
    <t>Babcock &amp; Wilcox Enterprises Inc. 6.50% Senior Notes due 2026</t>
  </si>
  <si>
    <t>Babcock &amp; Wilcox Enterprises Inc. 8.125% Senior Notes due 2026</t>
  </si>
  <si>
    <t>BWX Technologies Inc. Common Stock</t>
  </si>
  <si>
    <t>Blackstone Inc. Common Stock</t>
  </si>
  <si>
    <t>Bluelinx Holdings Inc. Common Stock</t>
  </si>
  <si>
    <t>Blackstone Mortgage Trust Inc. Common Stock</t>
  </si>
  <si>
    <t>Nuveen S&amp;P 500 Buy-Write Income Fund Common Shares of Beneficial Interest</t>
  </si>
  <si>
    <t>Boston Properties Inc. Common Stock</t>
  </si>
  <si>
    <t>Blackstone Secured Lending Fund Common Shares of Beneficial Interest</t>
  </si>
  <si>
    <t>Byline Bancorp Inc. Common Stock</t>
  </si>
  <si>
    <t>Boyd Gaming Corporation Common Stock</t>
  </si>
  <si>
    <t>Broadway Financial Corporation Class A Common Stock</t>
  </si>
  <si>
    <t>Blackrock Municipal Income Quality Trust Common Shares of Beneficial Interest</t>
  </si>
  <si>
    <t>Beyond Meat Inc. Common Stock</t>
  </si>
  <si>
    <t>byNordic Acquisition Corporation Class A Common Stock</t>
  </si>
  <si>
    <t>Beyond Inc. Common Stock</t>
  </si>
  <si>
    <t>Byrna Technologies Inc. Common Stock</t>
  </si>
  <si>
    <t>BeyondSpring Inc. Ordinary Shares</t>
  </si>
  <si>
    <t>BAIYU Holdings Inc. Common Stock</t>
  </si>
  <si>
    <t>KANZHUN LIMITED American Depository Shares</t>
  </si>
  <si>
    <t>BuzzFeed Inc. Class A Common Stock</t>
  </si>
  <si>
    <t>BuzzFeed Inc. Warrant</t>
  </si>
  <si>
    <t>Beazer Homes USA Inc. Common Stock</t>
  </si>
  <si>
    <t>Baozun Inc. American Depositary Shares</t>
  </si>
  <si>
    <t>Citigroup Inc. Common Stock</t>
  </si>
  <si>
    <t>Citigroup Inc. Dep Shs Repstg 1/1000 Pfd Ser J Fixed/Fltg</t>
  </si>
  <si>
    <t>Citigroup Capital XIII 7.875% Fixed rate Floating Rate trust Preferred Securities (TruPS)</t>
  </si>
  <si>
    <t>Corporacion America Airports SA Common Shares</t>
  </si>
  <si>
    <t>China Automotive Systems Inc. Common Stock</t>
  </si>
  <si>
    <t>Cabaletta Bio Inc. Common Stock</t>
  </si>
  <si>
    <t>Cable One Inc. Common Stock</t>
  </si>
  <si>
    <t>Camden National Corporation Common Stock</t>
  </si>
  <si>
    <t>Credit Acceptance Corporation Common Stock</t>
  </si>
  <si>
    <t>CACI International Inc. Class A Common Stock</t>
  </si>
  <si>
    <t>Caravelle International Group Ordinary Shares</t>
  </si>
  <si>
    <t>Cadence Bank Common Stock</t>
  </si>
  <si>
    <t xml:space="preserve">Cadence Bank 5.50% Series A </t>
  </si>
  <si>
    <t>Candel Therapeutics Inc. Common Stock</t>
  </si>
  <si>
    <t>CAE Inc. Ordinary Shares</t>
  </si>
  <si>
    <t>Morgan Stanley China A Share Fund Inc. Common Stock</t>
  </si>
  <si>
    <t>ConAgra Brands Inc. Common Stock</t>
  </si>
  <si>
    <t>Cardinal Health Inc. Common Stock</t>
  </si>
  <si>
    <t>Cheesecake Factory Incorporated (The) Common Stock</t>
  </si>
  <si>
    <t>Caleres Inc. Common Stock</t>
  </si>
  <si>
    <t>California BanCorp Common Stock</t>
  </si>
  <si>
    <t>CalciMedica Inc. Common Stock</t>
  </si>
  <si>
    <t>Cal-Maine Foods Inc. Common Stock</t>
  </si>
  <si>
    <t>Calliditas Therapeutics AB American Depositary Shares</t>
  </si>
  <si>
    <t>Calix Inc Common Stock</t>
  </si>
  <si>
    <t>CalAmp Corp. Common Stock</t>
  </si>
  <si>
    <t>Camtek Ltd. Ordinary Shares</t>
  </si>
  <si>
    <t>Canaan Inc. American Depositary Shares</t>
  </si>
  <si>
    <t>Can-Fite Biopharma Ltd Sponsored ADR (Israel)</t>
  </si>
  <si>
    <t>Cango Inc. American Depositary Shares  each representing two (2) Class A Ordinary Shares</t>
  </si>
  <si>
    <t>Cano Health Inc. Class A Common Stock</t>
  </si>
  <si>
    <t>CrossAmerica Partners LP Common Units representing limited partner interests</t>
  </si>
  <si>
    <t>Capricor Therapeutics Inc. Common Stock</t>
  </si>
  <si>
    <t>Captivision Inc. Ordinary Shares</t>
  </si>
  <si>
    <t>Captivision Inc. Warrant</t>
  </si>
  <si>
    <t>Avis Budget Group Inc. Common Stock</t>
  </si>
  <si>
    <t>Cara Therapeutics Inc. Common Stock</t>
  </si>
  <si>
    <t>Carter Bankshares Inc. Common Stock</t>
  </si>
  <si>
    <t xml:space="preserve">CarGurus Inc. Class A Common Stock </t>
  </si>
  <si>
    <t>Carisma Therapeutics Inc. Common Stock</t>
  </si>
  <si>
    <t xml:space="preserve">Carrier Global Corporation Common Stock </t>
  </si>
  <si>
    <t xml:space="preserve">Cars.com Inc. Common Stock </t>
  </si>
  <si>
    <t>Maplebear Inc. Common Stock</t>
  </si>
  <si>
    <t>Carver Bancorp Inc. Common Stock</t>
  </si>
  <si>
    <t>Casa Systems Inc. Common Stock</t>
  </si>
  <si>
    <t>Pathward Financial Inc. Common Stock</t>
  </si>
  <si>
    <t>CASI Pharmaceuticals Inc. Ordinary Shares</t>
  </si>
  <si>
    <t>Cass Information Systems Inc Common Stock</t>
  </si>
  <si>
    <t>Casey's General Stores Inc. Common Stock</t>
  </si>
  <si>
    <t>Caterpillar Inc. Common Stock</t>
  </si>
  <si>
    <t>Cambridge Bancorp Common Stock</t>
  </si>
  <si>
    <t>Cato Corporation (The) Class A Common Stock</t>
  </si>
  <si>
    <t>Perspective Therapeutics Inc. Common Stock</t>
  </si>
  <si>
    <t>Cathay General Bancorp Common Stock</t>
  </si>
  <si>
    <t>Collective Audience Inc.. Common Stock</t>
  </si>
  <si>
    <t>CAVA Group Inc. Common Stock</t>
  </si>
  <si>
    <t>Chubb Limited  Common Stock</t>
  </si>
  <si>
    <t>Colony Bankcorp Inc. Common Stock</t>
  </si>
  <si>
    <t>CBAK Energy Technology Inc. Common Stock</t>
  </si>
  <si>
    <t>CymaBay Therapeutics Inc. Common Stock</t>
  </si>
  <si>
    <t>Companhia Brasileira de Distribuicao American Depsitary Shares; each representing one Common Share</t>
  </si>
  <si>
    <t>CB Financial Services Inc. Common Stock</t>
  </si>
  <si>
    <t>Virtus Convertible &amp; Income 2024 Target Term Fund Common Shares of Beneficial Interest</t>
  </si>
  <si>
    <t>CBL &amp; Associates Properties Inc. Common Stock</t>
  </si>
  <si>
    <t>Capital Bancorp Inc. Common Stock</t>
  </si>
  <si>
    <t>Cboe Global Markets Inc. Common Stock</t>
  </si>
  <si>
    <t>CBRE Group Inc Common Stock Class A</t>
  </si>
  <si>
    <t>Chain Bridge I Class A Ordinary Shares</t>
  </si>
  <si>
    <t>Chain Bridge I Units</t>
  </si>
  <si>
    <t>Cracker Barrel Old Country Store Inc Common Stock</t>
  </si>
  <si>
    <t>Commerce Bancshares Inc. Common Stock</t>
  </si>
  <si>
    <t>Cabot Corporation Common Stock</t>
  </si>
  <si>
    <t>Community Bank System Inc. Common Stock</t>
  </si>
  <si>
    <t>Cibus Inc. Class A Common Stock</t>
  </si>
  <si>
    <t>CBIZ Inc. Common Stock</t>
  </si>
  <si>
    <t>Chemours Company (The) Common Stock</t>
  </si>
  <si>
    <t>Crescent Capital BDC Inc. Common stock</t>
  </si>
  <si>
    <t>Coastal Financial Corporation Common Stock</t>
  </si>
  <si>
    <t>Capital City Bank Group Common Stock</t>
  </si>
  <si>
    <t>C4 Therapeutics Inc. Common Stock</t>
  </si>
  <si>
    <t>CCC Intelligent Solutions Holdings Inc. Common Stock</t>
  </si>
  <si>
    <t>Calamos Dynamic Convertible &amp; Income Fund Common Stock</t>
  </si>
  <si>
    <t>Cryo-Cell International Inc. Common Stock</t>
  </si>
  <si>
    <t>Coca-Cola Europacific Partners plc Ordinary Shares</t>
  </si>
  <si>
    <t>Cheche Group Inc. Class A Ordinary Shares</t>
  </si>
  <si>
    <t>Cheche Group Inc. Warrant</t>
  </si>
  <si>
    <t>Crown Castle Inc. Common Stock</t>
  </si>
  <si>
    <t>Carlyle Credit Income Fund 8.75% Series A Preferred Shares due 2028</t>
  </si>
  <si>
    <t>Carlyle Credit Income Fund Shares of Beneficial Interest</t>
  </si>
  <si>
    <t>Cameco Corporation Common Stock</t>
  </si>
  <si>
    <t>Crown Holdings Inc.</t>
  </si>
  <si>
    <t>Carnival Corporation Common Stock</t>
  </si>
  <si>
    <t>CareCloud Inc. Common Stock</t>
  </si>
  <si>
    <t>CareCloud Inc. 8.75% Series B Cumulative Redeemable Perpetual Preferred Stock</t>
  </si>
  <si>
    <t>CareCloud Inc. 11% Series A Cumulative Redeemable Perpetual Preferred Stock</t>
  </si>
  <si>
    <t>CSI Compressco LP Common Units</t>
  </si>
  <si>
    <t>Concord Medical Services Holdings Limited ADS (Each represents three ordinary shares)</t>
  </si>
  <si>
    <t>CNB Financial Corporation Common Stock</t>
  </si>
  <si>
    <t>CNB Financial Corporation Depositary Shares each representing a 1/40th ownership interest in a share of 7.125% Series A Fixed-Rate Non-Cumulative Perpetual Preferred Stock</t>
  </si>
  <si>
    <t>Clear Channel Outdoor Holdings Inc. Common Stock</t>
  </si>
  <si>
    <t>Cogent Communications Holdings Inc.</t>
  </si>
  <si>
    <t>CoreCard Corporation Common Stock</t>
  </si>
  <si>
    <t>Cross Country Healthcare Inc. Common Stock $0.0001 Par Value</t>
  </si>
  <si>
    <t>Century Communities Inc. Common Stock</t>
  </si>
  <si>
    <t>Consensus Cloud Solutions Inc. Common Stock</t>
  </si>
  <si>
    <t>Cactus Acquisition Corp. 1 Limited Class A Ordinary Share</t>
  </si>
  <si>
    <t>Compania Cervecerias Unidas S.A. Common Stock</t>
  </si>
  <si>
    <t>Comcast Holdings ZONES</t>
  </si>
  <si>
    <t>Compass Digital Acquisition Corp. Class A Ordinary Shares</t>
  </si>
  <si>
    <t>Ceridian HCM Holding Inc. Common Stock</t>
  </si>
  <si>
    <t>Coeur Mining Inc. Common Stock</t>
  </si>
  <si>
    <t>Cardio Diagnostics Holdings Inc. Common stock</t>
  </si>
  <si>
    <t>Cardio Diagnostics Holdings Inc. Warrant</t>
  </si>
  <si>
    <t>Cadeler A/S American Depositary Share (each representing four (4) Ordinary Shares)</t>
  </si>
  <si>
    <t>Cardlytics Inc. Common Stock</t>
  </si>
  <si>
    <t>Avid Bioservices Inc. Common Stock</t>
  </si>
  <si>
    <t>CareDx Inc. Common Stock</t>
  </si>
  <si>
    <t>Cadence Design Systems Inc. Common Stock</t>
  </si>
  <si>
    <t>COPT Defense Properties Common Shares of Beneficial Interest</t>
  </si>
  <si>
    <t>Cedar Realty Trust Inc. 7.25% Series B Cumulative Redeemable Preferred Stock</t>
  </si>
  <si>
    <t>Cedar Realty Trust Inc. 6.50% Series C Cumulative Redeemable Preferred Stock</t>
  </si>
  <si>
    <t>Cadre Holdings Inc. Common Stock</t>
  </si>
  <si>
    <t>Codere Online Luxembourg S.A. Ordinary Shares</t>
  </si>
  <si>
    <t>Codere Online Luxembourg S.A. Warrants</t>
  </si>
  <si>
    <t>Conduit Pharmaceuticals Inc. Common Stock</t>
  </si>
  <si>
    <t>Conduit Pharmaceuticals Inc. Warrant</t>
  </si>
  <si>
    <t>Cidara Therapeutics Inc. Common Stock</t>
  </si>
  <si>
    <t>CDW Corporation Common Stock</t>
  </si>
  <si>
    <t>ChromaDex Corporation Common Stock</t>
  </si>
  <si>
    <t>Codexis Inc. Common Stock</t>
  </si>
  <si>
    <t>CADIZ Inc. Common Stock</t>
  </si>
  <si>
    <t>Cadiz Inc. Depositary Shares</t>
  </si>
  <si>
    <t>Celanese Corporation Common Stock</t>
  </si>
  <si>
    <t>CEA Industries Inc. Common Stock</t>
  </si>
  <si>
    <t>CECO Environmental Corp. Common Stock</t>
  </si>
  <si>
    <t>The Central and Eastern Europe Fund Inc. (The) Common Stock</t>
  </si>
  <si>
    <t xml:space="preserve">Constellation Energy Corporation Common Stock </t>
  </si>
  <si>
    <t>Camber Energy Inc. Common Stock</t>
  </si>
  <si>
    <t xml:space="preserve">CONSOL Energy Inc. Common Stock </t>
  </si>
  <si>
    <t>Celcuity Inc. Common Stock</t>
  </si>
  <si>
    <t>Celsius Holdings Inc. Common Stock</t>
  </si>
  <si>
    <t>Celularity Inc. Class A Common Stock</t>
  </si>
  <si>
    <t>Celularity Inc. Warrant</t>
  </si>
  <si>
    <t>Creative Medical Technology Holdings Inc. Common Stock</t>
  </si>
  <si>
    <t>ClearBridge MLP and Midstream Fund Inc. Common Stock</t>
  </si>
  <si>
    <t>Cenntro Electric Group Limited Ordinary Shares</t>
  </si>
  <si>
    <t>Central Garden &amp; Pet Company Common Stock</t>
  </si>
  <si>
    <t>Central Garden &amp; Pet Company Class A Common Stock Nonvoting</t>
  </si>
  <si>
    <t>Century Aluminum Company Common Stock</t>
  </si>
  <si>
    <t>Central Puerto S.A. American Depositary Shares (each represents ten Common Shares)</t>
  </si>
  <si>
    <t>Cerevel Therapeutics Holdings Inc. Common Stock</t>
  </si>
  <si>
    <t>Cerus Corporation Common Stock</t>
  </si>
  <si>
    <t>Certara Inc. Common Stock</t>
  </si>
  <si>
    <t>Central Securities Corporation Common Stock</t>
  </si>
  <si>
    <t>Cetus Capital Acquisition Corp. Class A Common Stock</t>
  </si>
  <si>
    <t>Cetus Capital Acquisition Corp. Right to receive 1/6 of one share of Class A Common Stock</t>
  </si>
  <si>
    <t>Cetus Capital Acquisition Corp. Warrant</t>
  </si>
  <si>
    <t>Cemtrex Inc. Common Stock</t>
  </si>
  <si>
    <t>Cemtrex Inc. Series 1 Preferred Stock</t>
  </si>
  <si>
    <t>Clean Energy Technologies Inc. Common Stock</t>
  </si>
  <si>
    <t>Eaton Vance California Municipal Income Trust Shares of Beneficial Interest</t>
  </si>
  <si>
    <t>CEVA Inc. Common Stock</t>
  </si>
  <si>
    <t>CF Industries Holdings Inc. Common Stock</t>
  </si>
  <si>
    <t>CrossFirst Bankshares Inc. Common Stock</t>
  </si>
  <si>
    <t>CF Bankshares Inc. Common Stock</t>
  </si>
  <si>
    <t>C&amp;F Financial Corporation Common Stock</t>
  </si>
  <si>
    <t>Capitol Federal Financial Inc. Common Stock</t>
  </si>
  <si>
    <t>CF Acquisition Corp. VII Class A Common Stock</t>
  </si>
  <si>
    <t>Citizens Financial Group Inc. Common Stock</t>
  </si>
  <si>
    <t>Citizens Financial Group Inc. Depositary Shares each representing a 1/40th Interest in a Share of 6.350% Fixed-to-Floating Rate Non-Cumulative Perpetual Preferred Stock Series D</t>
  </si>
  <si>
    <t>Citizens Financial Group Inc. Depositary Shares Each Representing 1/40th Interest in a Share of 5.000% Fixed-Rate Non-Cumulative Perpetual Preferred Stock Series E</t>
  </si>
  <si>
    <t>Confluent Inc. Class A Common Stock</t>
  </si>
  <si>
    <t>Cullen/Frost Bankers Inc. Common Stock</t>
  </si>
  <si>
    <t>Cullen/Frost Bankers Inc. Depositary Shares each representing a 1/40th ownership interest in a share of 4.450% non-cumulative perpetual preferred stock Series B</t>
  </si>
  <si>
    <t>CFSB Bancorp Inc. Common Stock</t>
  </si>
  <si>
    <t>The Carlyle Group Inc. Common Stock</t>
  </si>
  <si>
    <t>China Green Agriculture Inc. Common Stock</t>
  </si>
  <si>
    <t>The Carlyle Group Inc. 4.625% Subordinated Notes due 2061</t>
  </si>
  <si>
    <t>Centerra Gold Inc. Common Shares</t>
  </si>
  <si>
    <t>Carlyle Secured Lending Inc. Common Stock</t>
  </si>
  <si>
    <t>Carlyle Secured Lending Inc. 8.20% Notes due 2028</t>
  </si>
  <si>
    <t>Canopy Growth Corporation Common Shares</t>
  </si>
  <si>
    <t>Cullinan Oncology Inc. Common Stock</t>
  </si>
  <si>
    <t>Compugen Ltd. Ordinary Shares</t>
  </si>
  <si>
    <t>Cognyte Software Ltd. Ordinary Shares</t>
  </si>
  <si>
    <t>Cognex Corporation Common Stock</t>
  </si>
  <si>
    <t>Calamos Global Total Return Fund Common Stock</t>
  </si>
  <si>
    <t>Cognition Therapeutics Inc. Common Stock</t>
  </si>
  <si>
    <t>Catcha Investment Corp. Class A Ordinary Shares</t>
  </si>
  <si>
    <t>Comstock Holding Companies Inc. Class A Common Stock</t>
  </si>
  <si>
    <t>City Holding Company Common Stock</t>
  </si>
  <si>
    <t>Community Healthcare Trust Incorporated Common Stock</t>
  </si>
  <si>
    <t>Church &amp; Dwight Company Inc. Common Stock</t>
  </si>
  <si>
    <t>Churchill Downs Incorporated Common Stock</t>
  </si>
  <si>
    <t>Chemed Corp</t>
  </si>
  <si>
    <t>Chenghe Acquisition Co. Class A Ordinary Share</t>
  </si>
  <si>
    <t>The Chefs' Warehouse Inc. Common Stock</t>
  </si>
  <si>
    <t>Check-Cap Ltd. Ordinary Share</t>
  </si>
  <si>
    <t>Chegg Inc. Common Stock</t>
  </si>
  <si>
    <t>Choice Hotels International Inc. Common Stock</t>
  </si>
  <si>
    <t>Calamos Convertible Opportunities and Income Fund Common Stock</t>
  </si>
  <si>
    <t>Chesapeake Energy Corporation Common Stock</t>
  </si>
  <si>
    <t>Chesapeake Energy Corporation Class C Warrants</t>
  </si>
  <si>
    <t>Chesapeake Energy Corporation Class A Warrants</t>
  </si>
  <si>
    <t>Chesapeake Energy Corporation Class B Warrants</t>
  </si>
  <si>
    <t>Check Point Software Technologies Ltd. Ordinary Shares</t>
  </si>
  <si>
    <t>Chemung Financial Corp Common Stock</t>
  </si>
  <si>
    <t>Cherry Hill Mortgage Investment Corporation Common Stock</t>
  </si>
  <si>
    <t>Cherry Hill Mortgage Investment Corporation 8.20% Series A Cumulative Redeemable Preferred Stock</t>
  </si>
  <si>
    <t>Cherry Hill Mortgage Investment Corporation 8.250% Series B Fixed-to-Floating Rate Cumulative Redeemable Preferred Stock</t>
  </si>
  <si>
    <t>China Fund Inc. (The) Common Stock</t>
  </si>
  <si>
    <t>China Natural Resources Inc. Common Stock</t>
  </si>
  <si>
    <t>ChargePoint Holdings Inc. Common Stock</t>
  </si>
  <si>
    <t>Cheer Holding Inc. Ordinary Share</t>
  </si>
  <si>
    <t>Chord Energy Corporation Common Stock</t>
  </si>
  <si>
    <t>Coherus BioSciences Inc. Common Stock</t>
  </si>
  <si>
    <t>C.H. Robinson Worldwide Inc. Common Stock</t>
  </si>
  <si>
    <t>CHS Inc Class B Cumulative Redeemable Preferred Stock Series 4</t>
  </si>
  <si>
    <t>CHS Inc Class B Reset Rate Cumulative Redeemable Preferred Stock Series 3</t>
  </si>
  <si>
    <t>CHS Inc Preferred Class B Series 2 Reset Rate</t>
  </si>
  <si>
    <t>CHS Inc. Class B Cumulative Redeemable Preferred Stock</t>
  </si>
  <si>
    <t>CHS Inc. 8%  Cumulative Redeemable Preferred Stock</t>
  </si>
  <si>
    <t>Chanson International Holding Class A Ordinary Shares</t>
  </si>
  <si>
    <t>Chunghwa Telecom Co. Ltd.</t>
  </si>
  <si>
    <t>Charter Communications Inc. Class A Common Stock New</t>
  </si>
  <si>
    <t>Chuy's Holdings Inc. Common Stock</t>
  </si>
  <si>
    <t>Calamos Global Dynamic Income Fund Common Stock</t>
  </si>
  <si>
    <t>Chewy Inc. Class A Common Stock</t>
  </si>
  <si>
    <t xml:space="preserve">ChampionX Corporation Common Stock </t>
  </si>
  <si>
    <t>Calamos Convertible and High Income Fund Common Stock</t>
  </si>
  <si>
    <t>The Cigna Group Common Stock</t>
  </si>
  <si>
    <t>Citizens Inc. Class A Common Stock ($1.00 Par)</t>
  </si>
  <si>
    <t>BanColombia S.A. Common Stock</t>
  </si>
  <si>
    <t>Ciena Corporation Common Stock</t>
  </si>
  <si>
    <t>MFS Intermediate High Income Fund Common Stock</t>
  </si>
  <si>
    <t>Cipher Mining Inc. Common Stock</t>
  </si>
  <si>
    <t>Cipher Mining Inc. Warrant</t>
  </si>
  <si>
    <t>Comp En De Mn Cemig ADS American Depositary Shares</t>
  </si>
  <si>
    <t>Colliers International Group Inc. Subordinate Voting Shares</t>
  </si>
  <si>
    <t>Blackrock Capital and Income Fund Inc.</t>
  </si>
  <si>
    <t>Credit Suisse Asset Management Income Fund Inc. Common Stock</t>
  </si>
  <si>
    <t>Chimera Investment Corporation Common Stock</t>
  </si>
  <si>
    <t>Chimera Investment Corporation 8.00% Series A Cumulative Redeemable Preferred Stock</t>
  </si>
  <si>
    <t>Chimera Investment Corporation 8.00% Series B Fixed-to-Floating Rate Cumulative Redeemable Preferred Stock</t>
  </si>
  <si>
    <t>Chimera Investment Corporation 7.75% Series C Fixed-to-Floating Rate  Cumulative Redeemable  Preferred Stock</t>
  </si>
  <si>
    <t>Chimera Investment Corporation 8.00% Series D Fixed-to-Floating Rate Cumulative Redeemable Preferred Stock</t>
  </si>
  <si>
    <t>Cincinnati Financial Corporation Common Stock</t>
  </si>
  <si>
    <t>Cingulate Inc. Common Stock</t>
  </si>
  <si>
    <t>Cingulate Inc. Warrants</t>
  </si>
  <si>
    <t>CI&amp;T Inc Class A Common Shares</t>
  </si>
  <si>
    <t>City Office REIT Inc. Common Stock</t>
  </si>
  <si>
    <t>City Office REIT Inc. 6.625% Series A Cumulative Redeemable Preferred Stock</t>
  </si>
  <si>
    <t>CION Investment Corporation Common Stock</t>
  </si>
  <si>
    <t>CISO Global Inc. Common Stock</t>
  </si>
  <si>
    <t>C3is Inc. Common Stock</t>
  </si>
  <si>
    <t>Cartica Acquisition Corp Class A Ordinary Shares</t>
  </si>
  <si>
    <t>Civista Bancshares Inc. Common Stock</t>
  </si>
  <si>
    <t>Civitas Resources Inc. Common Stock</t>
  </si>
  <si>
    <t>CompX International Inc. Common Stock</t>
  </si>
  <si>
    <t>Chijet Motor Company Inc. Ordinary Shares</t>
  </si>
  <si>
    <t>China Jo-Jo Drugstores Inc. (Cayman Islands) Ordinary Shares</t>
  </si>
  <si>
    <t>Checkpoint Therapeutics Inc. Common Stock</t>
  </si>
  <si>
    <t>CKX Lands Inc. Common Stock</t>
  </si>
  <si>
    <t>Colgate-Palmolive Company Common Stock</t>
  </si>
  <si>
    <t>Clarus Corporation Common Stock</t>
  </si>
  <si>
    <t>Core Laboratories Inc. Common Stock</t>
  </si>
  <si>
    <t>Columbia Financial Inc. Common Stock</t>
  </si>
  <si>
    <t>Cellebrite DI Ltd. Ordinary Shares</t>
  </si>
  <si>
    <t>Cellebrite DI Ltd. Warrants</t>
  </si>
  <si>
    <t>Cool Company Ltd. Common Shares</t>
  </si>
  <si>
    <t>Calidi Biotherapeutics Inc. Common Stock</t>
  </si>
  <si>
    <t>Chatham Lodging Trust (REIT) Common Shares of Beneficial Interest</t>
  </si>
  <si>
    <t>Chatham Lodging Trust (REIT) 6.625% Series A Cumulative Redeemable Preferred Shares of Beneficial Interest</t>
  </si>
  <si>
    <t>Celldex Therapeutics Inc.</t>
  </si>
  <si>
    <t>China Liberal Education Holdings Limited Ordinary Shares</t>
  </si>
  <si>
    <t>Cleveland-Cliffs Inc. Common Stock</t>
  </si>
  <si>
    <t>Clearfield Inc. Common Stock</t>
  </si>
  <si>
    <t>CollPlant Biotechnologies Ltd Ordinary Shares</t>
  </si>
  <si>
    <t>Clean Harbors Inc. Common Stock</t>
  </si>
  <si>
    <t>ClearSign Technologies Corporation Common Stock (DE)</t>
  </si>
  <si>
    <t>Cellectis S.A. American Depositary Shares</t>
  </si>
  <si>
    <t>Cornerstone Strategic Value Fund Inc. New Common Stock</t>
  </si>
  <si>
    <t>Climb Global Solutions Inc. Common Stock</t>
  </si>
  <si>
    <t>Calumet Specialty Products Partners L.P. Common Units</t>
  </si>
  <si>
    <t>Clean Energy Fuels Corp. Common Stock</t>
  </si>
  <si>
    <t>Clene Inc. Common Stock</t>
  </si>
  <si>
    <t>Clene Inc. Warrant</t>
  </si>
  <si>
    <t>Clover Leaf Capital Corp. Class A Common Stock</t>
  </si>
  <si>
    <t>Clover Leaf Capital Corp. Rights</t>
  </si>
  <si>
    <t>Clover Health Investments Corp. Class A Common Stock</t>
  </si>
  <si>
    <t>Clipper Realty Inc. Common Stock</t>
  </si>
  <si>
    <t>CLPS Incorporation Common Stock</t>
  </si>
  <si>
    <t>ClearPoint Neuro Inc. Common Stock</t>
  </si>
  <si>
    <t>Cellectar Biosciences Inc.  Common Stock</t>
  </si>
  <si>
    <t>ClimateRock Class A Ordinary Shares</t>
  </si>
  <si>
    <t>ClimateRock Right</t>
  </si>
  <si>
    <t>ClimateRock Warrant</t>
  </si>
  <si>
    <t>ClearOne Inc. (DE) Common Stock</t>
  </si>
  <si>
    <t>Celestica Inc. Common Stock</t>
  </si>
  <si>
    <t>Clearside Biomedical Inc. Common Stock</t>
  </si>
  <si>
    <t>CleanSpark Inc. Common Stock</t>
  </si>
  <si>
    <t>Catalyst Bancorp Inc. Common Stock</t>
  </si>
  <si>
    <t>Clever Leaves Holdings Inc. Common Shares</t>
  </si>
  <si>
    <t>Clever Leaves Holdings Inc. Warrant</t>
  </si>
  <si>
    <t>Clarivate Plc Ordinary Shares</t>
  </si>
  <si>
    <t>Clarivate Plc 5.25% Series A Mandatory Convertible Preferred Shares</t>
  </si>
  <si>
    <t>Clearwater Paper Corporation Common Stock</t>
  </si>
  <si>
    <t>Euro Tech Holdings Company Limited Common Stock</t>
  </si>
  <si>
    <t>Clorox Company (The) Common Stock</t>
  </si>
  <si>
    <t>Canadian Imperial Bank of Commerce Common Stock</t>
  </si>
  <si>
    <t>Comerica Incorporated Common Stock</t>
  </si>
  <si>
    <t>CareMax Inc. Class A Common Stock</t>
  </si>
  <si>
    <t>CareMax Inc. Warrant</t>
  </si>
  <si>
    <t>Cambium Networks Corporation Ordinary Shares</t>
  </si>
  <si>
    <t>Commercial Metals Company Common Stock</t>
  </si>
  <si>
    <t>Capitalworks Emerging Markets Acquisition Corp Class A Ordinary Shares</t>
  </si>
  <si>
    <t>Caledonia Mining Corporation Plc Common Shares</t>
  </si>
  <si>
    <t>Cheetah Mobile Inc. American Depositary Shares each representing fifty (50) Class A Ordinary Shares</t>
  </si>
  <si>
    <t>Columbus McKinnon Corporation Common Stock</t>
  </si>
  <si>
    <t>Comcast Corporation Class A Common Stock</t>
  </si>
  <si>
    <t>Creative Media &amp; Community Trust Corporation Common stock</t>
  </si>
  <si>
    <t>CME Group Inc. Class A Common Stock</t>
  </si>
  <si>
    <t>Chipotle Mexican Grill Inc. Common Stock</t>
  </si>
  <si>
    <t>Cummins Inc. Common Stock</t>
  </si>
  <si>
    <t>Cumulus Media Inc. Class A Common Stock</t>
  </si>
  <si>
    <t>Chemomab Therapeutics Ltd. American Depositary Share</t>
  </si>
  <si>
    <t>Clearmind Medicine Inc. Common Shares</t>
  </si>
  <si>
    <t>Compass Minerals Intl Inc Common Stock</t>
  </si>
  <si>
    <t>CompoSecure Inc. Class A Common Stock</t>
  </si>
  <si>
    <t>CompoSecure Inc. Warrant</t>
  </si>
  <si>
    <t>Cimpress plc Ordinary Shares (Ireland)</t>
  </si>
  <si>
    <t>COMPASS Pathways Plc American Depository Shares</t>
  </si>
  <si>
    <t>Compass Therapeutics Inc. Common Stock</t>
  </si>
  <si>
    <t>Costamare Inc. Common Stock $0.0001 par value</t>
  </si>
  <si>
    <t>Costamare Inc. Perpetual Preferred Stock Series B (Marshall Islands)</t>
  </si>
  <si>
    <t>Costamare Inc. Perpetual Preferred Series C (Marshall Islands)</t>
  </si>
  <si>
    <t>Costamare Inc. 8.75% Series D Cumulative Redeemable Perpetual Preferred Stock</t>
  </si>
  <si>
    <t>Costamare Inc. 8.875% Series E Cumulative Redeemable Perpetual Preferred Stock par value $0.0001</t>
  </si>
  <si>
    <t>Chimerix Inc. Common Stock</t>
  </si>
  <si>
    <t>CMS Energy Corporation Common Stock</t>
  </si>
  <si>
    <t>CMS Energy Corporation Preferred Stock</t>
  </si>
  <si>
    <t>CMS Energy Corporation Depositary Shares each representing a 1/1000th interest in a share of 4.200% Cumulative Redeemable Perpetual Preferred Stock Series C</t>
  </si>
  <si>
    <t>CMS Energy Corporation 5.625% Junior Subordinated Notes due 2078</t>
  </si>
  <si>
    <t>CMS Energy Corporation 5.875% Junior Subordinated Notes due 2078</t>
  </si>
  <si>
    <t>CMS Energy Corporation 5.875% Junior Subordinated Notes due 2079</t>
  </si>
  <si>
    <t>Core Molding Technologies Inc Common Stock</t>
  </si>
  <si>
    <t>Claros Mortgage Trust Inc. Common Stock</t>
  </si>
  <si>
    <t>Comtech Telecommunications Corp. Common Stock</t>
  </si>
  <si>
    <t>MFS Municipal Income Trust Common Stock</t>
  </si>
  <si>
    <t>CNA Financial Corporation Common Stock</t>
  </si>
  <si>
    <t>Centene Corporation Common Stock</t>
  </si>
  <si>
    <t>Concord Acquisition Corp II Class A Common Stock</t>
  </si>
  <si>
    <t>Concord Acquisition Corp III Class A Common Stock</t>
  </si>
  <si>
    <t xml:space="preserve">Conduent Incorporated Common Stock </t>
  </si>
  <si>
    <t>ZW Data Action Technologies Inc. Common Stock</t>
  </si>
  <si>
    <t>CN Energy Group Inc. Class A Ordinary Shares</t>
  </si>
  <si>
    <t>CNFinance Holdings Limited American Depositary Shares each representing  twenty (20) Ordinary Shares</t>
  </si>
  <si>
    <t>Conifer Holdings Inc. Common Stock</t>
  </si>
  <si>
    <t>Conifer Holdings Inc. 9.75% Senior Unsecured Notes due 2028</t>
  </si>
  <si>
    <t>Canna-Global Acquisition Corp. Class A Common Stock</t>
  </si>
  <si>
    <t>Canna-Global Acquisition Corp Unit</t>
  </si>
  <si>
    <t>CNH Industrial N.V. Common Shares</t>
  </si>
  <si>
    <t>Canadian National Railway Company Common Stock</t>
  </si>
  <si>
    <t>Cinemark Holdings Inc Cinemark Holdings Inc. Common Stock</t>
  </si>
  <si>
    <t>Core &amp; Main Inc. Class A Common Stock</t>
  </si>
  <si>
    <t>CONMED Corporation Common Stock</t>
  </si>
  <si>
    <t>Cannae Holdings Inc. Common Stock</t>
  </si>
  <si>
    <t>CNO Financial Group Inc. Common Stock</t>
  </si>
  <si>
    <t>CNO Financial Group Inc. 5.125% Subordinated Debentures due 2060</t>
  </si>
  <si>
    <t>ConnectOne Bancorp Inc. Common Stock</t>
  </si>
  <si>
    <t>ConnectOne Bancorp Inc. Depositary Shares each representing a 1/40th interest in a share of 5.25% Fixed-Rate Reset Non-Cumulative Perpetual Preferred Stock Series A</t>
  </si>
  <si>
    <t>CenterPoint Energy Inc (Holding Co) Common Stock</t>
  </si>
  <si>
    <t>Canadian Natural Resources Limited Common Stock</t>
  </si>
  <si>
    <t>Cohen &amp; Steers Inc Common Stock</t>
  </si>
  <si>
    <t>Consolidated Communications Holdings Inc. Common Stock</t>
  </si>
  <si>
    <t>CNS Pharmaceuticals Inc. Common Stock</t>
  </si>
  <si>
    <t>Centessa Pharmaceuticals plc American Depositary Shares</t>
  </si>
  <si>
    <t>Connect Biopharma Holdings Limited American Depositary Shares</t>
  </si>
  <si>
    <t>Centogene N.V. Common Shares</t>
  </si>
  <si>
    <t>Context Therapeutics Inc. Common Stock</t>
  </si>
  <si>
    <t>Century Casinos Inc. Common Stock</t>
  </si>
  <si>
    <t>Cineverse Corp. Class A Common Stock</t>
  </si>
  <si>
    <t>CNX Resources Corporation Common Stock</t>
  </si>
  <si>
    <t>Connexa Sports Technologies Inc. Common Stock</t>
  </si>
  <si>
    <t>Concentrix Corporation Common Stock</t>
  </si>
  <si>
    <t>PC Connection Inc. Common Stock</t>
  </si>
  <si>
    <t>Envoy Medical Inc. Class A Common Stock</t>
  </si>
  <si>
    <t>Envoy Medical Inc Warrant</t>
  </si>
  <si>
    <t>The Vita Coco Company Inc. Common Stock</t>
  </si>
  <si>
    <t>Cocrystal Pharma Inc. Common Stock</t>
  </si>
  <si>
    <t>Coda Octopus Group Inc. Common stock</t>
  </si>
  <si>
    <t>D/B/A Compass Diversified Holdings Shares of Beneficial Interest</t>
  </si>
  <si>
    <t>Compass Diversified Holdings 7.250% Series A Preferred Shares representing beneficial interest in Compass Diversified Holdings</t>
  </si>
  <si>
    <t>Compass Diversified Holdings 7.875% Series B Fixed-to-Floating Rate Cumulative Preferred Shares representing beneficial interests in Compass Diversified Holdings</t>
  </si>
  <si>
    <t>Compass Diversified Holdings 7.875% Series C Cumulative Preferred Shares</t>
  </si>
  <si>
    <t>Co-Diagnostics Inc. Common Stock</t>
  </si>
  <si>
    <t>51Talk Online Education Group American depositary shares each representing 60 Class A ordinary shares</t>
  </si>
  <si>
    <t>Coeptis Therapeutics Holdings Inc. Common Stock</t>
  </si>
  <si>
    <t>Coeptis Therapeutics Holdings Inc. Warrants</t>
  </si>
  <si>
    <t>Capital One Financial Corporation Common Stock</t>
  </si>
  <si>
    <t>Capital One Financial Corporation Depositary shares each representing a 1/40th interest in a share of Fixed Rate Non-Cumulative Perpetual Preferred Stock Series I of the Issuer</t>
  </si>
  <si>
    <t>Capital One Financial Corporation Depositary Shares Each Representing a 1/40th Interest in a Share of Fixed Rate Non- Cumulative Perpetual Preferred Stock Series J</t>
  </si>
  <si>
    <t>Capital One Financial Corporation Depositary Shares Each Representing a 1/40th Ownership Interest in a Share of Fixed Rate Non-Cumulative Perpetual Preferred Stock Series K</t>
  </si>
  <si>
    <t>Capital One Financial Corporation Depositary Shares Each Representing a 1/40th Interest in a Share of Fixed Rate Non-Cumulative Perpetual Preferred Stock Series L</t>
  </si>
  <si>
    <t>Capital One Financial Corporation Depositary Shares Each Representing a 1/40th Ownership Interest in a Share of Fixed Rate Non-Cumulative Perpetual Preferred Stock Series N</t>
  </si>
  <si>
    <t>ChoiceOne Financial Services Inc. Common Stock</t>
  </si>
  <si>
    <t>Cogent Biosciences Inc. Common Stock</t>
  </si>
  <si>
    <t>Cohen &amp; Company Inc.</t>
  </si>
  <si>
    <t>Coherent Corp. Common Stock</t>
  </si>
  <si>
    <t>Cohu Inc. Common Stock</t>
  </si>
  <si>
    <t>Coinbase Global Inc. Class A Common Stock</t>
  </si>
  <si>
    <t>Coca-Cola Consolidated Inc. Common Stock</t>
  </si>
  <si>
    <t>Columbia Banking System Inc. Common Stock</t>
  </si>
  <si>
    <t>Americold Realty Trust Inc. Common Stock</t>
  </si>
  <si>
    <t>Collegium Pharmaceutical Inc. Common Stock</t>
  </si>
  <si>
    <t>Columbia Sportswear Company Common Stock</t>
  </si>
  <si>
    <t>CommScope Holding Company Inc. Common Stock</t>
  </si>
  <si>
    <t>Compass Inc. Class A Common Stock</t>
  </si>
  <si>
    <t>COMSovereign Holding Corp. Common Stock</t>
  </si>
  <si>
    <t>COMSovereign Holding Corp. 9.25% Series A Cumulative Redeemable Perpetual Preferred Stock</t>
  </si>
  <si>
    <t>Conn's Inc. Common Stock</t>
  </si>
  <si>
    <t>CONX Corp. Class A Common Stock</t>
  </si>
  <si>
    <t>CONX Corp. Warrant</t>
  </si>
  <si>
    <t>The Cooper Companies Inc. Common Stock</t>
  </si>
  <si>
    <t>Traeger Inc. Common Stock</t>
  </si>
  <si>
    <t>Corner Growth Acquisition Corp. Class A Ordinary Shares</t>
  </si>
  <si>
    <t>Corner Growth Acquisition Corp. Unit</t>
  </si>
  <si>
    <t>Corner Growth Acquisition Corp. Warrant</t>
  </si>
  <si>
    <t>Mr. Cooper Group Inc. Common Stock</t>
  </si>
  <si>
    <t>ConocoPhillips Common Stock</t>
  </si>
  <si>
    <t>Cencora Inc. Common Stock</t>
  </si>
  <si>
    <t>Corcept Therapeutics Incorporated Common Stock</t>
  </si>
  <si>
    <t>Cosmos Health Inc. Common Stock</t>
  </si>
  <si>
    <t>Costco Wholesale Corporation Common Stock</t>
  </si>
  <si>
    <t>Coty Inc. Class A Common Stock</t>
  </si>
  <si>
    <t>Coursera Inc. Common Stock</t>
  </si>
  <si>
    <t>Coya Therapeutics Inc. Common Stock</t>
  </si>
  <si>
    <t>Canadian Pacific Kansas City Limited Common Shares</t>
  </si>
  <si>
    <t>Copa Holdings S.A. Class A Common Stock</t>
  </si>
  <si>
    <t>Cementos Pacasmayo S.A.A. American Depositary Shares (Each representing five Common Shares)</t>
  </si>
  <si>
    <t>Campbell Soup Company Common Stock</t>
  </si>
  <si>
    <t>Central Plains Bancshares Inc. Common Stock</t>
  </si>
  <si>
    <t>Callon Petroleum Company Common Stock</t>
  </si>
  <si>
    <t>Central Pacific Financial Corp New</t>
  </si>
  <si>
    <t>Crescent Point Energy Corporation Ordinary Shares (Canada)</t>
  </si>
  <si>
    <t>Canterbury Park Holding Corporation 'New' Common Stock</t>
  </si>
  <si>
    <t>China Pharma Holdings Inc. Common Stock</t>
  </si>
  <si>
    <t>Cumberland Pharmaceuticals Inc. Common Stock</t>
  </si>
  <si>
    <t>Chesapeake Utilities Corporation Common Stock</t>
  </si>
  <si>
    <t>Capital Product Partners L.P. Common Units</t>
  </si>
  <si>
    <t>Coupang Inc. Class A Common Stock</t>
  </si>
  <si>
    <t>Pop Culture Group Co. Ltd Class A Ordinary Shares</t>
  </si>
  <si>
    <t>Capri Holdings Limited Ordinary Shares</t>
  </si>
  <si>
    <t>Copart Inc. (DE) Common Stock</t>
  </si>
  <si>
    <t>Catalyst Pharmaceuticals Inc. Common Stock</t>
  </si>
  <si>
    <t>Cooper-Standard Holdings Inc. Common Stock</t>
  </si>
  <si>
    <t>CPS Technologies Corp. Common Stock</t>
  </si>
  <si>
    <t>Computer Programs and Systems Inc. Common Stock</t>
  </si>
  <si>
    <t>Consumer Portfolio Services Inc. Common Stock</t>
  </si>
  <si>
    <t>Camden Property Trust Common Stock</t>
  </si>
  <si>
    <t>Crown PropTech Acquisitions Class A Ordinary Shares</t>
  </si>
  <si>
    <t>Cepton Inc. Common Stock</t>
  </si>
  <si>
    <t>Cepton Inc. Warrant</t>
  </si>
  <si>
    <t>Calamos Long/Short Equity &amp; Dynamic Income Trust Common Stock</t>
  </si>
  <si>
    <t>Cheniere Energy Partners LP Common Units</t>
  </si>
  <si>
    <t>Crane Company Common Stock</t>
  </si>
  <si>
    <t>CRA International Inc. Common Stock</t>
  </si>
  <si>
    <t>Corebridge Financial Inc. Common Stock</t>
  </si>
  <si>
    <t>Corbus Pharmaceuticals Holdings Inc. Common Stock</t>
  </si>
  <si>
    <t>Caribou Biosciences Inc. Common Stock</t>
  </si>
  <si>
    <t>California Resources Corporation Common Stock</t>
  </si>
  <si>
    <t>Cricut Inc. Class A Common Stock</t>
  </si>
  <si>
    <t>Crawford &amp; Company</t>
  </si>
  <si>
    <t>Cardiff Oncology Inc. Common Stock</t>
  </si>
  <si>
    <t>Cardiol Therapeutics Inc. Class A Common Shares</t>
  </si>
  <si>
    <t>Credo Technology Group Holding Ltd Ordinary Shares</t>
  </si>
  <si>
    <t>Smart Powerr Corp. Common Stock</t>
  </si>
  <si>
    <t>Cresud S.A.C.I.F. y A. Warrant</t>
  </si>
  <si>
    <t>Cresud S.A.C.I.F. y A. American Depositary Shares</t>
  </si>
  <si>
    <t>Carbon Revolution Public Limited Ordinary Shares</t>
  </si>
  <si>
    <t>Carbon Revolution Public Limited Company Warrant</t>
  </si>
  <si>
    <t>Creative Realities Inc. Common Stock</t>
  </si>
  <si>
    <t>Cornerstone Total Return Fund Inc. (The) Common Stock</t>
  </si>
  <si>
    <t>Charge Enterprises Inc. Common Stock</t>
  </si>
  <si>
    <t>Freightos Limited Ordinary shares</t>
  </si>
  <si>
    <t>Freightos Limited Warrants</t>
  </si>
  <si>
    <t>CARGO Therapeutics Inc. Common Stock</t>
  </si>
  <si>
    <t>Crescent Energy Company Class A Common Stock</t>
  </si>
  <si>
    <t>CRH PLC Ordinary Shares</t>
  </si>
  <si>
    <t>Carter's Inc. Common Stock</t>
  </si>
  <si>
    <t>Curis Inc. Common Stock</t>
  </si>
  <si>
    <t>Comstock Resources Inc. Common Stock</t>
  </si>
  <si>
    <t>Crown Electrokinetics Corp. Common Stock</t>
  </si>
  <si>
    <t>Charles River Laboratories International Inc. Common Stock</t>
  </si>
  <si>
    <t>Salesforce Inc. Common Stock</t>
  </si>
  <si>
    <t>CorMedix Inc. Common Stock</t>
  </si>
  <si>
    <t>America's Car-Mart Inc Common Stock</t>
  </si>
  <si>
    <t>Cerence Inc. Common Stock</t>
  </si>
  <si>
    <t>Ceragon Networks Ltd. Ordinary Shares</t>
  </si>
  <si>
    <t>Crinetics Pharmaceuticals Inc. Common Stock</t>
  </si>
  <si>
    <t>Cronos Group Inc. Common Share</t>
  </si>
  <si>
    <t>Crocs Inc. Common Stock</t>
  </si>
  <si>
    <t>Carpenter Technology Corporation Common Stock</t>
  </si>
  <si>
    <t>CRISPR Therapeutics AG Common Shares</t>
  </si>
  <si>
    <t>Corsair Gaming Inc. Common Stock</t>
  </si>
  <si>
    <t>Cross Timbers Royalty Trust Common Stock</t>
  </si>
  <si>
    <t>Criteo S.A. American Depositary Shares</t>
  </si>
  <si>
    <t>Cirrus Logic Inc. Common Stock</t>
  </si>
  <si>
    <t>CorVel Corp. Common Stock</t>
  </si>
  <si>
    <t>CervoMed Inc. Common Stock</t>
  </si>
  <si>
    <t>Corvus Pharmaceuticals Inc. Common Stock</t>
  </si>
  <si>
    <t>CrowdStrike Holdings Inc. Class A Common Stock</t>
  </si>
  <si>
    <t>Crown Crafts Inc Common Stock</t>
  </si>
  <si>
    <t>Cosan S.A. ADS</t>
  </si>
  <si>
    <t>Champions Oncology Inc. Common Stock</t>
  </si>
  <si>
    <t>Cisco Systems Inc. Common Stock (DE)</t>
  </si>
  <si>
    <t>CoStar Group Inc. Common Stock</t>
  </si>
  <si>
    <t>CSG Systems International Inc. Common Stock</t>
  </si>
  <si>
    <t>Canadian Solar Inc. Common Shares (ON)</t>
  </si>
  <si>
    <t>Carlisle Companies Incorporated Common Stock</t>
  </si>
  <si>
    <t>CSLM Acquisition Corp. Class A Ordinary Share</t>
  </si>
  <si>
    <t>CSLM Acquisition Corp. Right</t>
  </si>
  <si>
    <t>Complete Solaria Inc. Common Stock</t>
  </si>
  <si>
    <t>Complete Solaria Inc. Warrants</t>
  </si>
  <si>
    <t>CSP Inc. Common Stock</t>
  </si>
  <si>
    <t>Calamos Strategic Total Return Common Stock</t>
  </si>
  <si>
    <t>D/B/A Centerspace Common Stock</t>
  </si>
  <si>
    <t xml:space="preserve">D/B/A Centerspace 6.625% Series C </t>
  </si>
  <si>
    <t>Chicken Soup for the Soul Entertainment Inc. Class A Common Stock</t>
  </si>
  <si>
    <t>Chicken Soup for the Soul Entertainment Inc. Warrant</t>
  </si>
  <si>
    <t>Chicken Soup for the Soul Entertainment Inc. 9.50% Notes due 2025</t>
  </si>
  <si>
    <t>Chicken Soup for the Soul Entertainment Inc. 9.75% Series A Cumulative Redeemable Perpetual Preferred Stock</t>
  </si>
  <si>
    <t>Constellation Acquisition Corp I Class A Ordinary Shares</t>
  </si>
  <si>
    <t>Caesarstone Ltd. Ordinary Shares</t>
  </si>
  <si>
    <t>Castle Biosciences Inc. Common Stock</t>
  </si>
  <si>
    <t>Constellium SE Ordinary Shares (France)</t>
  </si>
  <si>
    <t>CapStar Financial Holdings Inc. Common Stock</t>
  </si>
  <si>
    <t>Carriage Services Inc. Common Stock</t>
  </si>
  <si>
    <t>Capital Southwest Corporation Common Stock</t>
  </si>
  <si>
    <t>Capital Southwest Corporation 7.75% Notes due 2028</t>
  </si>
  <si>
    <t>CSW Industrials Inc. Common Stock</t>
  </si>
  <si>
    <t>CSX Corporation Common Stock</t>
  </si>
  <si>
    <t>EIDP Inc. Preferred Stock $3.50 Series</t>
  </si>
  <si>
    <t>EIDP Inc. Preferred Stock $4.50 Series</t>
  </si>
  <si>
    <t>Cintas Corporation Common Stock</t>
  </si>
  <si>
    <t>Qwest Corporation 6.5% Notes due 2056</t>
  </si>
  <si>
    <t>Community Trust Bancorp Inc. Common Stock</t>
  </si>
  <si>
    <t>Carmell Corporation Common Stock</t>
  </si>
  <si>
    <t>Carmell Corporation Warrant</t>
  </si>
  <si>
    <t>Qwest Corporation 6.75% Notes due 2057</t>
  </si>
  <si>
    <t>Contango ORE Inc. Common Stock</t>
  </si>
  <si>
    <t>Charles &amp; Colvard Ltd Common Stock</t>
  </si>
  <si>
    <t>Cytek Biosciences Inc. Common Stock</t>
  </si>
  <si>
    <t>Cantaloupe Inc. Common Stock</t>
  </si>
  <si>
    <t>Catalent Inc. Common Stock</t>
  </si>
  <si>
    <t>Castellum Inc. Common Stock</t>
  </si>
  <si>
    <t>CytomX Therapeutics Inc. Common Stock</t>
  </si>
  <si>
    <t>Cheetah Net Supply Chain Service Inc. Class A Common Stock</t>
  </si>
  <si>
    <t>CTO Realty Growth Inc. Common Stock</t>
  </si>
  <si>
    <t>CTO Realty Growth Inc. 6.375% Series A Cumulative Redeemable Preferred Stock</t>
  </si>
  <si>
    <t>Custom Truck One Source Inc. Common Stock</t>
  </si>
  <si>
    <t>ClearBridge MLP and Midstream Total Return Fund Inc. Common Stock</t>
  </si>
  <si>
    <t>Coterra Energy Inc. Common Stock</t>
  </si>
  <si>
    <t>CareTrust REIT Inc. Common Stock</t>
  </si>
  <si>
    <t>Castor Maritime Inc. Common Shares</t>
  </si>
  <si>
    <t>Citi Trends Inc. Common Stock</t>
  </si>
  <si>
    <t>CTS Corporation Common Stock</t>
  </si>
  <si>
    <t>Cognizant Technology Solutions Corporation Class A Common Stock</t>
  </si>
  <si>
    <t>Cytosorbents Corporation Common Stock</t>
  </si>
  <si>
    <t>Innovid Corp. Common Stock</t>
  </si>
  <si>
    <t xml:space="preserve">Corteva Inc. Common Stock </t>
  </si>
  <si>
    <t>Citius Pharmaceuticals Inc. Common Stock</t>
  </si>
  <si>
    <t>Herzfeld Caribbean Basin Fund Inc. (The) Common Stock</t>
  </si>
  <si>
    <t>Customers Bancorp Inc 5.375% Subordinated Notes Due 2034</t>
  </si>
  <si>
    <t>CubeSmart Common Shares</t>
  </si>
  <si>
    <t>Customers Bancorp Inc Common Stock</t>
  </si>
  <si>
    <t>Customers Bancorp Inc Fixed-to-Floating Rate Non-Cumulative Perpetual Preferred Stock Series E</t>
  </si>
  <si>
    <t>Customers Bancorp Inc Fixed-to-Floating Rate Non-Cumulative Perpetual Preferred Stock Series F</t>
  </si>
  <si>
    <t>Cue Biopharma Inc. Common Stock</t>
  </si>
  <si>
    <t>Carnival Plc ADS ADS</t>
  </si>
  <si>
    <t>Cullman Bancorp Inc. Common Stock</t>
  </si>
  <si>
    <t>Culp Inc. Common Stock</t>
  </si>
  <si>
    <t>CuriosityStream Inc. Class A Common Stock</t>
  </si>
  <si>
    <t>CuriosityStream Inc. Warrant</t>
  </si>
  <si>
    <t>CURO Group Holdings Corp. Common Stock</t>
  </si>
  <si>
    <t>Torrid Holdings Inc. Common Stock</t>
  </si>
  <si>
    <t>Cutera Inc. Common Stock</t>
  </si>
  <si>
    <t>Cousins Properties Incorporated Common Stock</t>
  </si>
  <si>
    <t>CureVac N.V. Ordinary Shares</t>
  </si>
  <si>
    <t>CVB Financial Corporation Common Stock</t>
  </si>
  <si>
    <t>Cavco Industries Inc. Common Stock When Issued</t>
  </si>
  <si>
    <t>Central Valley Community Bancorp Common Stock</t>
  </si>
  <si>
    <t>Cenovus Energy Inc Common Stock</t>
  </si>
  <si>
    <t>Civeo Corporation (Canada) Common Shares</t>
  </si>
  <si>
    <t>Commercial Vehicle Group Inc. Common Stock</t>
  </si>
  <si>
    <t>Calavo Growers Inc. Common Stock</t>
  </si>
  <si>
    <t>CVR Energy Inc. Common Stock</t>
  </si>
  <si>
    <t>Churchill Capital Corp VII Class A Common Stock</t>
  </si>
  <si>
    <t>Cadrenal Therapeutics Inc. Common Stock</t>
  </si>
  <si>
    <t>Covenant Logistics Group Inc. Class A Common Stock</t>
  </si>
  <si>
    <t>Commvault Systems Inc. Common Stock</t>
  </si>
  <si>
    <t>Codorus Valley Bancorp Inc Common Stock</t>
  </si>
  <si>
    <t>Cel-Sci Corporation Common Stock</t>
  </si>
  <si>
    <t>Carvana Co. Class A Common Stock</t>
  </si>
  <si>
    <t>Chicago Rivet &amp; Machine Co. Common Stock</t>
  </si>
  <si>
    <t>CVRx Inc. Common Stock</t>
  </si>
  <si>
    <t>CVS Health Corporation Common Stock</t>
  </si>
  <si>
    <t>CPI Aerostructures Inc. Common Stock</t>
  </si>
  <si>
    <t>CVD Equipment Corporation Common Stock</t>
  </si>
  <si>
    <t>Chevron Corporation Common Stock</t>
  </si>
  <si>
    <t>Curtiss-Wright Corporation Common Stock</t>
  </si>
  <si>
    <t>Clearwater Analytics Holdings Inc. Class A Common Stock</t>
  </si>
  <si>
    <t>Community West Bancshares Common Stock</t>
  </si>
  <si>
    <t>Consolidated Water Co. Ltd. Ordinary Shares</t>
  </si>
  <si>
    <t>CaliberCos Inc. Class A Common Stock</t>
  </si>
  <si>
    <t>Clearway Energy Inc. Class C Common Stock</t>
  </si>
  <si>
    <t>Camping World Holdings Inc. Class A Common Stock</t>
  </si>
  <si>
    <t>Cushman &amp; Wakefield plc Ordinary Shares</t>
  </si>
  <si>
    <t>Casella Waste Systems Inc. Class A Common Stock</t>
  </si>
  <si>
    <t>California Water Service Group Common Stock</t>
  </si>
  <si>
    <t>Cemex S.A.B. de C.V. Sponsored ADR</t>
  </si>
  <si>
    <t>CXApp Inc. Class A Common Stock</t>
  </si>
  <si>
    <t>CXApp Inc. Warrant</t>
  </si>
  <si>
    <t>Crexendo Inc. Common Stock</t>
  </si>
  <si>
    <t>MFS High Income Municipal Trust Common Stock</t>
  </si>
  <si>
    <t>MFS Investment Grade Municipal Trust Common Stock</t>
  </si>
  <si>
    <t>Sprinklr Inc. Class A Common Stock</t>
  </si>
  <si>
    <t>Crane NXT Co. Common Stock</t>
  </si>
  <si>
    <t>CoreCivic Inc. Common Stock</t>
  </si>
  <si>
    <t>Cyanotech Corporation Common Stock</t>
  </si>
  <si>
    <t>Cybin Inc. Common Shares</t>
  </si>
  <si>
    <t>CyberArk Software Ltd. Ordinary Shares</t>
  </si>
  <si>
    <t>Cyclacel Pharmaceuticals Inc. Common Stock</t>
  </si>
  <si>
    <t>Cyclacel Pharmaceuticals Inc. 6% Convertible Preferred Stock</t>
  </si>
  <si>
    <t>Cyclerion Therapeutics Inc. Common Stock</t>
  </si>
  <si>
    <t>China Yuchai International Limited Common Stock</t>
  </si>
  <si>
    <t>Community Health Systems Inc. Common Stock</t>
  </si>
  <si>
    <t>Cyngn Inc. Common Stock</t>
  </si>
  <si>
    <t>CryoPort Inc. Common Stock</t>
  </si>
  <si>
    <t>Cyteir Therapeutics Inc. Common Stock</t>
  </si>
  <si>
    <t>Cyclo Therapeutics Inc. Common Stock</t>
  </si>
  <si>
    <t>Cyclo Therapeutics Inc. Warrant</t>
  </si>
  <si>
    <t>Cytokinetics Incorporated Common Stock</t>
  </si>
  <si>
    <t>Altamira Therapeutics Ltd. Common Shares</t>
  </si>
  <si>
    <t>Citizens Financial Services Inc. Common Stock</t>
  </si>
  <si>
    <t>Citizens &amp; Northern Corp Common Stock</t>
  </si>
  <si>
    <t>Cazoo Group Ltd Class A Ordinary Shares</t>
  </si>
  <si>
    <t>Caesars Entertainment Inc. Common Stock</t>
  </si>
  <si>
    <t>Citizens Community Bancorp Inc. Common Stock</t>
  </si>
  <si>
    <t>Dominion Energy Inc. Common Stock</t>
  </si>
  <si>
    <t>Danaos Corporation Common Stock</t>
  </si>
  <si>
    <t>Dada Nexus Limited American Depositary Shares</t>
  </si>
  <si>
    <t>Data I/O Corporation Common Stock</t>
  </si>
  <si>
    <t>Daktronics Inc. Common Stock</t>
  </si>
  <si>
    <t>Delta Air Lines Inc. Common Stock</t>
  </si>
  <si>
    <t>DallasNews Corporation Series A Common Stock</t>
  </si>
  <si>
    <t xml:space="preserve">Dana Incorporated Common Stock </t>
  </si>
  <si>
    <t>Youdao Inc. American Depositary Shares each representing one Class A Ordinary Share</t>
  </si>
  <si>
    <t>Darling Ingredients Inc. Common Stock</t>
  </si>
  <si>
    <t>Dare Bioscience Inc. Common Stock</t>
  </si>
  <si>
    <t>DoorDash Inc. Class A Common Stock</t>
  </si>
  <si>
    <t>DatChat Inc. Common Stock</t>
  </si>
  <si>
    <t>DatChat Inc. Series A Warrant</t>
  </si>
  <si>
    <t>Endava plc American Depositary Shares (each representing one Class A Ordinary Share)</t>
  </si>
  <si>
    <t>Dave Inc. Class A Common Stock</t>
  </si>
  <si>
    <t>Dave Inc. Warrants</t>
  </si>
  <si>
    <t>Day One Biopharmaceuticals Inc. Common Stock</t>
  </si>
  <si>
    <t>Deutsche Bank AG Common Stock</t>
  </si>
  <si>
    <t>Diebold Nixdorf Incorporated Common stock</t>
  </si>
  <si>
    <t>Digital Brands Group Inc. Common Stock</t>
  </si>
  <si>
    <t>Digital Brands Group Inc. Warrant</t>
  </si>
  <si>
    <t>Designer Brands Inc. Class A Common Stock</t>
  </si>
  <si>
    <t>DoubleLine Opportunistic Credit Fund Common Shares of Beneficial Interest</t>
  </si>
  <si>
    <t>DigitalBridge Group Inc.</t>
  </si>
  <si>
    <t xml:space="preserve">DigitalBridge Group Inc. 7.125% Series H </t>
  </si>
  <si>
    <t xml:space="preserve">DigitalBridge Group Inc. 7.15% Series I </t>
  </si>
  <si>
    <t xml:space="preserve">DigitalBridge Group Inc. 7.125% Series J </t>
  </si>
  <si>
    <t>DBV Technologies S.A. American Depositary Shares</t>
  </si>
  <si>
    <t>Dropbox Inc. Class A Common Stock</t>
  </si>
  <si>
    <t>Dakota Gold Corp. Common Stock</t>
  </si>
  <si>
    <t>Docebo Inc. Common Shares</t>
  </si>
  <si>
    <t>BNY Mellon Alcentra Global Credit Income 2024 Target Term Fund Inc. Common Stock</t>
  </si>
  <si>
    <t>Tritium DCFC Limited Ordinary Shares</t>
  </si>
  <si>
    <t>Tritium DCFC Limited Warrant</t>
  </si>
  <si>
    <t>DocGo Inc. Common Stock</t>
  </si>
  <si>
    <t>Donaldson Company Inc. Common Stock</t>
  </si>
  <si>
    <t>Ducommun Incorporated Common Stock</t>
  </si>
  <si>
    <t>Dime Community Bancshares Inc. Common Stock</t>
  </si>
  <si>
    <t>Dime Community Bancshares Inc. Fixed-Rate Non-Cumulative Perpetual Preferred Stock Series A</t>
  </si>
  <si>
    <t>Deciphera Pharmaceuticals Inc. Common Stock</t>
  </si>
  <si>
    <t>Delcath Systems Inc. Common Stock</t>
  </si>
  <si>
    <t>DuPont de Nemours Inc. Common Stock</t>
  </si>
  <si>
    <t>DDC Enterprise Limited Class A Ordinary Shares</t>
  </si>
  <si>
    <t>3D Systems Corporation Common Stock</t>
  </si>
  <si>
    <t>DoubleDown Interactive Co. Ltd. American Depository Shares</t>
  </si>
  <si>
    <t>Dingdong (Cayman) Limited American Depositary Shares (each two representing three Ordinary Shares)</t>
  </si>
  <si>
    <t>Datadog Inc. Class A Common Stock</t>
  </si>
  <si>
    <t>Dillard's Inc. Common Stock</t>
  </si>
  <si>
    <t>Dillard's Capital Trust I</t>
  </si>
  <si>
    <t>Deere &amp; Company Common Stock</t>
  </si>
  <si>
    <t>Easterly Government Properties Inc. Common Stock</t>
  </si>
  <si>
    <t>Diversified Energy Company plc Ordinary Shares</t>
  </si>
  <si>
    <t>Denali Capital Acquisition Corp. Class A Ordinary Shares</t>
  </si>
  <si>
    <t>Denali Capital Acquisition Corp. Unit</t>
  </si>
  <si>
    <t>Deckers Outdoor Corporation Common Stock</t>
  </si>
  <si>
    <t>Douglas Emmett Inc. Common Stock</t>
  </si>
  <si>
    <t xml:space="preserve">Dell Technologies Inc. Class C Common Stock </t>
  </si>
  <si>
    <t>Denny's Corporation Common Stock</t>
  </si>
  <si>
    <t>Diageo plc Common Stock</t>
  </si>
  <si>
    <t>Journey Medical Corporation Common Stock</t>
  </si>
  <si>
    <t>Despegar.com Corp. Ordinary Shares</t>
  </si>
  <si>
    <t>Dream Finders Homes Inc. Class A Common Stock</t>
  </si>
  <si>
    <t xml:space="preserve">Donnelley Financial Solutions Inc. Common Stock </t>
  </si>
  <si>
    <t>Dragonfly Energy Holdings Corp. Common Stock (NV)</t>
  </si>
  <si>
    <t>Dragonfly Energy Holdings Corp. Warrant</t>
  </si>
  <si>
    <t>Flaherty &amp; Crumrine Dynamic Preferred and Income Fund Inc. Common Stock</t>
  </si>
  <si>
    <t>Discover Financial Services Common Stock</t>
  </si>
  <si>
    <t>Dollar General Corporation Common Stock</t>
  </si>
  <si>
    <t>Digihost Technology Inc. Common Subordinate Voting Shares</t>
  </si>
  <si>
    <t>Donegal Group Inc. Class A Common Stock</t>
  </si>
  <si>
    <t>Donegal Group Inc. Class B Common Stock</t>
  </si>
  <si>
    <t>Digi International Inc. Common Stock</t>
  </si>
  <si>
    <t>Digital Ally Inc. Common Stock</t>
  </si>
  <si>
    <t>Quest Diagnostics Incorporated Common Stock</t>
  </si>
  <si>
    <t>Definitive Healthcare Corp. Class A Common Stock</t>
  </si>
  <si>
    <t>Digital Health Acquisition Corp. Common Stock</t>
  </si>
  <si>
    <t>Digital Health Acquisition Corp. Warrant</t>
  </si>
  <si>
    <t>Diversified Healthcare Trust Common Shares of Beneficial Interest</t>
  </si>
  <si>
    <t>DHC Acquisition Corp. Class A ordinary share</t>
  </si>
  <si>
    <t>DHC Acquisition Corp. Warrant</t>
  </si>
  <si>
    <t>Diversified Healthcare Trust 5.625% Senior Notes due 2042</t>
  </si>
  <si>
    <t>Diversified Healthcare Trust 6.25% Senior Notes Due 2046</t>
  </si>
  <si>
    <t>BNY Mellon High Yield Strategies Fund Common Stock</t>
  </si>
  <si>
    <t>D.R. Horton Inc. Common Stock</t>
  </si>
  <si>
    <t>Diamond Hill Investment Group Inc. Class A Common Stock</t>
  </si>
  <si>
    <t>Danaher Corporation Common Stock</t>
  </si>
  <si>
    <t>DHT Holdings Inc.</t>
  </si>
  <si>
    <t>DHI Group Inc. Common Stock</t>
  </si>
  <si>
    <t>Credit Suisse High Yield Bond Fund Common Stock</t>
  </si>
  <si>
    <t>Nuveen Dow 30SM Dynamic Overwrite Fund Common Shares of Beneficial Interest</t>
  </si>
  <si>
    <t>1stdibs.com Inc. Common Stock</t>
  </si>
  <si>
    <t>Dine Brands Global Inc. Common Stock</t>
  </si>
  <si>
    <t>HF Sinclair Corporation Common Stock</t>
  </si>
  <si>
    <t>Diodes Incorporated Common Stock</t>
  </si>
  <si>
    <t>Walt Disney Company (The) Common Stock</t>
  </si>
  <si>
    <t>Distoken Acquisition Corporation Ordinary Shares</t>
  </si>
  <si>
    <t>Distoken Acquisition Corporation Right</t>
  </si>
  <si>
    <t>Distoken Acquisition Corporation Warrant</t>
  </si>
  <si>
    <t>AMCON Distributing Company Common Stock</t>
  </si>
  <si>
    <t>Daily Journal Corp. (S.C.) Common Stock</t>
  </si>
  <si>
    <t>Delek US Holdings Inc. Common Stock</t>
  </si>
  <si>
    <t>Delek Logistics Partners L.P. Common Units representing Limited Partner Interests</t>
  </si>
  <si>
    <t>DraftKings Inc. Class A Common Stock</t>
  </si>
  <si>
    <t>Dick's Sporting Goods Inc Common Stock</t>
  </si>
  <si>
    <t>Delta Apparel Inc. Common Stock</t>
  </si>
  <si>
    <t>Dolby Laboratories Common Stock</t>
  </si>
  <si>
    <t>DLH Holdings Corp.</t>
  </si>
  <si>
    <t>Dynagas LNG Partners LP Common Units</t>
  </si>
  <si>
    <t>Dynagas LNG Partners LP 9.00% Series A Cumulative Redeemable Preferred Units</t>
  </si>
  <si>
    <t>Dynagas LNG Partners LP 8.75% Series B Fixed to Floating Rate Cumulative Redeemable Perpetual Preferred Units liquidation preference $25.00 per Uni</t>
  </si>
  <si>
    <t>DLocal Limited Class A Common Shares</t>
  </si>
  <si>
    <t>Dolphin Entertainment Inc. Common Stock</t>
  </si>
  <si>
    <t>Digital Realty Trust Inc. Common Stock</t>
  </si>
  <si>
    <t>Digital Realty Trust Inc. 5.250% Series J Cumulative Redeemable Preferred Stock</t>
  </si>
  <si>
    <t>Digital Realty Trust Inc. 5.850% Series K Cumulative Redeemable Preferred Stock par value $0.01 per share</t>
  </si>
  <si>
    <t>Digital Realty Trust Inc. 5.200% Series L Cumulative Redeemable Preferred Stock</t>
  </si>
  <si>
    <t>Duluth Holdings Inc. Class B Common Stock</t>
  </si>
  <si>
    <t>Dollar Tree Inc. Common Stock</t>
  </si>
  <si>
    <t>Deluxe Corporation Common Stock</t>
  </si>
  <si>
    <t>DoubleLine Yield Opportunities Fund Common Shares of Beneficial Interest</t>
  </si>
  <si>
    <t>Desktop Metal Inc. Class A Common Stock</t>
  </si>
  <si>
    <t>Destra Multi-Alternative Fund Common Stock</t>
  </si>
  <si>
    <t>DiaMedica Therapeutics Inc. Common Stock</t>
  </si>
  <si>
    <t>Deep Medicine Acquisition Corp. Class A Common Stock</t>
  </si>
  <si>
    <t>Deep Medicine Acquisition Corp. Rights</t>
  </si>
  <si>
    <t>BNY Mellon Municipal Bond Infrastructure Fund Inc. Common Stock</t>
  </si>
  <si>
    <t>BNY Mellon Municipal Income Inc. Common Stock</t>
  </si>
  <si>
    <t>DMK Pharmaceuticals Corporation Common Stock</t>
  </si>
  <si>
    <t>Dorchester Minerals L.P. Common Units Representing Limited Partnership Interests</t>
  </si>
  <si>
    <t>Western Asset Mortgage Opportunity Fund Inc. Common Stock</t>
  </si>
  <si>
    <t>Digimarc Corporation Common Stock</t>
  </si>
  <si>
    <t>DermTech Inc. Common Stock</t>
  </si>
  <si>
    <t>dMY Squared Technology Group Inc. Class A Common Stock</t>
  </si>
  <si>
    <t>Ginkgo Bioworks Holdings Inc. Class A Common Stock</t>
  </si>
  <si>
    <t>Dun &amp; Bradstreet Holdings Inc. Common Stock</t>
  </si>
  <si>
    <t>Denali Therapeutics Inc. Common Stock</t>
  </si>
  <si>
    <t>Danimer Scientific Inc. Common Stock</t>
  </si>
  <si>
    <t>Denison Mines Corp Ordinary Shares (Canada)</t>
  </si>
  <si>
    <t>NOW Inc. Common Stock</t>
  </si>
  <si>
    <t>DNP Select Income Fund Inc. Common Stock</t>
  </si>
  <si>
    <t>Dianthus Therapeutics Inc. Common Stock</t>
  </si>
  <si>
    <t>Krispy Kreme Inc. Common Stock</t>
  </si>
  <si>
    <t>Diamond Offshore Drilling Inc. Common Stock</t>
  </si>
  <si>
    <t>Physicians Realty Trust Common Shares of Beneficial Interest</t>
  </si>
  <si>
    <t>DigitalOcean Holdings Inc. Common Stock</t>
  </si>
  <si>
    <t>Doximity Inc. Class A Common Stock</t>
  </si>
  <si>
    <t>DocuSign Inc. Common Stock</t>
  </si>
  <si>
    <t>Dogness (International) Corporation Class A Common Stock</t>
  </si>
  <si>
    <t>Dole plc Ordinary Shares</t>
  </si>
  <si>
    <t>Doma Holdings Inc. Common Stock</t>
  </si>
  <si>
    <t>Dominari Holdings Inc. Common Stock</t>
  </si>
  <si>
    <t>Domo Inc. Class B Common Stock</t>
  </si>
  <si>
    <t>BRP Inc. (Recreational Products) Common Subordinate Voting Shares</t>
  </si>
  <si>
    <t>Masonite International Corporation Ordinary Shares (Canada)</t>
  </si>
  <si>
    <t>Dorman Products Inc. Common Stock</t>
  </si>
  <si>
    <t>Douglas Elliman Inc. Common Stock</t>
  </si>
  <si>
    <t>Dover Corporation Common Stock</t>
  </si>
  <si>
    <t xml:space="preserve">Dow Inc. Common Stock </t>
  </si>
  <si>
    <t>Amdocs Limited Ordinary Shares</t>
  </si>
  <si>
    <t>DouYu International Holdings Limited ADS</t>
  </si>
  <si>
    <t>DP Cap Acquisition Corp I Class A Ordinary Shares</t>
  </si>
  <si>
    <t>DP Cap Acquisition Corp I Warrants</t>
  </si>
  <si>
    <t>Duff &amp; Phelps Utility and Infrastructure Fund Inc.</t>
  </si>
  <si>
    <t>Draganfly Inc. Common Shares</t>
  </si>
  <si>
    <t>DecisionPoint Systems Inc. Common Stock</t>
  </si>
  <si>
    <t>Domino's Pizza Inc Common Stock</t>
  </si>
  <si>
    <t>DAQO New Energy Corp. American Depositary Shares each representing five ordinary shares</t>
  </si>
  <si>
    <t>Direct Digital Holdings Inc. Class A Common Stock</t>
  </si>
  <si>
    <t>DRDGOLD Limited American Depositary Shares</t>
  </si>
  <si>
    <t>Diamondrock Hospitality Company Common Stock</t>
  </si>
  <si>
    <t>Diamondrock Hospitality Company 8.250% Series A Cumulative Redeemable Preferred Stock</t>
  </si>
  <si>
    <t>Darden Restaurants Inc. Common Stock</t>
  </si>
  <si>
    <t>DarioHealth Corp. Common Stock</t>
  </si>
  <si>
    <t>Dermata Therapeutics Inc. Common Stock</t>
  </si>
  <si>
    <t>Dermata Therapeutics Inc. Warrant</t>
  </si>
  <si>
    <t>Dril-Quip Inc. Common Stock</t>
  </si>
  <si>
    <t>DURECT Corporation Common Stock</t>
  </si>
  <si>
    <t>Leonardo DRS Inc. Common Stock</t>
  </si>
  <si>
    <t>Alpha Tau Medical Ltd. Ordinary Shares</t>
  </si>
  <si>
    <t>Alpha Tau Medical Ltd. Warrant</t>
  </si>
  <si>
    <t>Bright Minds Biosciences Inc. Common Stock</t>
  </si>
  <si>
    <t>Driven Brands Holdings Inc. Common Stock</t>
  </si>
  <si>
    <t>Direct Selling Acquisition Corp. Class A Common Stock</t>
  </si>
  <si>
    <t>Design Therapeutics Inc. Common Stock</t>
  </si>
  <si>
    <t>Distribution Solutions Group Inc. Common Stock</t>
  </si>
  <si>
    <t>Descartes Systems Group Inc. (The) Common Stock</t>
  </si>
  <si>
    <t>Daseke Inc. Common Stock</t>
  </si>
  <si>
    <t>DoubleLine Income Solutions Fund Common Shares of Beneficial Interests</t>
  </si>
  <si>
    <t>BNY Mellon Strategic Municipal Bond Fund Inc. Common Stock</t>
  </si>
  <si>
    <t>Viant Technology Inc. Class A Common Stock</t>
  </si>
  <si>
    <t>DSS Inc. Common Stock</t>
  </si>
  <si>
    <t>Blackrock Debt Strategies Fund Inc. Common Stock</t>
  </si>
  <si>
    <t>Deswell Industries Inc. Common Shares</t>
  </si>
  <si>
    <t>Diana Shipping inc. common stock</t>
  </si>
  <si>
    <t>Diana Shipping Inc. Perpetual Preferred Shares Series B (Marshall Islands)</t>
  </si>
  <si>
    <t>Dynatrace Inc. Common Stock</t>
  </si>
  <si>
    <t>DTE Energy Company 2020 Series G 4.375% Junior Subordinated Debentures due 2080</t>
  </si>
  <si>
    <t>Solo Brands Inc. Class A Common Stock</t>
  </si>
  <si>
    <t>Davis Commodities Limited Ordinary Shares</t>
  </si>
  <si>
    <t>DTE Energy Company Common Stock</t>
  </si>
  <si>
    <t>DTF Tax-Free Income 2028 Term Fund Inc. Common Stock</t>
  </si>
  <si>
    <t>DTE Energy Company 2021 Series E 4.375% Junior Subordinated Debentures</t>
  </si>
  <si>
    <t>Drilling Tools International Corporation Common Stock</t>
  </si>
  <si>
    <t>Precision BioSciences Inc. Common Stock</t>
  </si>
  <si>
    <t xml:space="preserve">DT Midstream Inc. Common Stock </t>
  </si>
  <si>
    <t>Datasea Inc. Common Stock</t>
  </si>
  <si>
    <t>Data Storage Corporation Common Stock</t>
  </si>
  <si>
    <t>Data Storage Corporation Warrant</t>
  </si>
  <si>
    <t>DTE Energy Company 2017 Series E 5.25% Junior Subordinated Debentures due 2077</t>
  </si>
  <si>
    <t>DUET Acquisition Corp. Class A Common Stock</t>
  </si>
  <si>
    <t>DUET Acquisition Corp. Unit</t>
  </si>
  <si>
    <t>DUET Acquisition Corp. Warrant</t>
  </si>
  <si>
    <t>Duke Energy Corporation (Holding Company) Common Stock</t>
  </si>
  <si>
    <t>Duke Energy Corporation Depositary Shares each representing a 1/1000th interest in a share of 5.75% Series A Cumulative Redeemable Perpetual Preferred Stock</t>
  </si>
  <si>
    <t>Duke Energy Corporation 5.625% Junior Subordinated Debentures due 2078</t>
  </si>
  <si>
    <t>Fangdd Network Group Ltd. American Depositary Shares</t>
  </si>
  <si>
    <t>Duolingo Inc. Class A Common Stock</t>
  </si>
  <si>
    <t>Duos Technologies Group Inc. Common Stock</t>
  </si>
  <si>
    <t>DoubleVerify Holdings Inc. Common Stock</t>
  </si>
  <si>
    <t>DaVita Inc. Common Stock</t>
  </si>
  <si>
    <t>Dynavax Technologies Corporation Common Stock</t>
  </si>
  <si>
    <t>Devon Energy Corporation Common Stock</t>
  </si>
  <si>
    <t>Digital World Acquisition Corp. Class A Common Stock</t>
  </si>
  <si>
    <t>Digital World Acquisition Corp. Units</t>
  </si>
  <si>
    <t>Digital World Acquisition Corp. Warrants</t>
  </si>
  <si>
    <t>Dawson Geophysical Company Common Stock</t>
  </si>
  <si>
    <t>Dynex Capital Inc. Common Stock</t>
  </si>
  <si>
    <t>Dynex Capital Inc. 6.900% Series C Fixed-to-Floating Rate Cumulative Redeemable Preferred Stock</t>
  </si>
  <si>
    <t xml:space="preserve">DXC Technology Company Common Stock </t>
  </si>
  <si>
    <t>DexCom Inc. Common Stock</t>
  </si>
  <si>
    <t>Dunxin Financial Holdings Limited American Depositary Shares</t>
  </si>
  <si>
    <t>Destination XL Group Inc. Common Stock</t>
  </si>
  <si>
    <t>DXP Enterprises Inc. Common Stock</t>
  </si>
  <si>
    <t>Daxor Corporation Common Stock</t>
  </si>
  <si>
    <t>Dixie Group Inc. (The) Common Stock</t>
  </si>
  <si>
    <t>Dycom Industries Inc. Common Stock</t>
  </si>
  <si>
    <t>Dyadic International Inc. Common Stock</t>
  </si>
  <si>
    <t>Dyne Therapeutics Inc. Common Stock</t>
  </si>
  <si>
    <t>Dynatronics Corporation Common Stock</t>
  </si>
  <si>
    <t>DZS Inc. Common Stock</t>
  </si>
  <si>
    <t>ENI S.p.A. Common Stock</t>
  </si>
  <si>
    <t>Electronic Arts Inc. Common Stock</t>
  </si>
  <si>
    <t>Edify Acquisition Corp. Class A Common Stock</t>
  </si>
  <si>
    <t>Edify Acquisition Corp. Warrant</t>
  </si>
  <si>
    <t>Allspring Income Opportunities Fund Common Shares</t>
  </si>
  <si>
    <t>GrafTech International Ltd. Common Stock</t>
  </si>
  <si>
    <t>Entergy Arkansas LLC First Mortgage Bonds 4.875% Series Due September 1 2066</t>
  </si>
  <si>
    <t>Eargo Inc. Common Stock</t>
  </si>
  <si>
    <t>Ellington Residential Mortgage REIT Common Shares of Beneficial Interest</t>
  </si>
  <si>
    <t>Eastside Distilling Inc. Common Stock</t>
  </si>
  <si>
    <t>Brinker International Inc. Common Stock</t>
  </si>
  <si>
    <t>Eventbrite Inc. Class A Common Stock</t>
  </si>
  <si>
    <t>eBay Inc. Common Stock</t>
  </si>
  <si>
    <t>Eastern Bankshares Inc. Common Stock</t>
  </si>
  <si>
    <t>Ennis Inc. Common Stock</t>
  </si>
  <si>
    <t>Eagle Bancorp Montana Inc. Common Stock</t>
  </si>
  <si>
    <t>Ebang International Holdings Inc. Class A Ordinary Shares</t>
  </si>
  <si>
    <t>Centrais Electricas Brasileiras S A American Depositary Shares (Each representing one Common Share)</t>
  </si>
  <si>
    <t>Emergent Biosolutions Inc. Common Stock</t>
  </si>
  <si>
    <t>Enterprise Bancorp Inc Common Stock</t>
  </si>
  <si>
    <t>Ecopetrol S.A. American Depositary Shares</t>
  </si>
  <si>
    <t>BlackRock ESG Capital Allocation Term Trust Common Shares of Beneficial Interest</t>
  </si>
  <si>
    <t>ECB Bancorp Inc. Common Stock</t>
  </si>
  <si>
    <t>Eagle Point Credit Company Inc. Common Stock</t>
  </si>
  <si>
    <t>Eagle Point Credit Company Inc. 6.75% Series D Preferred Stock</t>
  </si>
  <si>
    <t>Eagle Point Credit Company Inc. 6.50% Series C Term Preferred Stock due 2031</t>
  </si>
  <si>
    <t>Eagle Point Credit Company Inc. 5.375% Notes due 2029</t>
  </si>
  <si>
    <t>Eagle Point Credit Company Inc. 6.75% Notes due 2031</t>
  </si>
  <si>
    <t>Eagle Point Credit Company Inc. 6.6875% Notes due 2028</t>
  </si>
  <si>
    <t>ECD Automotive Design Inc. Common Stock</t>
  </si>
  <si>
    <t xml:space="preserve">ECD Automotive Design Inc. Warrant </t>
  </si>
  <si>
    <t>Ellsworth Growth and Income Fund Ltd.</t>
  </si>
  <si>
    <t>Ellsworth Growth and Income Fund Ltd. 5.25% Series A Cumulative Preferred Shares (Liquidation Preference $25.00 per share)</t>
  </si>
  <si>
    <t>Ecolab Inc. Common Stock</t>
  </si>
  <si>
    <t>Okeanis Eco Tankers Corp. Common Stock</t>
  </si>
  <si>
    <t>electroCore Inc. Common Stock</t>
  </si>
  <si>
    <t>Encore Capital Group Inc Common Stock</t>
  </si>
  <si>
    <t>Ecovyst Inc. Common Stock</t>
  </si>
  <si>
    <t>ECARX Holdings Inc. Class A Ordinary shares</t>
  </si>
  <si>
    <t>Consolidated Edison Inc. Common Stock</t>
  </si>
  <si>
    <t>EDAP TMS S.A. American Depositary Shares</t>
  </si>
  <si>
    <t>Edible Garden AG Incorporated Common Stock</t>
  </si>
  <si>
    <t>Edible Garden AG Incorporated Warrant</t>
  </si>
  <si>
    <t>Morgan Stanley Emerging Markets Domestic Debt Fund Inc. Common Stock</t>
  </si>
  <si>
    <t>Virtus Stone Harbor Emerging Markets Income Fund Common Shares of Beneficial Interest</t>
  </si>
  <si>
    <t>Editas Medicine Inc. Common Stock</t>
  </si>
  <si>
    <t>Empresa Distribuidora Y Comercializadora Norte S.A. (Edenor) American Depositary Shares</t>
  </si>
  <si>
    <t>Endeavor Group Holdings Inc. Class A Common Stock</t>
  </si>
  <si>
    <t xml:space="preserve">EuroDry Ltd. Common Shares </t>
  </si>
  <si>
    <t>Edesa Biotech Inc. Common Shares</t>
  </si>
  <si>
    <t>Skillful Craftsman Education Technology Limited Ordinary Share</t>
  </si>
  <si>
    <t>New Oriental Education &amp; Technology Group Inc. Sponsored ADR representing 10 Ordinary Share (Cayman Islands)</t>
  </si>
  <si>
    <t>Educational Development Corporation Common Stock</t>
  </si>
  <si>
    <t>Excelerate Energy Inc. Class A Common Stock</t>
  </si>
  <si>
    <t>The European Equity Fund Inc. Common Stock</t>
  </si>
  <si>
    <t>Euronet Worldwide Inc. Common Stock</t>
  </si>
  <si>
    <t>EpicQuest Education Group International Limited Common Stock</t>
  </si>
  <si>
    <t>Emerald Holding Inc. Common Stock</t>
  </si>
  <si>
    <t xml:space="preserve">Ellington Financial Inc. Common Stock </t>
  </si>
  <si>
    <t>Ellington Financial Inc. 6.750% Series A Fixed-to-Floating Rate Cumulative Redeemable Preferred Stock</t>
  </si>
  <si>
    <t>Ellington Financial Inc. 6.250% Series B Fixed-Rate Reset Cumulative Redeemable Preferred Stock</t>
  </si>
  <si>
    <t>Ellington Financial Inc. 8.625% Series C Fixed-Rate Reset Cumulative Redeemable Preferred Stock</t>
  </si>
  <si>
    <t>Ellington Financial Inc. 7.00% Series D Cumulative Perpetual Redeemable Preferred Stock</t>
  </si>
  <si>
    <t>Ellington Financial Inc. 8.250% Series E Fixed-to-Floating Rate Cumulative Redeemable Preferred Stock</t>
  </si>
  <si>
    <t>Energy Focus Inc. Common Stock</t>
  </si>
  <si>
    <t>Eaton Vance Senior Floating-Rate Fund Common Shares of Beneficial Interest</t>
  </si>
  <si>
    <t>Enterprise Financial Services Corporation Common Stock</t>
  </si>
  <si>
    <t>Enterprise Financial Services Corporation Depositary Shares Each Representing a 1/40th Interest in a Share of 5% Fixed Rate Non-Cumulative Perpetual Preferred Stock Series A</t>
  </si>
  <si>
    <t>1847 Holdings LLC Common Shares</t>
  </si>
  <si>
    <t>Eaton Vance Floating Rate Income Trust Common Shares of Beneficial Interest</t>
  </si>
  <si>
    <t>eFFECTOR Therapeutics Inc. Common Stock</t>
  </si>
  <si>
    <t>eFFECTOR Therapeutics Inc. Warrant</t>
  </si>
  <si>
    <t>Equifax Inc. Common Stock</t>
  </si>
  <si>
    <t>Enerflex Ltd Common Shares</t>
  </si>
  <si>
    <t>Everest Group Ltd. Common Stock</t>
  </si>
  <si>
    <t>eGain Corporation Common Stock</t>
  </si>
  <si>
    <t>Eagle Bancorp Inc. Common Stock</t>
  </si>
  <si>
    <t>Blackrock Enhanced Government Fund Inc. Common Stock</t>
  </si>
  <si>
    <t>8x8 Inc Common Stock</t>
  </si>
  <si>
    <t>Edgio Inc. Common Stock</t>
  </si>
  <si>
    <t>Eagle Bulk Shipping Inc. Common Stock</t>
  </si>
  <si>
    <t>Eldorado Gold Corporation Ordinary Shares</t>
  </si>
  <si>
    <t>Next.e.GO N.V. Ordinary Shares</t>
  </si>
  <si>
    <t>EastGroup Properties Inc. Common Stock</t>
  </si>
  <si>
    <t>Eagle Pharmaceuticals Inc. Common Stock</t>
  </si>
  <si>
    <t>VAALCO Energy Inc.  Common Stock</t>
  </si>
  <si>
    <t>EHang Holdings Limited ADS</t>
  </si>
  <si>
    <t>Enhabit Inc. Common Stock</t>
  </si>
  <si>
    <t>Encompass Health Corporation Common Stock</t>
  </si>
  <si>
    <t>Western Asset Global High Income Fund Inc Common Stock</t>
  </si>
  <si>
    <t>eHealth Inc. Common Stock</t>
  </si>
  <si>
    <t>Eagle Point Income Company Inc. Common Stock</t>
  </si>
  <si>
    <t>Eagle Point Income Company Inc. 5.00% Series A Term Preferred Stock due 2026</t>
  </si>
  <si>
    <t>Eagle Point Income Company Inc. 7.75% Series B Term Preferred Stock Due 2028</t>
  </si>
  <si>
    <t>Employers Holdings Inc Common Stock</t>
  </si>
  <si>
    <t>Eiger BioPharmaceuticals Inc. Common Stock</t>
  </si>
  <si>
    <t>Eaton Vance Municipal Bond Fund Common Shares of Beneficial Interest $.01 par value</t>
  </si>
  <si>
    <t>Edison International Common Stock</t>
  </si>
  <si>
    <t>E-Home Household Service Holdings Limited Ordinary Shares</t>
  </si>
  <si>
    <t>Ekso Bionics Holdings Inc. Common Stock</t>
  </si>
  <si>
    <t>Estee Lauder Companies Inc. (The) Common Stock</t>
  </si>
  <si>
    <t>Envela Corporation Common Stock</t>
  </si>
  <si>
    <t>Elevai Labs Inc. Common Stock</t>
  </si>
  <si>
    <t>Elanco Animal Health Incorporated Common Stock</t>
  </si>
  <si>
    <t>Electra Battery Materials Corporation Common Stock</t>
  </si>
  <si>
    <t>Entergy Louisiana Inc. Collateral Trust Mortgage Bonds 4.875 % Series due September 1 2066</t>
  </si>
  <si>
    <t>Eledon Pharmaceuticals Inc. Common Stock</t>
  </si>
  <si>
    <t>Elevation Oncology Inc. Common stock</t>
  </si>
  <si>
    <t>e.l.f. Beauty Inc. Common Stock</t>
  </si>
  <si>
    <t>Electriq Power Holdings Inc. Class A Common Stock</t>
  </si>
  <si>
    <t>Ellomay Capital Ltd Ordinary Shares (Israel)</t>
  </si>
  <si>
    <t>Electromed Inc. Common Stock</t>
  </si>
  <si>
    <t>Elme Communities Common Stock</t>
  </si>
  <si>
    <t>Companhia Paranaense de Energia (COPEL) American Depositary Shares (each representing one Unit consisting one Common Share and four non-voting Class B Preferred Shares)</t>
  </si>
  <si>
    <t>Companhia Paranaense de Energia (COPEL) American Depositary Shares (each representing four (4) Common Shares)</t>
  </si>
  <si>
    <t>Equity Lifestyle Properties Inc. Common Stock</t>
  </si>
  <si>
    <t>Electro-Sensors Inc. Common Stock</t>
  </si>
  <si>
    <t>Eltek Ltd. Ordinary Shares</t>
  </si>
  <si>
    <t>Elicio Therapeutics Inc. Common Stock</t>
  </si>
  <si>
    <t>Elutia Inc. Class A Common Stock</t>
  </si>
  <si>
    <t>Elevance Health Inc. Common Stock</t>
  </si>
  <si>
    <t>Electrovaya Inc. Common Shares</t>
  </si>
  <si>
    <t>Enliven Therapeutics Inc. Common Stock</t>
  </si>
  <si>
    <t>Earlyworks Co. Ltd. American Depositary Shares</t>
  </si>
  <si>
    <t>Eliem Therapeutics Inc Common Stock</t>
  </si>
  <si>
    <t>Smart Share Global Limited American Depositary Shares</t>
  </si>
  <si>
    <t>Embecta Corp. Common Stock</t>
  </si>
  <si>
    <t>Embrace Change Acquisition Corp Ordinary Shares</t>
  </si>
  <si>
    <t>Embrace Change Acquisition Corp Rights</t>
  </si>
  <si>
    <t>Western Asset Emerging Markets Debt Fund Inc Common Stock</t>
  </si>
  <si>
    <t>EMCOR Group Inc. Common Stock</t>
  </si>
  <si>
    <t>Templeton Emerging Markets Fund Common Stock</t>
  </si>
  <si>
    <t>EMCORE Corporation Common Stock</t>
  </si>
  <si>
    <t>Eastern Company (The) Common Stock</t>
  </si>
  <si>
    <t>FTAC Emerald Acquisition Corp. Class A Common Stock</t>
  </si>
  <si>
    <t>FTAC Emerald Acquisition Corp. Warrant</t>
  </si>
  <si>
    <t>Eastman Chemical Company Common Stock</t>
  </si>
  <si>
    <t>ClearBridge Energy Midstream Opportunity Fund Inc. Common Stock</t>
  </si>
  <si>
    <t>Entergy Mississippi LLC First Mortgage Bonds 4.90% Series Due October 1 2066</t>
  </si>
  <si>
    <t>Emerson Electric Company Common Stock</t>
  </si>
  <si>
    <t>EMX Royalty Corporation Common Shares (Canada)</t>
  </si>
  <si>
    <t>Enbridge Inc Common Stock</t>
  </si>
  <si>
    <t>Energem Corp Class A Ordinary Shares</t>
  </si>
  <si>
    <t>Enfusion Inc. Class A Common Stock</t>
  </si>
  <si>
    <t>ENGlobal Corporation Common Stock</t>
  </si>
  <si>
    <t>enGene Holdings Inc. Common Stock</t>
  </si>
  <si>
    <t>enGene Holdings Inc. Warrants</t>
  </si>
  <si>
    <t>Enel Chile S.A. American Depositary Shares (Each representing 50 shares of Common Stock)</t>
  </si>
  <si>
    <t>Entergy New Orleans LLC First Mortgage Bonds 5.0% Series due December 1 2052</t>
  </si>
  <si>
    <t>EnLink Midstream LLC Common Units representing Limited Partner Interests</t>
  </si>
  <si>
    <t>Enlight Renewable Energy Ltd. Ordinary Shares</t>
  </si>
  <si>
    <t>Enlivex Therapeutics Ltd. Ordinary Shares</t>
  </si>
  <si>
    <t>Entergy New Orleans LLC First Mortgage Bonds 5.50% Series due April 1 2066</t>
  </si>
  <si>
    <t>Enovis Corporation Common Stock</t>
  </si>
  <si>
    <t>Enphase Energy Inc. Common Stock</t>
  </si>
  <si>
    <t>Energizer Holdings Inc. Common Stock</t>
  </si>
  <si>
    <t>EnerSys Common Stock</t>
  </si>
  <si>
    <t>Ensysce Biosciences Inc. Common Stock</t>
  </si>
  <si>
    <t>The Ensign Group Inc. Common Stock</t>
  </si>
  <si>
    <t>Enservco Corporation Common Stock</t>
  </si>
  <si>
    <t>Enanta Pharmaceuticals Inc. Common Stock</t>
  </si>
  <si>
    <t>Entegris Inc. Common Stock</t>
  </si>
  <si>
    <t>Entera Bio Ltd. Ordinary Shares</t>
  </si>
  <si>
    <t>Envestnet Inc Common Stock</t>
  </si>
  <si>
    <t>Enova International Inc. Common Stock</t>
  </si>
  <si>
    <t>Enveric Biosciences Inc. Common Stock</t>
  </si>
  <si>
    <t>Enovix Corporation Common Stock</t>
  </si>
  <si>
    <t>Eaton Vance New York Municipal Bond Fund Common Shares of Beneficial Interest $.01 par value</t>
  </si>
  <si>
    <t>Enzo Biochem Inc. Common Stock ($0.01 Par Value)</t>
  </si>
  <si>
    <t>Allspring Global Dividend Opportunity Fund Common Shares of Beneficial Interest</t>
  </si>
  <si>
    <t>EOG Resources Inc. Common Stock</t>
  </si>
  <si>
    <t>Eaton Vance Enhance Equity Income Fund Eaton Vance Enhanced Equity Income Fund Shares of Beneficial Interest</t>
  </si>
  <si>
    <t>Evolus Inc. Common Stock</t>
  </si>
  <si>
    <t>Eaton Vance Enhance Equity Income Fund II Common Stock</t>
  </si>
  <si>
    <t>Eos Energy Enterprises Inc. Class A Common Stock</t>
  </si>
  <si>
    <t>Eos Energy Enterprises Inc. Warrant</t>
  </si>
  <si>
    <t>Eaton Vance Municipal Income Trust EATON VANCE NATIONAL MUNICIPAL OPPORTUNITIES TRUST</t>
  </si>
  <si>
    <t>Empire Petroleum Corporation Common Stock</t>
  </si>
  <si>
    <t>El Paso Corporation Preferred Stock</t>
  </si>
  <si>
    <t>Enerpac Tool Group Corp. Common Stock</t>
  </si>
  <si>
    <t>EPAM Systems Inc. Common Stock</t>
  </si>
  <si>
    <t>Edgewell Personal Care Company Common Stock</t>
  </si>
  <si>
    <t>Enterprise Products Partners L.P. Common Stock</t>
  </si>
  <si>
    <t>ESSA Pharma Inc. Common Stock</t>
  </si>
  <si>
    <t>Evolution Petroleum Corporation Inc. Common Stock</t>
  </si>
  <si>
    <t>Sunrise New Energy Co. Ltd Ordinary Shares</t>
  </si>
  <si>
    <t>EPR Properties Common Stock</t>
  </si>
  <si>
    <t>EPR Properties 5.75% Series C Cumulative Convertible Preferred Shares</t>
  </si>
  <si>
    <t>EPR Properties Series E Cumulative Conv Pfd Shs Ser E</t>
  </si>
  <si>
    <t>EPR Properties 5.750% Series G Cumulative Redeemable Preferred Shares</t>
  </si>
  <si>
    <t>Essential Properties Realty Trust Inc. Common Stock</t>
  </si>
  <si>
    <t>Epsilon Energy Ltd. Common Share</t>
  </si>
  <si>
    <t>Equillium Inc. Common Stock</t>
  </si>
  <si>
    <t>Equity Bancshares Inc. Class A Common Stock</t>
  </si>
  <si>
    <t>Equity Commonwealth Common Shares of Beneficial Interest</t>
  </si>
  <si>
    <t>Equity Commonwealth 6.50% Pfd Conv Shs Ser D</t>
  </si>
  <si>
    <t>Equitable Holdings Inc. Common Stock</t>
  </si>
  <si>
    <t>Equitable Holdings Inc. Depositary Shares</t>
  </si>
  <si>
    <t>Equitable Holdings Inc. Depositary Shares each representing a 1/1000th interest in a share of Fixed Rate Noncumulative Perpetual Preferred Stock Series C</t>
  </si>
  <si>
    <t>Equinix Inc. Common Stock REIT</t>
  </si>
  <si>
    <t>Equinor ASA</t>
  </si>
  <si>
    <t>Equity Residential Common Shares of Beneficial Interest</t>
  </si>
  <si>
    <t>Equus Total Return Inc. Common Stock</t>
  </si>
  <si>
    <t>EQT Corporation Common Stock</t>
  </si>
  <si>
    <t>Equinox Gold Corp. Common Shares</t>
  </si>
  <si>
    <t>Erasca Inc. Common Stock</t>
  </si>
  <si>
    <t>Allspring Multi-Sector Income Fund Common Stock</t>
  </si>
  <si>
    <t>Enerplus Corporation Common Stock</t>
  </si>
  <si>
    <t>Allspring Utilities and High Income Fund Common Shares</t>
  </si>
  <si>
    <t>Ericsson American Depositary Shares</t>
  </si>
  <si>
    <t>Erie Indemnity Company Class A Common Stock</t>
  </si>
  <si>
    <t>Energy Recovery Inc. Common Stock</t>
  </si>
  <si>
    <t>Embraer S.A. Common Stock</t>
  </si>
  <si>
    <t>Eterna Therapeutics Inc. Common Stock</t>
  </si>
  <si>
    <t>Ero Copper Corp. Common Shares</t>
  </si>
  <si>
    <t>Eversource Energy (D/B/A) Common Stock</t>
  </si>
  <si>
    <t>ESAB Corporation Common Stock</t>
  </si>
  <si>
    <t>ESGEN Acquisition Corporation Class A Ordinary Shares</t>
  </si>
  <si>
    <t>ESGEN Acquisition Corporation Unit</t>
  </si>
  <si>
    <t>Escalade Incorporated Common Stock</t>
  </si>
  <si>
    <t>ESCO Technologies Inc. Common Stock</t>
  </si>
  <si>
    <t>Euroseas Ltd. Common Stock (Marshall Islands)</t>
  </si>
  <si>
    <t>ESGL Holdings Limited Ordinary Shares</t>
  </si>
  <si>
    <t>Enstar Group Limited Ordinary Shares</t>
  </si>
  <si>
    <t>Enstar Group Limited Depository Shares 7.00% Perpetual Non-Cumulative Preference Shares Series E</t>
  </si>
  <si>
    <t>Enstar Group Limited Depositary Shares Each Representing 1/1000th of an interest in Preference Shares</t>
  </si>
  <si>
    <t>ESH Acquisition Corp. Class A Common Stock</t>
  </si>
  <si>
    <t>ESH Acquisition Corp. Right</t>
  </si>
  <si>
    <t>Element Solutions Inc. Common Stock</t>
  </si>
  <si>
    <t>Estrella Immunopharma Inc. Common Stock</t>
  </si>
  <si>
    <t>Estrella Immunopharma Inc. Warrant</t>
  </si>
  <si>
    <t>Elbit Systems Ltd. Ordinary Shares</t>
  </si>
  <si>
    <t>EngageSmart Inc. Common Stock</t>
  </si>
  <si>
    <t>Essent Group Ltd. Common Shares</t>
  </si>
  <si>
    <t>Energy Services of America Corporation Common Stock</t>
  </si>
  <si>
    <t>Espey Mfg. &amp; Electronics Corp. Common Stock</t>
  </si>
  <si>
    <t>Esperion Therapeutics Inc. Common Stock</t>
  </si>
  <si>
    <t>Esquire Financial Holdings Inc. Common Stock</t>
  </si>
  <si>
    <t>Empire State Realty Trust Inc. Class A Common Stock</t>
  </si>
  <si>
    <t>Essex Property Trust Inc. Common Stock</t>
  </si>
  <si>
    <t>ESSA Bancorp Inc. Common Stock</t>
  </si>
  <si>
    <t>Establishment Labs Holdings Inc. Common Shares</t>
  </si>
  <si>
    <t>Elastic N.V. Ordinary Shares</t>
  </si>
  <si>
    <t xml:space="preserve">Energy Transfer LP Common Units </t>
  </si>
  <si>
    <t>Energy Transfer L.P. 7.375% Series C Fixed-to-Floating Rate Cumulative Redeemable Perpetual Preferred Unit</t>
  </si>
  <si>
    <t>Energy Transfer L.P. 7.625% Series D Fixed-to-Floating Rate Cumulative Redeemable Perpetual Preferred Unit</t>
  </si>
  <si>
    <t>Energy Transfer L.P. 7.600% Series E Fixed-to-Floating Rate Cumulative Redeemable Perpetual Preferred Unit</t>
  </si>
  <si>
    <t>Energy Transfer L.P. Series I Fixed Rate Perpetual Preferred Units</t>
  </si>
  <si>
    <t>Etao International Co. Ltd. Ordinary Shares</t>
  </si>
  <si>
    <t>Eaton Vance Tax-Managed Buy-Write Income Fund Eaton Vance Tax-Managed Buy-Write Income Fund Common Shares of Beneficial Interest</t>
  </si>
  <si>
    <t>Ethan Allen Interiors Inc. Common Stock</t>
  </si>
  <si>
    <t>Eaton Vance Tax-Advantaged Global Dividend Income Fund Common Shares of Beneficial Interest</t>
  </si>
  <si>
    <t>Entergy Texas Inc 5.375% Series A Preferred Stock Cumulative No Par Value</t>
  </si>
  <si>
    <t>Eaton Vance Risk-Managed Diversified Equity Income Fund Common Shares of Beneficial Interest</t>
  </si>
  <si>
    <t>Eaton Corporation PLC Ordinary Shares</t>
  </si>
  <si>
    <t>89bio Inc. Common Stock</t>
  </si>
  <si>
    <t>Eaton Vance Tax-Advantage Global Dividend Opp Common Stock</t>
  </si>
  <si>
    <t>Eton Pharmaceuticals Inc. Common Stock</t>
  </si>
  <si>
    <t>Entergy Corporation Common Stock</t>
  </si>
  <si>
    <t xml:space="preserve">Equitrans Midstream Corporation Common Stock </t>
  </si>
  <si>
    <t>Etsy Inc. Common Stock</t>
  </si>
  <si>
    <t>Eaton Vance Corporation Eaton Vance Tax-Managed Buy-Write Opportunities Fund Common Shares of Beneficial Interest</t>
  </si>
  <si>
    <t>Eaton Vance Corporation Eaton Vance Tax-Managed Global Buy-Write Opportunites Fund Common Shares of Beneficial Interest</t>
  </si>
  <si>
    <t>E2open Parent Holdings Inc.Class A Common Stock</t>
  </si>
  <si>
    <t>Eaton Vance Municipal Income 2028 Term Trust Common Shares of Beneficial Interest</t>
  </si>
  <si>
    <t>Eaton Vance Tax-Managed Diversified Equity Income Fund Common Shares of Beneficial Interest</t>
  </si>
  <si>
    <t>enCore Energy Corp. Common Shares</t>
  </si>
  <si>
    <t>EUDA Health Holdings Limited Ordinary Shares</t>
  </si>
  <si>
    <t>EUDA Health Holdings Limited Warrant</t>
  </si>
  <si>
    <t>Euronav NV Ordinary Shares</t>
  </si>
  <si>
    <t>Enviva Inc. Common Stock</t>
  </si>
  <si>
    <t>Evaxion Biotech A/S American Depositary Share</t>
  </si>
  <si>
    <t>Everbridge Inc. Common Stock</t>
  </si>
  <si>
    <t>Evans Bancorp Inc. Common Stock</t>
  </si>
  <si>
    <t>Entravision Communications Corporation Common Stock</t>
  </si>
  <si>
    <t>EverCommerce Inc. Common Stock</t>
  </si>
  <si>
    <t>EVe Mobility Acquisition Corp Class A Ordinary Shares</t>
  </si>
  <si>
    <t>EverQuote Inc. Class A Common Stock</t>
  </si>
  <si>
    <t>Eve Holding Inc. Common Stock</t>
  </si>
  <si>
    <t>Eaton Vance Senior Income Trust Common Stock</t>
  </si>
  <si>
    <t>Eaton Vance Short Diversified Income Fund Eaton Vance Short Duration Diversified Income Fund Common Shares of Beneficial Interest</t>
  </si>
  <si>
    <t>Evogene Ltd Ordinary Shares</t>
  </si>
  <si>
    <t>EVgo Inc. Class A Common Stock</t>
  </si>
  <si>
    <t>EVgo Inc. Warrants</t>
  </si>
  <si>
    <t>Evergreen Corporation Class A Ordinary Share</t>
  </si>
  <si>
    <t>Evergreen Corporation Unit</t>
  </si>
  <si>
    <t>Evergreen Corporation Warrant</t>
  </si>
  <si>
    <t>Evolent Health Inc Class A Common Stock</t>
  </si>
  <si>
    <t>EVI Industries Inc.  Common Stock</t>
  </si>
  <si>
    <t>Evolv Technologies Holdings Inc. Class A Common Stock</t>
  </si>
  <si>
    <t>Evolv Technologies Holdings Inc. Warrant</t>
  </si>
  <si>
    <t>Eaton Vance California Municipal Bond Fund Common Shares of Beneficial Interest $.01 par value</t>
  </si>
  <si>
    <t>Eaton Vance Municipal Income Trust Common Stock</t>
  </si>
  <si>
    <t>Evotec SE American Depositary Shares</t>
  </si>
  <si>
    <t>Evoke Pharma Inc. Common Stock</t>
  </si>
  <si>
    <t>Evercore Inc. Class A Common Stock</t>
  </si>
  <si>
    <t>Evergy Inc. Common Stock</t>
  </si>
  <si>
    <t>Everi Holdings Inc. Common Stock</t>
  </si>
  <si>
    <t>Eaton Vance Tax Advantaged Dividend Income Fund Common Shares of Beneficial Interest</t>
  </si>
  <si>
    <t>Evertec Inc. Common Stock</t>
  </si>
  <si>
    <t>Vertical Aerospace Ltd. Ordinary Shares</t>
  </si>
  <si>
    <t>Envirotech Vehicles Inc. Common Stock</t>
  </si>
  <si>
    <t>Eaton Vance Limited Duration Income Fund Common Shares of Beneficial Interest</t>
  </si>
  <si>
    <t>Edwards Lifesciences Corporation Common Stock</t>
  </si>
  <si>
    <t>East West Bancorp Inc. Common Stock</t>
  </si>
  <si>
    <t>European Wax Center Inc. Class A Common Stock</t>
  </si>
  <si>
    <t>Edgewise Therapeutics Inc. Common Stock</t>
  </si>
  <si>
    <t>Exscientia Plc American Depositary Shares</t>
  </si>
  <si>
    <t>Exact Sciences Corporation Common Stock</t>
  </si>
  <si>
    <t>Exelon Corporation Common Stock</t>
  </si>
  <si>
    <t>Exelixis Inc. Common Stock</t>
  </si>
  <si>
    <t>Expensify Inc. Class A Common Stock</t>
  </si>
  <si>
    <t>Eaton Vance Tax-Managed Global Diversified Equity Income Fund Common Shares of Beneficial Interest</t>
  </si>
  <si>
    <t>Endeavour Silver Corporation Ordinary Shares (Canada)</t>
  </si>
  <si>
    <t>ExlService Holdings Inc. Common Stock</t>
  </si>
  <si>
    <t>Eagle Materials Inc Common Stock</t>
  </si>
  <si>
    <t>Expeditors International of Washington Inc. Common Stock</t>
  </si>
  <si>
    <t>Expedia Group Inc. Common Stock</t>
  </si>
  <si>
    <t>eXp World Holdings Inc. Common Stock</t>
  </si>
  <si>
    <t>Exponent Inc. Common Stock</t>
  </si>
  <si>
    <t>Express Inc. Common Stock</t>
  </si>
  <si>
    <t>Extra Space Storage Inc Common Stock</t>
  </si>
  <si>
    <t>Almacenes Exito S.A. American Depositary Share each representing eight (8) Common Shares</t>
  </si>
  <si>
    <t>Extreme Networks Inc. Common Stock</t>
  </si>
  <si>
    <t>National Vision Holdings Inc. Common Stock</t>
  </si>
  <si>
    <t>Eyenovia Inc. Common Stock</t>
  </si>
  <si>
    <t>EyePoint Pharmaceuticals Inc. Common Stock</t>
  </si>
  <si>
    <t>EzFill Holdings Inc. Common Stock</t>
  </si>
  <si>
    <t>EZGO Technologies Ltd. Ordinary Shares</t>
  </si>
  <si>
    <t>EZCORP Inc. Class A Non Voting Common Stock</t>
  </si>
  <si>
    <t>Ford Motor Company Common Stock</t>
  </si>
  <si>
    <t>Ford Motor Company 6.20% Notes due June 1 2059</t>
  </si>
  <si>
    <t>Ford Motor Company 6% Notes due December 1 2059</t>
  </si>
  <si>
    <t>Ford Motor Company 6.500% Notes due August 15 2062</t>
  </si>
  <si>
    <t>First Advantage Corporation Common Stock</t>
  </si>
  <si>
    <t>First American Corporation (New) Common Stock</t>
  </si>
  <si>
    <t>First Trust/abrdn Global Opportunity Income Fund Common Shares of Beneficial Interest</t>
  </si>
  <si>
    <t>Farmmi Inc. Ordinary Shares</t>
  </si>
  <si>
    <t>Diamondback Energy Inc. Common Stock</t>
  </si>
  <si>
    <t>Fanhua Inc. American Depositary Shares</t>
  </si>
  <si>
    <t>Farmer Brothers Company Common Stock</t>
  </si>
  <si>
    <t>FARO Technologies Inc. Common Stock</t>
  </si>
  <si>
    <t>Fastenal Company Common Stock</t>
  </si>
  <si>
    <t>FAT Brands Inc. Class A Common Stock</t>
  </si>
  <si>
    <t>FAT Brands Inc. Class B Common Stock</t>
  </si>
  <si>
    <t>FAT Brands Inc. 8.25% Series B Cumulative Preferred Stock</t>
  </si>
  <si>
    <t>FAT Brands Inc. Warrant</t>
  </si>
  <si>
    <t>Fate Therapeutics Inc. Common Stock</t>
  </si>
  <si>
    <t>Fathom Digital Manufacturing Corporation Class A Common Stock</t>
  </si>
  <si>
    <t>abrdn Asia-Pacific Income Fund Inc. Common Stock</t>
  </si>
  <si>
    <t>FaZe Holdings Inc. Common Stock</t>
  </si>
  <si>
    <t>Fortune Brands Innovations Inc. Common Stock</t>
  </si>
  <si>
    <t>Fortress Biotech Inc. Common Stock</t>
  </si>
  <si>
    <t>Fortress Biotech Inc. 9.375% Series A Cumulative Redeemable Perpetual Preferred Stock</t>
  </si>
  <si>
    <t>First Business Financial Services Inc. Common Stock</t>
  </si>
  <si>
    <t>FB Financial Corporation Common Stock</t>
  </si>
  <si>
    <t>First Bancshares Inc.</t>
  </si>
  <si>
    <t>First Bancorp Common Stock</t>
  </si>
  <si>
    <t>First BanCorp. New Common Stock</t>
  </si>
  <si>
    <t>Franklin BSP Realty Trust Inc. Common Stock</t>
  </si>
  <si>
    <t>Franklin BSP Realty Trust Inc. 7.50% Series E Cumulative Redeemable Preferred Stock</t>
  </si>
  <si>
    <t>Forte Biosciences Inc. Common Stock</t>
  </si>
  <si>
    <t>Falcon's Beyond Global Inc. Class A Common Stock</t>
  </si>
  <si>
    <t>Falcon's Beyond Global Inc. Warrants</t>
  </si>
  <si>
    <t>Franklin Covey Company Common Stock</t>
  </si>
  <si>
    <t>First Capital Inc. Common Stock</t>
  </si>
  <si>
    <t>First Community Bankshares Inc. (VA) Common Stock</t>
  </si>
  <si>
    <t>First Community Corporation Common Stock</t>
  </si>
  <si>
    <t>FuelCell Energy Inc. Common Stock</t>
  </si>
  <si>
    <t>First Commonwealth Financial Corporation Common Stock</t>
  </si>
  <si>
    <t>FirstCash Holdings Inc. Common Stock</t>
  </si>
  <si>
    <t>FTI Consulting Inc. Common Stock</t>
  </si>
  <si>
    <t>First Citizens BancShares Inc. Class A Common Stock</t>
  </si>
  <si>
    <t>First Citizens BancShares Inc. 5.625% Non-Cumulative Perpetual Preferred Stock Series C</t>
  </si>
  <si>
    <t>First Citizens BancShares Inc. Depositary Shares</t>
  </si>
  <si>
    <t>abrdn Global Income Fund Inc. Common Stock</t>
  </si>
  <si>
    <t>Four Corners Property Trust Inc. Common Stock</t>
  </si>
  <si>
    <t>Crescent Capital BDC Inc. 5.00% Notes due 2026</t>
  </si>
  <si>
    <t>First Trust Senior Floating Rate Income Fund II Common Shares of Beneficial Interest</t>
  </si>
  <si>
    <t>Focus Universal Inc. Common Stock</t>
  </si>
  <si>
    <t>Freeport-McMoRan Inc. Common Stock</t>
  </si>
  <si>
    <t>Fidelity D &amp; D Bancorp Inc. Common Stock</t>
  </si>
  <si>
    <t>4D Molecular Therapeutics Inc. Common Stock</t>
  </si>
  <si>
    <t>Fresh Del Monte Produce Inc. Common Stock</t>
  </si>
  <si>
    <t>FactSet Research Systems Inc. Common Stock</t>
  </si>
  <si>
    <t>Fidus Investment Corporation Common Stock</t>
  </si>
  <si>
    <t>FedEx Corporation Common Stock</t>
  </si>
  <si>
    <t>FirstEnergy Corp. Common Stock</t>
  </si>
  <si>
    <t>5E Advanced Materials Inc. Common Stock</t>
  </si>
  <si>
    <t>Fenbo Holdings Limited Ordinary Shares</t>
  </si>
  <si>
    <t>Four Seasons Education (Cayman) Inc. American Depositary Shares each ADS representing 10 ordinary shares</t>
  </si>
  <si>
    <t>First Trust MLP and Energy Income Fund Common Shares of Beneficial Interest</t>
  </si>
  <si>
    <t>Frequency Electronics Inc. Common Stock</t>
  </si>
  <si>
    <t>Franklin Electric Co. Inc. Common Stock</t>
  </si>
  <si>
    <t>Femasys Inc. Common Stock</t>
  </si>
  <si>
    <t>First Trust Energy Income and Growth Fund</t>
  </si>
  <si>
    <t>Fennec Pharmaceuticals Inc. Common Stock</t>
  </si>
  <si>
    <t>Phoenix New Media Limited American Depositary Shares each representing 48 Class A ordinary shares.</t>
  </si>
  <si>
    <t>Ferguson plc Ordinary Shares</t>
  </si>
  <si>
    <t>Forum Energy Technologies Inc. Common Stock</t>
  </si>
  <si>
    <t>Fintech Ecosystem Development Corp. Class A Common Stock</t>
  </si>
  <si>
    <t>FutureFuel Corp.  Common shares</t>
  </si>
  <si>
    <t>First Trust Enhanced Equity Income Fund</t>
  </si>
  <si>
    <t>First Financial Bancorp. Common Stock</t>
  </si>
  <si>
    <t>Flaherty &amp; Crumrine Preferred and Income Securities Fund Incorporated</t>
  </si>
  <si>
    <t>Flushing Financial Corporation Common Stock</t>
  </si>
  <si>
    <t>Faraday Future Intelligent Electric Inc. Common Stock</t>
  </si>
  <si>
    <t>Faraday Future Intelligent Electric Inc. Warrant</t>
  </si>
  <si>
    <t>First Financial Bankshares Inc. Common Stock</t>
  </si>
  <si>
    <t>F5 Inc. Common Stock</t>
  </si>
  <si>
    <t>First Financial Northwest Inc. Common Stock</t>
  </si>
  <si>
    <t>First Foundation Inc. Common Stock</t>
  </si>
  <si>
    <t>F&amp;G Annuities &amp; Life Inc. Common Stock</t>
  </si>
  <si>
    <t>First Trust Specialty Finance and Financial Opportunities Fund</t>
  </si>
  <si>
    <t>First Guaranty Bancshares Inc. Common Stock</t>
  </si>
  <si>
    <t>First Guaranty Bancshares Inc. 6.75% Series A Fixed-Rate Non-Cumulative Perpetual Preferred Stock</t>
  </si>
  <si>
    <t>FibroGen Inc Common Stock</t>
  </si>
  <si>
    <t>FG Financial Group Inc. Common Stock (NV)</t>
  </si>
  <si>
    <t>FG Financial Group Inc. 8.00% Cumulative Preferred Stock</t>
  </si>
  <si>
    <t>FG Group Holdings Inc. Common Stock</t>
  </si>
  <si>
    <t>FGI Industries Ltd. Ordinary Shares</t>
  </si>
  <si>
    <t>FGI Industries Ltd. Warrant</t>
  </si>
  <si>
    <t>F&amp;G Annuities &amp; Life Inc. 7.950% Senior Notes due 2053</t>
  </si>
  <si>
    <t>First Hawaiian Inc. Common Stock</t>
  </si>
  <si>
    <t>Federated Hermes Inc. Common Stock</t>
  </si>
  <si>
    <t>First Horizon Corporation Common Stock</t>
  </si>
  <si>
    <t>First Horizon Corporation Depositary Shares each representing a 1/400th interest in a share of Non-Cumulative Perpetual Preferred Stock Series B</t>
  </si>
  <si>
    <t>First Horizon Corporation Depositary Shares each representing a 1/400th interest in a share of Non-Cumulative Perpetual Preferred Stock Series C</t>
  </si>
  <si>
    <t>First Horizon Corporation Depositary Shares each representing a 1/400th interest in a share of Non-Cumulative Perpetual Preferred Stock Series D</t>
  </si>
  <si>
    <t>First Horizon Corporation Depositary Shares each representing a 1/4000th interest in a share of Non-Cumulative Perpetual Preferred Stock Series E</t>
  </si>
  <si>
    <t>First Horizon Corporation Depositary Shares each representing 1/4000th Interest in a Share of Non-Cumulative Perpetual Preferred Stock Series F</t>
  </si>
  <si>
    <t>Foghorn Therapeutics Inc. Common Stock</t>
  </si>
  <si>
    <t>Fiserv Inc. Common Stock</t>
  </si>
  <si>
    <t>Focus Impact Acquisition Corp. Class A Common Stock</t>
  </si>
  <si>
    <t>Focus Impact Acquisition Corp. Warrant</t>
  </si>
  <si>
    <t>First Interstate BancSystem Inc. Common Stock (DE)</t>
  </si>
  <si>
    <t>Fair Isaac Corproation Common Stock</t>
  </si>
  <si>
    <t>Frontier Investment Corp Class A Ordinary Shares</t>
  </si>
  <si>
    <t>Frontier Investment Corp Units</t>
  </si>
  <si>
    <t>Frontier Investment Corp Warrants</t>
  </si>
  <si>
    <t>First Trust Energy Infrastructure Fund Common Shares of Beneficial Interest</t>
  </si>
  <si>
    <t>FIGS Inc. Class A Common Stock</t>
  </si>
  <si>
    <t>Fidelis Insurance Holdings Limited Common Shares</t>
  </si>
  <si>
    <t>Angel Oak Financial Strategies Income Term Trust Common Shares of Beneficial Interest</t>
  </si>
  <si>
    <t>FinVolution Group American Depositary Shares</t>
  </si>
  <si>
    <t>FinWise Bancorp Common Stock</t>
  </si>
  <si>
    <t xml:space="preserve">FTAI Infrastructure Inc. Common Stock </t>
  </si>
  <si>
    <t>Fidelity National Information Services Inc. Common Stock</t>
  </si>
  <si>
    <t>Financial Institutions Inc. Common Stock</t>
  </si>
  <si>
    <t>Fifth Third Bancorp Common Stock</t>
  </si>
  <si>
    <t>Fifth Third Bancorp Depositary Shares</t>
  </si>
  <si>
    <t>Fifth Third Bancorp Depositary Shares each representing a 1/1000th ownership interest in a share of Non-Cumulative Perpetual Preferred Stock Series K</t>
  </si>
  <si>
    <t>Fifth Third Bancorp Depositary Shares each representing 1/40th share of Fifth Third 6.00% Non-Cumulative Perpetual Class B Preferred Stock Series A</t>
  </si>
  <si>
    <t>Five Below Inc. Common Stock</t>
  </si>
  <si>
    <t>Five9 Inc. Common Stock</t>
  </si>
  <si>
    <t>Comfort Systems USA Inc. Common Stock</t>
  </si>
  <si>
    <t>Homology Medicines Inc. Common Stock</t>
  </si>
  <si>
    <t>National Beverage Corp. Common Stock</t>
  </si>
  <si>
    <t>Franklin Wireless Corp. Common Stock</t>
  </si>
  <si>
    <t>Foot Locker Inc.</t>
  </si>
  <si>
    <t>Flaherty &amp; Crumrine Total Return Fund Inc Common Stock</t>
  </si>
  <si>
    <t>Flex Ltd. Ordinary Shares</t>
  </si>
  <si>
    <t>Feutune Light Acquisition Corporation Class A Common Stock</t>
  </si>
  <si>
    <t>Feutune Light Acquisition Corporation Right</t>
  </si>
  <si>
    <t>Flora Growth Corp. Common Stock</t>
  </si>
  <si>
    <t>Fulgent Genetics Inc. Common Stock</t>
  </si>
  <si>
    <t>First of Long Island Corporation (The) Common Stock</t>
  </si>
  <si>
    <t>FLJ Group Limited American Depositary Shares</t>
  </si>
  <si>
    <t>Full House Resorts Inc. Common Stock</t>
  </si>
  <si>
    <t>Flame Acquisition Corp. Class A Common Stock</t>
  </si>
  <si>
    <t>Fluence Energy Inc. Class A Common Stock</t>
  </si>
  <si>
    <t>FLEX LNG Ltd. Ordinary Shares</t>
  </si>
  <si>
    <t>Fluent Inc. Common Stock</t>
  </si>
  <si>
    <t>Flowers Foods Inc. Common Stock</t>
  </si>
  <si>
    <t>Fluor Corporation Common Stock</t>
  </si>
  <si>
    <t>Flowserve Corporation Common Stock</t>
  </si>
  <si>
    <t>FleetCor Technologies Inc. Common Stock</t>
  </si>
  <si>
    <t>Flux Power Holdings Inc. Common Stock</t>
  </si>
  <si>
    <t>1-800-FLOWERS.COM Inc. Common Stock</t>
  </si>
  <si>
    <t>Flexsteel Industries Inc. Common Stock</t>
  </si>
  <si>
    <t>Flywire Corporation Voting Common Stock</t>
  </si>
  <si>
    <t>flyExclusive Inc. Class A Common Stock</t>
  </si>
  <si>
    <t>Farmers &amp; Merchants Bancorp Inc. Common Stock</t>
  </si>
  <si>
    <t>First Mid Bancshares Inc. Common Stock</t>
  </si>
  <si>
    <t>FMC Corporation Common Stock</t>
  </si>
  <si>
    <t>Federated Hermes Premier Municipal Income Fund</t>
  </si>
  <si>
    <t>Farmers National Banc Corp. Common Stock</t>
  </si>
  <si>
    <t>Fresenius Medical Care AG American Depositary Shares (Each representing 1/2 of an Ordinary Share)</t>
  </si>
  <si>
    <t>Foremost Lithium Resource &amp; Technology Ltd. Common stock</t>
  </si>
  <si>
    <t>Foremost Lithium Resource &amp; Technology Ltd. Warrant</t>
  </si>
  <si>
    <t>Fomento Economico Mexicano S.A.B. de C.V. Common Stock</t>
  </si>
  <si>
    <t>First Trust Motgage Income Fund Common Shares of Beneficial Interest</t>
  </si>
  <si>
    <t>Fabrinet Ordinary Shares</t>
  </si>
  <si>
    <t>Paragon 28 Inc. Common Stock</t>
  </si>
  <si>
    <t>F.N.B. Corporation Common Stock</t>
  </si>
  <si>
    <t>F.N.B. Corporation Depositary Shares each representing a 1/40th interest in a share of Fixed-to-Floating Rate Non-Cumulative Perpetual Preferred  Stock Series E</t>
  </si>
  <si>
    <t>FNCB Bancorp Inc. Common Stock</t>
  </si>
  <si>
    <t>Finch Therapeutics Group Inc. Common Stock</t>
  </si>
  <si>
    <t>Floor &amp; Decor Holdings Inc. Common Stock</t>
  </si>
  <si>
    <t>FNF Group of Fidelity National Financial Inc. Common Stock</t>
  </si>
  <si>
    <t>FingerMotion Inc. Common Stock</t>
  </si>
  <si>
    <t>Funko Inc. Class A Common Stock</t>
  </si>
  <si>
    <t>First Bancorp Inc  (ME) Common Stock</t>
  </si>
  <si>
    <t>Franco-Nevada Corporation</t>
  </si>
  <si>
    <t>Finnovate Acquisition Corp. Class A Ordinary Shares</t>
  </si>
  <si>
    <t>First Northwest Bancorp Common Stock</t>
  </si>
  <si>
    <t>Finward Bancorp Common Stock</t>
  </si>
  <si>
    <t>Finance of America Companies Inc. Class A Common Stock</t>
  </si>
  <si>
    <t>Cohen &amp; Steers Closed-End Opportunity Fund Inc. Common Stock</t>
  </si>
  <si>
    <t>Amicus Therapeutics Inc. Common Stock</t>
  </si>
  <si>
    <t>Fonar Corporation Common Stock</t>
  </si>
  <si>
    <t xml:space="preserve">Forestar Group Inc Common Stock </t>
  </si>
  <si>
    <t>Forian Inc. Common Stock</t>
  </si>
  <si>
    <t>Forward Industries Inc. Common Stock</t>
  </si>
  <si>
    <t>Four Leaf Acquisition Corporation Class A Common Stock</t>
  </si>
  <si>
    <t>Four Leaf Acquisition Corporation Warrants</t>
  </si>
  <si>
    <t>FormFactor Inc. FormFactor Inc. Common Stock</t>
  </si>
  <si>
    <t>Forrester Research Inc. Common Stock</t>
  </si>
  <si>
    <t>Formula Systems (1985) Ltd. American Depositary Shares</t>
  </si>
  <si>
    <t>Fossil Group Inc. Common Stock</t>
  </si>
  <si>
    <t>Fossil Group Inc. 7% Senior Notes due 2026</t>
  </si>
  <si>
    <t>Shift4 Payments Inc. Class A Common Stock</t>
  </si>
  <si>
    <t>Fox Corporation Class B Common Stock</t>
  </si>
  <si>
    <t>Fox Corporation Class A Common Stock</t>
  </si>
  <si>
    <t>Fox Factory Holding Corp. Common Stock</t>
  </si>
  <si>
    <t>FOXO Technologies Inc. Class A Common Stock</t>
  </si>
  <si>
    <t>FlexShopper Inc. Common Stock</t>
  </si>
  <si>
    <t>First Trust Intermediate Duration Preferred &amp; Income Fund Common Shares of Beneficial Interest</t>
  </si>
  <si>
    <t>Five Point Holdings LLC Class A Common Shares</t>
  </si>
  <si>
    <t>Farmland Partners Inc. Common Stock</t>
  </si>
  <si>
    <t>First Trust New Opportunities MLP &amp; Energy Fund Common Shares of Beneficial Interest</t>
  </si>
  <si>
    <t>First Industrial Realty Trust Inc. Common Stock</t>
  </si>
  <si>
    <t>Blackrock Floating Rate Income Strategies Fund Inc  Common Stock</t>
  </si>
  <si>
    <t>Franklin Financial Services Corporation Common Stock</t>
  </si>
  <si>
    <t>First Bank Common Stock</t>
  </si>
  <si>
    <t>Friedman Industries Inc. Common Stock</t>
  </si>
  <si>
    <t>Whole Earth Brands Inc. Class A Common Stock</t>
  </si>
  <si>
    <t>Fresh2 Group Limited American Depositary Shares</t>
  </si>
  <si>
    <t>FREYR Battery Inc. Common Stock</t>
  </si>
  <si>
    <t>Forge Global Holdings Inc. Common Stock</t>
  </si>
  <si>
    <t>Freight Technologies Inc. Ordinary Shares</t>
  </si>
  <si>
    <t>Freedom Holding Corp. Common Stock</t>
  </si>
  <si>
    <t>Fortune Rise Acquisition Corporation Class A Common Stock</t>
  </si>
  <si>
    <t>Freeline Therapeutics Holdings plc American Depositary Shares</t>
  </si>
  <si>
    <t>First Merchants Corporation Common Stock</t>
  </si>
  <si>
    <t>First Merchants Corporation Depository Shares</t>
  </si>
  <si>
    <t>Frontline Plc Ordinary Shares</t>
  </si>
  <si>
    <t>JFrog Ltd. Ordinary Shares</t>
  </si>
  <si>
    <t>FRP Holdings Inc. Common Stock</t>
  </si>
  <si>
    <t>Freshpet Inc. Common Stock</t>
  </si>
  <si>
    <t>Freshworks Inc. Class A Common Stock</t>
  </si>
  <si>
    <t>Primis Financial Corp. Common Stock</t>
  </si>
  <si>
    <t>Foresight Autonomous Holdings Ltd. American Depositary Shares</t>
  </si>
  <si>
    <t>Federal Realty Investment Trust Common Stock</t>
  </si>
  <si>
    <t>Federal Realty Investment Trust Depositary Shares each representing a 1/1000th interest in a 5.000% Series C Cumulative Redeemable Preferred Share</t>
  </si>
  <si>
    <t>Forza X1 Inc. Common Stock</t>
  </si>
  <si>
    <t>Five Star Bancorp Common Stock</t>
  </si>
  <si>
    <t>FS Bancorp Inc. Common Stock</t>
  </si>
  <si>
    <t>FS Credit Opportunities Corp. Common Stock</t>
  </si>
  <si>
    <t>First Trust High Income Long Short Fund Common Shares of Beneficial Interest</t>
  </si>
  <si>
    <t>First Seacoast Bancorp Inc. Common Stock</t>
  </si>
  <si>
    <t>First Savings Financial Group Inc. Common Stock</t>
  </si>
  <si>
    <t>Flexible Solutions International Inc. Common Stock (CDA)</t>
  </si>
  <si>
    <t>FS KKR Capital Corp. Common Stock</t>
  </si>
  <si>
    <t>First Solar Inc. Common Stock</t>
  </si>
  <si>
    <t>Fastly Inc. Class A Common Stock</t>
  </si>
  <si>
    <t>Fortuna Silver Mines Inc Ordinary Shares (Canada)</t>
  </si>
  <si>
    <t>Franklin Street Properties Corp. Common Stock</t>
  </si>
  <si>
    <t>Fisker Inc. Class A Common Stock</t>
  </si>
  <si>
    <t>Federal Signal Corporation Common Stock</t>
  </si>
  <si>
    <t>L.B. Foster Company Common Stock</t>
  </si>
  <si>
    <t>FirstService Corporation Common Shares</t>
  </si>
  <si>
    <t>Franklin Universal Trust Common Stock</t>
  </si>
  <si>
    <t>FTAI Aviation Ltd. Common Stock</t>
  </si>
  <si>
    <t>FTAI Aviation Ltd. 9.500% Fixed-Rate Reset Series D Cumulative Perpetual Redeemable Preferred Shares</t>
  </si>
  <si>
    <t>FTAI Aviation Ltd. 8.25% Fixed - Rate Reset Series C Cumulative Perpetual Redeemable Preferred Shares</t>
  </si>
  <si>
    <t>FTAI Aviation Ltd. 8.00% Fixed-to-Floating Rate Series B Cumulative Perpetual Redeemable Preferred Shares</t>
  </si>
  <si>
    <t>FTAI Aviation Ltd. 8.25% Fixed to Floating Rate Series A Cumulative Perpetual Redeemable Preferred Shares</t>
  </si>
  <si>
    <t>FTC Solar Inc. Common Stock</t>
  </si>
  <si>
    <t>Frontdoor Inc. Common Stock</t>
  </si>
  <si>
    <t>Fuel Tech Inc. Common Stock</t>
  </si>
  <si>
    <t>Fitell Corporation Ordinary Shares</t>
  </si>
  <si>
    <t>Franklin Limited Duration Income Trust Common Shares of Beneficial Interest</t>
  </si>
  <si>
    <t>Future FinTech Group Inc. Common Stock</t>
  </si>
  <si>
    <t>Fathom Holdings Inc. Common Stock</t>
  </si>
  <si>
    <t>First Trust High Yield Opportunities 2027 Term Fund Common Stock</t>
  </si>
  <si>
    <t>TechnipFMC plc Ordinary Share</t>
  </si>
  <si>
    <t>Flotek Industries Inc. Common Stock</t>
  </si>
  <si>
    <t>FitLife Brands Inc. Common Stock</t>
  </si>
  <si>
    <t>Fortinet Inc. Common Stock</t>
  </si>
  <si>
    <t>Fortrea Holdings Inc. Common Stock</t>
  </si>
  <si>
    <t>Fortis Inc. Common Shares</t>
  </si>
  <si>
    <t xml:space="preserve">Fortive Corporation Common Stock </t>
  </si>
  <si>
    <t>fuboTV Inc. Common Stock</t>
  </si>
  <si>
    <t>H. B. Fuller Company Common Stock</t>
  </si>
  <si>
    <t>Fulcrum Therapeutics Inc. Common Stock</t>
  </si>
  <si>
    <t>Fulton Financial Corporation Common Stock</t>
  </si>
  <si>
    <t>Fulton Financial Corporation Depositary Shares Each Representing a 1/40th Interest in a Share of Fixed Rate Non-Cumulative Perpetual Preferred Stock Series A</t>
  </si>
  <si>
    <t>Cedar Fair L.P. Common Stock</t>
  </si>
  <si>
    <t>First United Corporation Common Stock</t>
  </si>
  <si>
    <t>Sprott Focus Trust Inc. Common Stock</t>
  </si>
  <si>
    <t>Fury Gold Mines Limited Common Shares</t>
  </si>
  <si>
    <t>First US Bancshares Inc. Common Stock</t>
  </si>
  <si>
    <t>Fusion Pharmaceuticals Inc. Common Shares</t>
  </si>
  <si>
    <t>Futu Holdings Limited American Depositary Shares</t>
  </si>
  <si>
    <t>Arcimoto Inc. Common Stock</t>
  </si>
  <si>
    <t>FVCBankcorp Inc. Common Stock</t>
  </si>
  <si>
    <t>Fiverr International Ltd. Ordinary Shares no par value</t>
  </si>
  <si>
    <t>First Wave BioPharma Inc. Common Stock</t>
  </si>
  <si>
    <t>Liberty Media Corporation Series A Liberty Formula One Common Stock</t>
  </si>
  <si>
    <t>Liberty Media Corporation Series C Liberty Formula One Common Stock</t>
  </si>
  <si>
    <t>Forward Air Corporation Common Stock</t>
  </si>
  <si>
    <t>First Watch Restaurant Group Inc. Common Stock</t>
  </si>
  <si>
    <t>First National Corporation Common Stock</t>
  </si>
  <si>
    <t>Frontier Communications Parent Inc. Common Stock</t>
  </si>
  <si>
    <t>Genpact Limited Common Stock</t>
  </si>
  <si>
    <t>Gabelli Equity Trust Inc. (The) Common Stock</t>
  </si>
  <si>
    <t>Gabelli Equity Trust Inc. (The) Series G Cumulative Preferred Stock</t>
  </si>
  <si>
    <t>Gabelli Equity Trust Inc. (The) Pfd Ser H</t>
  </si>
  <si>
    <t>Gabelli Equity Trust Inc. (The) 5.00% Series K Cumulative Preferred Stock</t>
  </si>
  <si>
    <t>German American Bancorp Inc. Common Stock</t>
  </si>
  <si>
    <t>Gaia Inc. Class A Common Stock</t>
  </si>
  <si>
    <t>Gladstone Investment Corporation Business Development Company</t>
  </si>
  <si>
    <t>Gladstone Investment Corporation 8.00% Notes due 2028</t>
  </si>
  <si>
    <t>Gladstone Investment Corporation 5.00% Notes Due 2026</t>
  </si>
  <si>
    <t>Gladstone Investment Corporation 4.875% Notes due 2028</t>
  </si>
  <si>
    <t>Galectin Therapeutics Inc. Common Stock</t>
  </si>
  <si>
    <t>General American Investors Inc. Common Stock</t>
  </si>
  <si>
    <t>General American Investors Company Inc. Cumulative Preferred Stock</t>
  </si>
  <si>
    <t>Gambling.com Group Limited Ordinary Shares</t>
  </si>
  <si>
    <t>Golden Arrow Merger Corp. Class A Common Stock</t>
  </si>
  <si>
    <t>Golden Arrow Merger Corp. Warrant</t>
  </si>
  <si>
    <t>GameSquare Holdings Inc. Common Stock</t>
  </si>
  <si>
    <t>GAN Limited Ordinary Shares</t>
  </si>
  <si>
    <t>Gain Therapeutics Inc. Common Stock</t>
  </si>
  <si>
    <t>Generation Asia I Acquisition Limited Class A Ordinary Shares</t>
  </si>
  <si>
    <t>StealthGas Inc. Common Stock</t>
  </si>
  <si>
    <t>Marblegate Acquisition Corp. Class A Common Stock</t>
  </si>
  <si>
    <t>Marblegate Acquisition Corp. Warrant</t>
  </si>
  <si>
    <t>Gatos Silver Inc. Common Stock</t>
  </si>
  <si>
    <t>GATX Corporation Common Stock</t>
  </si>
  <si>
    <t>Galiano Gold Inc.</t>
  </si>
  <si>
    <t>Global Blue Group Holding AG Ordinary Shares</t>
  </si>
  <si>
    <t>Guggenheim Taxable Municipal Bond &amp; Investment Grade Debt Trust Common Shares of Beneficial Interest</t>
  </si>
  <si>
    <t>Global Blockchain Acquisition Corp. Common Stock</t>
  </si>
  <si>
    <t>Global Blockchain Acquisition Corp. Warrant</t>
  </si>
  <si>
    <t>Glacier Bancorp Inc. Common Stock</t>
  </si>
  <si>
    <t>Golub Capital BDC Inc. Common Stock</t>
  </si>
  <si>
    <t>Generation Bio Co. Common Stock</t>
  </si>
  <si>
    <t>Global Indemnity Group LLC Class A Common Stock (DE)</t>
  </si>
  <si>
    <t>Greenbrook TMS Inc. Common Shares</t>
  </si>
  <si>
    <t>Generations Bancorp NY Inc. Common Stock</t>
  </si>
  <si>
    <t>New Concept Energy Inc Common Stock</t>
  </si>
  <si>
    <t>Global Business Travel Group Inc. Class A Common Stock</t>
  </si>
  <si>
    <t>Greenbrier Companies Inc. (The) Common Stock</t>
  </si>
  <si>
    <t>Greene County Bancorp Inc. Common Stock</t>
  </si>
  <si>
    <t>Gannett Co. Inc. Common Stock</t>
  </si>
  <si>
    <t>GCM Grosvenor Inc. Class A Common Stock</t>
  </si>
  <si>
    <t>GCM Grosvenor Inc. Warrant</t>
  </si>
  <si>
    <t>Genesco Inc. Common Stock</t>
  </si>
  <si>
    <t>GigaCloud Technology Inc Class A Ordinary Shares</t>
  </si>
  <si>
    <t>GlucoTrack Inc. Common Stock</t>
  </si>
  <si>
    <t>Gabelli Convertible and Income Securities Fund Inc. (The) Common Stock</t>
  </si>
  <si>
    <t>General Dynamics Corporation Common Stock</t>
  </si>
  <si>
    <t>GD Culture Group Limited Common Stock</t>
  </si>
  <si>
    <t>GoDaddy Inc. Class A Common Stock</t>
  </si>
  <si>
    <t>Golden Entertainment Inc. Common Stock</t>
  </si>
  <si>
    <t>GDEV Inc. Ordinary Shares</t>
  </si>
  <si>
    <t>Golden Heaven Group Holdings Ltd. Class A Ordinary Shares</t>
  </si>
  <si>
    <t>GDL Fund The Common Shares of Beneficial Interest</t>
  </si>
  <si>
    <t>The GDL Fund Series C Cumulative Puttable and Callable Preferred Shares</t>
  </si>
  <si>
    <t>Western Asset Global Corporate Defined Opportunity Fund Inc.</t>
  </si>
  <si>
    <t>Green Dot Corporation Class A Common Stock $0.001 par value</t>
  </si>
  <si>
    <t>GoodRx Holdings Inc. Class A Common Stock</t>
  </si>
  <si>
    <t>GDS Holdings Limited ADS</t>
  </si>
  <si>
    <t>Goldenstone Acquisition Limited Common Stock</t>
  </si>
  <si>
    <t>CytoMed Therapeutics Limited Ordinary Shares</t>
  </si>
  <si>
    <t>Gabelli Dividend &amp; Income Trust Common Shares of Beneficial Interest</t>
  </si>
  <si>
    <t>The Gabelli Dividend &amp; Income Trust 5.375% Series H Cumulative Preferred Shares</t>
  </si>
  <si>
    <t>The Gabelli Dividend &amp; Income Trust 4.250% Series K Cumulative Preferred Shares</t>
  </si>
  <si>
    <t>Grid Dynamics Holdings Inc. Class A Common Stock</t>
  </si>
  <si>
    <t>General Electric Company Common Stock</t>
  </si>
  <si>
    <t>Great Elm Capital Corp. Common Stock</t>
  </si>
  <si>
    <t>Great Elm Capital Corp. 6.75% Notes Due 2025</t>
  </si>
  <si>
    <t>Great Elm Capital Corp. 5.875% Notes due 2026</t>
  </si>
  <si>
    <t>Great Elm Capital Corp. 8.75% Notes due 2028</t>
  </si>
  <si>
    <t>Greif Inc. Class A Common Stock</t>
  </si>
  <si>
    <t>Great Elm Group Inc. Common Stock</t>
  </si>
  <si>
    <t>Great Elm Group Inc.  7.25% Notes due 2027</t>
  </si>
  <si>
    <t xml:space="preserve">GE HealthCare Technologies Inc. Common Stock </t>
  </si>
  <si>
    <t>Genesis Energy L.P. Common Units</t>
  </si>
  <si>
    <t>Gen Digital Inc. Common Stock</t>
  </si>
  <si>
    <t>Gencor Industries Inc. Common Stock</t>
  </si>
  <si>
    <t>Genetic Technologies Ltd ADS</t>
  </si>
  <si>
    <t>Genius Sports Limited Ordinary Shares</t>
  </si>
  <si>
    <t>GEN Restaurant Group Inc. Class A Common Stock</t>
  </si>
  <si>
    <t>Geo Group Inc (The) REIT</t>
  </si>
  <si>
    <t>Geospace Technologies Corporation Common Stock (Texas)</t>
  </si>
  <si>
    <t>Geron Corporation Common Stock</t>
  </si>
  <si>
    <t>Guess? Inc. Common Stock</t>
  </si>
  <si>
    <t>Getaround Inc. Common Stock</t>
  </si>
  <si>
    <t>Getty Images Holdings Inc. Class A Common Stock</t>
  </si>
  <si>
    <t>Gevo Inc. Common Stock</t>
  </si>
  <si>
    <t>New Germany Fund Inc. (The) Common Stock</t>
  </si>
  <si>
    <t>Guardforce AI Co. Limited Ordinary Shares</t>
  </si>
  <si>
    <t>Guardforce AI Co. Limited Warrant</t>
  </si>
  <si>
    <t>Griffon Corporation Common Stock</t>
  </si>
  <si>
    <t>Gold Fields Limited American Depositary Shares</t>
  </si>
  <si>
    <t>GFL Environmental Inc. Subordinate voting shares no par value</t>
  </si>
  <si>
    <t>Greenfire Resources Ltd. Common Shares</t>
  </si>
  <si>
    <t>GlobalFoundries Inc. Ordinary Shares</t>
  </si>
  <si>
    <t>Grupo Financiero Galicia S.A. American Depositary Shares</t>
  </si>
  <si>
    <t>Gerdau S.A. Common Stock</t>
  </si>
  <si>
    <t>Green Giant Inc. Common Stock</t>
  </si>
  <si>
    <t>Graco Inc. Common Stock</t>
  </si>
  <si>
    <t>GAMCO Global Gold Natural Resources &amp; Income Trust</t>
  </si>
  <si>
    <t>GAMCO Global Gold Natural Reources &amp; Income Trust 5.00% Series B Cumulative 25.00 Liquidation Preference</t>
  </si>
  <si>
    <t>Gogoro Inc. Ordinary Shares</t>
  </si>
  <si>
    <t>Gogoro Inc. Warrant</t>
  </si>
  <si>
    <t>Gabelli Multi-Media Trust Inc. (The) Common Stock</t>
  </si>
  <si>
    <t>Gabelli Multi-Media Trust Inc. (The) 5.125% Series E Cumulative Preferred Stock</t>
  </si>
  <si>
    <t>Gabelli Multi-Media Trust Inc. (The) 5.125% Series G Cumulative Preferred Shares</t>
  </si>
  <si>
    <t>Gabelli Global Small and Mid Cap Value Trust (The) Common Shares of Beneficial Interest</t>
  </si>
  <si>
    <t>Guardant Health Inc. Common Stock</t>
  </si>
  <si>
    <t>Graham Holdings Company Common Stock</t>
  </si>
  <si>
    <t>GreenTree Hospitality Group Ltd. American depositary shares each representing one Class A ordinary share</t>
  </si>
  <si>
    <t>Greystone Housing Impact Investors LP Beneficial Unit Certificates representing assignments of limited partnership interests</t>
  </si>
  <si>
    <t>Gores Holdings IX Inc. Class A Common Stock</t>
  </si>
  <si>
    <t>Gores Holdings IX Inc. Unit</t>
  </si>
  <si>
    <t>Gores Holdings IX Inc. Warrant</t>
  </si>
  <si>
    <t>Guild Holdings Company Class A Common Stock</t>
  </si>
  <si>
    <t>Graham Corporation Common Stock</t>
  </si>
  <si>
    <t>GH Research PLC Ordinary Shares</t>
  </si>
  <si>
    <t>Guardion Health Sciences Inc. Common Stock</t>
  </si>
  <si>
    <t>PGIM Global High Yield Fund Inc.</t>
  </si>
  <si>
    <t>GigCapital 5 Inc. Common Stock</t>
  </si>
  <si>
    <t>CGI Inc. Common Stock</t>
  </si>
  <si>
    <t>Global Industrial Company Common Stock</t>
  </si>
  <si>
    <t>Gulf Island Fabrication Inc. Common Stock</t>
  </si>
  <si>
    <t>GigaMedia Limited Ordinary Shares</t>
  </si>
  <si>
    <t>G-III Apparel Group LTD. Common Stock</t>
  </si>
  <si>
    <t>Gildan Activewear Inc. Class A Sub. Vot. Common Stock</t>
  </si>
  <si>
    <t>Gilead Sciences Inc. Common Stock</t>
  </si>
  <si>
    <t>Gilat Satellite Networks Ltd. Ordinary Shares</t>
  </si>
  <si>
    <t>Generation Income Properties Inc. Common Stock</t>
  </si>
  <si>
    <t>Generation Income Properties Inc Warrant</t>
  </si>
  <si>
    <t>General Mills Inc. Common Stock</t>
  </si>
  <si>
    <t>Synthetic Fixed-Income Securities Inc 6.375% (STRATS) Cl A-1</t>
  </si>
  <si>
    <t>Synthetic Fixed-Income Securities Inc. on behalf of STRATS(SM) Trust for Wal-Mart Stores Inc. Securities Series 2004-5</t>
  </si>
  <si>
    <t>Synthetic Fixed-Income Securities Inc. on behalf of STRATS (SM) Trust for Dominion Resources Inc. Securities Series 2005-6 Floating Rate Structured Repackaged Asset-Backed Trust Securities (STRATS) Certificates</t>
  </si>
  <si>
    <t>Synthetic Fixed-Income Securities Inc. STRATS Trust for Procter&amp;Gamble Securities Series 2006-1</t>
  </si>
  <si>
    <t>Goldman Sachs Group Securities STRATS Trust for Goldman Sachs Group Securities Series 2006-2</t>
  </si>
  <si>
    <t>Synthetic Fixed-Income Securities Inc. Floating Rate Structured Repackaged Asset-Backed Trust Securities Certificates Series 2006-3</t>
  </si>
  <si>
    <t>Glaukos Corporation Common Stock</t>
  </si>
  <si>
    <t>Globe Life Inc. Common Stock</t>
  </si>
  <si>
    <t>Globe Life Inc. 4.25% Junior Subordinated Debentures due 2061</t>
  </si>
  <si>
    <t>Global Lights Acquisition Corp Ordinary Shares</t>
  </si>
  <si>
    <t>Global Lights Acquisition Corp Rights</t>
  </si>
  <si>
    <t>Global Lights Acquisition Corp Unit</t>
  </si>
  <si>
    <t>Gladstone Capital Corporation Common Stock</t>
  </si>
  <si>
    <t>Gladstone Capital Corporation 7.75% Notes due 2028</t>
  </si>
  <si>
    <t>Global-E Online Ltd. Ordinary Shares</t>
  </si>
  <si>
    <t>Globus Maritime Limited Common Stock</t>
  </si>
  <si>
    <t>Glen Burnie Bancorp Common Stock</t>
  </si>
  <si>
    <t>Great Lakes Dredge &amp; Dock Corporation Common Stock</t>
  </si>
  <si>
    <t>GoldMining Inc. Common Shares</t>
  </si>
  <si>
    <t>Globalink Investment Inc. Common Stock</t>
  </si>
  <si>
    <t>Globalink Investment Inc. Warrants</t>
  </si>
  <si>
    <t>Galmed Pharmaceuticals Ltd. Ordinary Shares</t>
  </si>
  <si>
    <t>Golar Lng Ltd</t>
  </si>
  <si>
    <t>Clough Global Opportunities Fund Common Stock</t>
  </si>
  <si>
    <t>Globant S.A. Common Shares</t>
  </si>
  <si>
    <t>GasLog LP. 8.75% Series A Cumulative Redeemable Perpetual Preference Shares</t>
  </si>
  <si>
    <t>GasLog Partners LP 8.625% Series A Cumulative Redeemable Perpetual Fixed to Floating Rate Preference Units</t>
  </si>
  <si>
    <t>GasLog Partners LP 8.200% Series B Cumulative Redeemable Perpetual Fixed to Floating Rate Preference Units</t>
  </si>
  <si>
    <t>GasLog Partners LP 8.500% Series C Cumulative Redeemable Perpetual Fixed to Floating Rate Preference Units</t>
  </si>
  <si>
    <t>Global Partners LP Common Units representing Limited Partner Interests</t>
  </si>
  <si>
    <t>Global Partners LP 9.75% Series A Fixed-to-Floating Rate Cumulative Redeemable Perpetual Preferred Units representing limited partner interests</t>
  </si>
  <si>
    <t>Global Partners LP 9.50% Series B Fixed Rate Cumulative Redeemable Perpetual Preferred Units representing limited partner interests</t>
  </si>
  <si>
    <t>Galapagos NV American Depositary Shares</t>
  </si>
  <si>
    <t>Gaming and Leisure Properties Inc. Common Stock</t>
  </si>
  <si>
    <t>Clough Global Equity Fund Clough Global Equity Fund Common Shares of Beneficial Interest</t>
  </si>
  <si>
    <t>Greenlight Capital Re Ltd. Class A Ordinary Shares</t>
  </si>
  <si>
    <t>Greenwich LifeSciences Inc. Common Stock</t>
  </si>
  <si>
    <t>Global Star Acquisition Inc. Class A Common Stock</t>
  </si>
  <si>
    <t>Global Star Acquisition Inc. Right</t>
  </si>
  <si>
    <t>Global Star Acquisition Inc. Warrants</t>
  </si>
  <si>
    <t>Glatfelter Corporation Common Stock</t>
  </si>
  <si>
    <t>Galecto Inc. Common Stock</t>
  </si>
  <si>
    <t>Gabelli Global Utility Common Shares of Beneficial Ownership</t>
  </si>
  <si>
    <t>The Gabelli Global Utility and Income Trust Series A Cumulative Puttable and Callable Preferred Shares</t>
  </si>
  <si>
    <t>The Gabelli Global Utility and Income Trust Series B Cumulative Puttable and Callable Preferred Shares</t>
  </si>
  <si>
    <t>Monte Rosa Therapeutics Inc. Common Stock</t>
  </si>
  <si>
    <t>Clough Global Dividend and Income Fund Common Shares of beneficial interest</t>
  </si>
  <si>
    <t>Corning Incorporated Common Stock</t>
  </si>
  <si>
    <t>GlycoMimetics Inc. Common Stock</t>
  </si>
  <si>
    <t>General Motors Company Common Stock</t>
  </si>
  <si>
    <t>Genmab A/S ADS</t>
  </si>
  <si>
    <t>Esports Entertainment Group Inc. Common Stock</t>
  </si>
  <si>
    <t>Esports Entertainment Group Inc. 10.0% Series A Cumulative Redeemable Convertible Preferred Stock</t>
  </si>
  <si>
    <t>Esports Entertainment Group Inc. Warrant</t>
  </si>
  <si>
    <t>Gamida Cell Ltd. Ordinary Shares</t>
  </si>
  <si>
    <t>GameStop Corporation Common Stock</t>
  </si>
  <si>
    <t>Globus Medical Inc. Class A Common Stock</t>
  </si>
  <si>
    <t>Aetherium Acquisition Corp. Class A Common Stock</t>
  </si>
  <si>
    <t>Golden Matrix Group Inc. Common Stock</t>
  </si>
  <si>
    <t>Global Mofy Metaverse Limited Ordinary Shares</t>
  </si>
  <si>
    <t>Global Medical REIT Inc. Common Stock</t>
  </si>
  <si>
    <t>Global Medical REIT Inc. Series A Cumulative Redeemable Preferred Stock</t>
  </si>
  <si>
    <t>GMS Inc. Common Stock</t>
  </si>
  <si>
    <t>Genie Energy Ltd. Class B Common Stock Stock</t>
  </si>
  <si>
    <t>GENFIT S.A. American Depositary Shares</t>
  </si>
  <si>
    <t>Genco Shipping &amp; Trading Limited Ordinary Shares New (Marshall Islands)</t>
  </si>
  <si>
    <t>Global Net Lease Inc. Common Stock</t>
  </si>
  <si>
    <t>Global Net Lease Inc. 7.25% Series A Cumulative Redeemable Preferred Stock $0.01 par value per share</t>
  </si>
  <si>
    <t>Global Net Lease Inc. 6.875% Series B Cumulative Redeemable Perpetual Preferred Stock</t>
  </si>
  <si>
    <t>Global Net Lease Inc. 7.50% Series D Cumulative Redeemable Perpetual Preferred Stock</t>
  </si>
  <si>
    <t>Global Net Lease Inc. 7.375% Series E Cumulative Redeemable Perpetual Preferred Stock</t>
  </si>
  <si>
    <t>Greenlane Holdings Inc. Class A Common Stock</t>
  </si>
  <si>
    <t>Genelux Corporation Common Stock</t>
  </si>
  <si>
    <t>Genprex Inc. Common Stock</t>
  </si>
  <si>
    <t>Generac Holdlings Inc. Common Stock</t>
  </si>
  <si>
    <t>Genius Group Limited Ordinary Shares</t>
  </si>
  <si>
    <t>Genasys Inc. Common Stock</t>
  </si>
  <si>
    <t>GAMCO Natural Resources Gold &amp; Income Trust</t>
  </si>
  <si>
    <t>GAMCO Natural Resources Gold &amp; Income Tust  5.20% Series A Cumulative Preferred Shares (Liquidation Preference $25.00 per share)</t>
  </si>
  <si>
    <t>Genenta Science S.p.A. American Depositary Shares</t>
  </si>
  <si>
    <t>Gentex Corporation Common Stock</t>
  </si>
  <si>
    <t>Guaranty Bancshares Inc. Common Stock</t>
  </si>
  <si>
    <t>Genworth Financial Inc Common Stock</t>
  </si>
  <si>
    <t>Grocery Outlet Holding Corp. Common Stock</t>
  </si>
  <si>
    <t>GoHealth Inc. Class A Common Stock</t>
  </si>
  <si>
    <t>Golden Star Acquisition Corporation Ordinary Shares</t>
  </si>
  <si>
    <t>Golden Star Acquisition Corporation Rights</t>
  </si>
  <si>
    <t>Canoo Inc. Class A Common Stock</t>
  </si>
  <si>
    <t>Canoo Inc. Warrant</t>
  </si>
  <si>
    <t>Guggenheim Strategic Opportunities Fund Common Shares of Beneficial Interest</t>
  </si>
  <si>
    <t>Golden Ocean Group Limited Common Stock</t>
  </si>
  <si>
    <t>Gogo Inc. Common Stock</t>
  </si>
  <si>
    <t>Gol Linhas Aereas Inteligentes S.A. Sponsored ADR representing 2 Pfd Shares</t>
  </si>
  <si>
    <t>Barrick Gold Corporation Common Stock (BC)</t>
  </si>
  <si>
    <t>Acushnet Holdings Corp. Common Stock</t>
  </si>
  <si>
    <t>Gladstone Commercial Corporation Real Estate Investment Trust</t>
  </si>
  <si>
    <t>Gladstone Commercial Corporation 6.625% Series E Cumulative Redeemable Preferred Stock</t>
  </si>
  <si>
    <t>Gladstone Commercial Corporation 6.00% Series G Cumulative Redeemable Preferred Stock par value $0.001 per share</t>
  </si>
  <si>
    <t>Alphabet Inc. Class C Capital Stock</t>
  </si>
  <si>
    <t>Alphabet Inc. Class A Common Stock</t>
  </si>
  <si>
    <t>Canada Goose Holdings Inc. Subordinate Voting Shares</t>
  </si>
  <si>
    <t>Gold Resource Corporation Common Stock</t>
  </si>
  <si>
    <t>Gossamer Bio Inc. Common Stock</t>
  </si>
  <si>
    <t>Gaotu Techedu Inc. American Depositary Shares</t>
  </si>
  <si>
    <t>GeoVax Labs Inc. Common Stock</t>
  </si>
  <si>
    <t>GeoVax Labs Inc. Warrants</t>
  </si>
  <si>
    <t>GreenPower Motor Company Inc. Common Shares</t>
  </si>
  <si>
    <t>Global Partner Acquisition Corp II Class A Ordinary Share</t>
  </si>
  <si>
    <t>Global Partner Acquisition Corp II Unit</t>
  </si>
  <si>
    <t>Gamer Pakistan Inc. Common Stock</t>
  </si>
  <si>
    <t>Genuine Parts Company Common Stock</t>
  </si>
  <si>
    <t>Structure Therapeutics Inc. American Depositary Shares</t>
  </si>
  <si>
    <t>Group 1 Automotive Inc. Common Stock</t>
  </si>
  <si>
    <t>Georgia Power Company Series 2017A 5.00% Junior Subordinated Notes due October 1 2077</t>
  </si>
  <si>
    <t>Graphic Packaging Holding Company</t>
  </si>
  <si>
    <t>Granite Point Mortgage Trust Inc. Common Stock</t>
  </si>
  <si>
    <t>Granite Point Mortgage Trust Inc. 7.00% Series A Fixed-to-Floating Rate Cumulative Redeemable Preferred Stock</t>
  </si>
  <si>
    <t>Global Payments Inc. Common Stock</t>
  </si>
  <si>
    <t>Gulfport Energy Corporation Common Shares</t>
  </si>
  <si>
    <t>Green Plains Partners LP Common Units</t>
  </si>
  <si>
    <t>Green Plains Inc. Common Stock</t>
  </si>
  <si>
    <t>Geopark Ltd Common Shares</t>
  </si>
  <si>
    <t>GoPro Inc. Class A Common Stock</t>
  </si>
  <si>
    <t>Gap Inc. (The) Common Stock</t>
  </si>
  <si>
    <t>Grab Holdings Limited Class A Ordinary Shares</t>
  </si>
  <si>
    <t>Grab Holdings Limited Warrant</t>
  </si>
  <si>
    <t>Green Brick Partners Inc. Common Stock</t>
  </si>
  <si>
    <t>Green Brick Partners Inc. Depositary Shares (each representing a 1/1000th fractional interest in a share of 5.75% Series A Cumulative Perpetual Preferred Stock)</t>
  </si>
  <si>
    <t>Gorman-Rupp Company (The) Common Stock</t>
  </si>
  <si>
    <t>Gracell Biotechnologies Inc. American Depositary Shares</t>
  </si>
  <si>
    <t>Greenidge Generation Holdings Inc. Class A Common Stock</t>
  </si>
  <si>
    <t>Greenidge Generation Holdings Inc. 8.50% Senior Notes due 2026</t>
  </si>
  <si>
    <t>Eagle Capital Growth Fund Inc. Common Stock</t>
  </si>
  <si>
    <t>Grifols S.A. American Depositary Shares</t>
  </si>
  <si>
    <t>Graphex Group Limited American Depositary Shares each American Depositary Share representing 20 Ordinary Shares</t>
  </si>
  <si>
    <t>GRI Bio Inc. Common Stock</t>
  </si>
  <si>
    <t>Grindrod Shipping Holdings Ltd. Ordinary Shares</t>
  </si>
  <si>
    <t>Garmin Ltd. Common Stock (Switzerland)</t>
  </si>
  <si>
    <t>Grindr Inc. Common Stock</t>
  </si>
  <si>
    <t>Greenpro Capital Corp. Common Stock</t>
  </si>
  <si>
    <t>Granite Ridge Resources Inc. Common Stock</t>
  </si>
  <si>
    <t>Grom Social Enterprises Inc. Common Stock</t>
  </si>
  <si>
    <t>Grom Social Enterprises Inc. Warrants</t>
  </si>
  <si>
    <t>Grove Collaborative Holdings Inc. Class A Common Stock</t>
  </si>
  <si>
    <t>U.S. Global Investors Inc. Class A Common Stock</t>
  </si>
  <si>
    <t>Gold Royalty Corp. Common Shares</t>
  </si>
  <si>
    <t>Graphite Bio Inc. Common Stock</t>
  </si>
  <si>
    <t>Groupon Inc. Common Stock</t>
  </si>
  <si>
    <t>Gorilla Technology Group Inc. Ordinary shares</t>
  </si>
  <si>
    <t>Gorilla Technology Group Inc. Warrant</t>
  </si>
  <si>
    <t>Gritstone bio Inc. Common Stock</t>
  </si>
  <si>
    <t>Galera Therapeutics Inc. Common Stock</t>
  </si>
  <si>
    <t>GRAVITY Co. Ltd. American Depository Shares</t>
  </si>
  <si>
    <t>GrowGeneration Corp. Common Stock</t>
  </si>
  <si>
    <t>The Gabelli Healthcare &amp; Wellness Trust Common Shares of Beneficial Interest</t>
  </si>
  <si>
    <t>Goldman Sachs Group Inc. (The) Common Stock</t>
  </si>
  <si>
    <t>Goldman Sachs Group Inc. (The) Depositary Shares each representing 1/1000th Interest in a Share of Floating Rate Non-Cumulative Preferred Stock Series A</t>
  </si>
  <si>
    <t>Goldman Sachs Group Inc. (The) Depositary Share repstg 1/1000th Preferred Series C</t>
  </si>
  <si>
    <t>Goldman Sachs Group Inc. (The) Dep Shs repstg 1/1000 Pfd Ser D Fltg</t>
  </si>
  <si>
    <t>Goldman Sachs Group Inc. (The) Dep Shs Repstg 1/1000 Int Sh Fxd/Fltg Non Cum Pfd Stk Ser K</t>
  </si>
  <si>
    <t>Globalstar Inc. Common Stock</t>
  </si>
  <si>
    <t>Great Southern Bancorp Inc. Common Stock</t>
  </si>
  <si>
    <t>Goldman Sachs BDC Inc. Common Stock</t>
  </si>
  <si>
    <t>Global Systems Dynamics Inc. Warrant</t>
  </si>
  <si>
    <t>Goosehead Insurance Inc. Class A Common Stock</t>
  </si>
  <si>
    <t>GSI Technology Common Stock</t>
  </si>
  <si>
    <t>Garden Stage Limited Ordinary Shares</t>
  </si>
  <si>
    <t>GSK plc American Depositary Shares (Each representing two Ordinary Shares)</t>
  </si>
  <si>
    <t>Global Ship Lease Inc New Class A Common Shares</t>
  </si>
  <si>
    <t>Global Ship Lease Inc. Depository Shares Representing 1/100th Perpetual Preferred Series B% (Marshall Island)</t>
  </si>
  <si>
    <t>Ferroglobe PLC Ordinary Shares</t>
  </si>
  <si>
    <t>Cheer Holding Inc. Warrant expiring 2/13/2025</t>
  </si>
  <si>
    <t>Golden Sun Education Group Limited Class A Ordinary Shares</t>
  </si>
  <si>
    <t>The Goodyear Tire &amp; Rubber Company Common Stock</t>
  </si>
  <si>
    <t>Global Technology Acquisition Corp. I Class A Ordinary Shares</t>
  </si>
  <si>
    <t>Global Technology Acquisition Corp. I Warrant</t>
  </si>
  <si>
    <t>GT Biopharma Inc. Common Stock</t>
  </si>
  <si>
    <t>Gran Tierra Energy Inc. Common Stock</t>
  </si>
  <si>
    <t>Greenland Technologies Holding Corporation Ordinary Shares</t>
  </si>
  <si>
    <t>Gates Industrial Corporation plc Ordinary Shares</t>
  </si>
  <si>
    <t>Genetron Holdings Limited ADS</t>
  </si>
  <si>
    <t>G1 Therapeutics Inc. Common Stock</t>
  </si>
  <si>
    <t>Good Times Restaurants Inc. Common Stock</t>
  </si>
  <si>
    <t>GitLab Inc. Class A Common Stock</t>
  </si>
  <si>
    <t>Chart Industries Inc. Common Stock</t>
  </si>
  <si>
    <t>Chart Industries Inc. Depositary Shares each Representing a 1/20th Interest in a Share of 6.75% Series B Mandatory Convertible Preferred Stock</t>
  </si>
  <si>
    <t>Gray Television Inc. Common Stock</t>
  </si>
  <si>
    <t>Garrett Motion Inc. Common Stock</t>
  </si>
  <si>
    <t>Getty Realty Corporation Common Stock</t>
  </si>
  <si>
    <t>Guggenheim Active Allocation Fund Common Shares of Beneficial Interest</t>
  </si>
  <si>
    <t>Gulf Resources Inc. (NV) Common Stock</t>
  </si>
  <si>
    <t>Gabelli Utility Trust (The) Common Stock</t>
  </si>
  <si>
    <t>Gabelli Utility Trust (The) 5.375% Series C Cumulative Preferred Shares</t>
  </si>
  <si>
    <t>Visionary Education Technology Holdings Group Inc. Common Shares</t>
  </si>
  <si>
    <t>Granite Construction Incorporated Common Stock</t>
  </si>
  <si>
    <t>Globavend Holdings Limited Ordinary Shares</t>
  </si>
  <si>
    <t>GSE Systems Inc. Common Stock</t>
  </si>
  <si>
    <t>Greenwave Technology Solutions Inc. Common Stock</t>
  </si>
  <si>
    <t>ESS Tech Inc. Common Stock</t>
  </si>
  <si>
    <t>Guidewire Software Inc. Common Stock</t>
  </si>
  <si>
    <t>Global Water Resources Inc. Common Stock</t>
  </si>
  <si>
    <t>W.W. Grainger Inc. Common Stock</t>
  </si>
  <si>
    <t xml:space="preserve">GXO Logistics Inc. Common Stock </t>
  </si>
  <si>
    <t>Gyre Therapeutics Inc. Common Stock</t>
  </si>
  <si>
    <t>Gyrodyne LLC Common Stock</t>
  </si>
  <si>
    <t>Hyatt Hotels Corporation Class A Common Stock</t>
  </si>
  <si>
    <t>Hawaiian Holdings Inc. Common Stock</t>
  </si>
  <si>
    <t>Haemonetics Corporation Common Stock</t>
  </si>
  <si>
    <t>Hanmi Financial Corporation Common Stock</t>
  </si>
  <si>
    <t>Healthcare AI Acquisition Corp. Class A Ordinary Shares</t>
  </si>
  <si>
    <t>Healthcare AI Acquisition Corp. Unit</t>
  </si>
  <si>
    <t>Healthcare AI Acquisition Corp. Warrants</t>
  </si>
  <si>
    <t>Hain Celestial Group Inc. (The) Common Stock</t>
  </si>
  <si>
    <t>Halliburton Company Common Stock</t>
  </si>
  <si>
    <t>Halozyme Therapeutics Inc. Common Stock</t>
  </si>
  <si>
    <t>Harpoon Therapeutics Inc. Common Stock</t>
  </si>
  <si>
    <t>Hasbro Inc. Common Stock</t>
  </si>
  <si>
    <t>Hannon Armstrong Sustainable Infrastructure Capital Inc. Common Stock</t>
  </si>
  <si>
    <t>Haynes International Inc. Common Stock</t>
  </si>
  <si>
    <t>Hayward Holdings Inc. Common Stock</t>
  </si>
  <si>
    <t>Huntington Bancshares Incorporated Common Stock</t>
  </si>
  <si>
    <t>Huntington Bancshares Incorporated Depositary Shares Each Representing a 1/40th Interest in a Share of 6.875% Series J Non-Cumulative Perpetual Preferred Stock</t>
  </si>
  <si>
    <t>Huntington Bancshares Incorporated Depositary Shares each representing a 1/1000th interest in a share of Huntington Series I Preferred Stock</t>
  </si>
  <si>
    <t>Huntington Bancshares Incorporated Depositary Shares 4.500% Series H Non-Cumulative Perpetual Preferred Stock</t>
  </si>
  <si>
    <t xml:space="preserve">Hamilton Beach Brands Holding Company Class A Common Stock </t>
  </si>
  <si>
    <t>Home Bancorp Inc. Common Stock</t>
  </si>
  <si>
    <t>Hanesbrands Inc. Common Stock</t>
  </si>
  <si>
    <t>Harvard Bioscience Inc. Common Stock</t>
  </si>
  <si>
    <t>Hudbay Minerals Inc. Ordinary Shares (Canada)</t>
  </si>
  <si>
    <t>Horizon Bancorp Inc. Common Stock</t>
  </si>
  <si>
    <t>HBT Financial Inc. Common Stock</t>
  </si>
  <si>
    <t>HCA Healthcare Inc. Common Stock</t>
  </si>
  <si>
    <t>Health Catalyst Inc Common Stock</t>
  </si>
  <si>
    <t>Warrior Met Coal Inc. Common Stock</t>
  </si>
  <si>
    <t>HCI Group Inc. Common Stock</t>
  </si>
  <si>
    <t>Hackett Group Inc (The). Common Stock</t>
  </si>
  <si>
    <t>HUTCHMED (China) Limited American Depositary Shares</t>
  </si>
  <si>
    <t>HCM Acquisition Corp Class A Ordinary Shares</t>
  </si>
  <si>
    <t>HCM Acquisition Corp Warrant</t>
  </si>
  <si>
    <t>HashiCorp Inc. Class A Common Stock</t>
  </si>
  <si>
    <t>Healthcare Services Group Inc. Common Stock</t>
  </si>
  <si>
    <t>Healthcare Triangle Inc. Common Stock</t>
  </si>
  <si>
    <t>Hennessy Capital Investment Corp. VI Class A Common Stock</t>
  </si>
  <si>
    <t>Hennessy Capital Investment Corp. VI Unit</t>
  </si>
  <si>
    <t>Hennessy Capital Investment Corp. VI Warrant</t>
  </si>
  <si>
    <t>HCW Biologics Inc. Common Stock</t>
  </si>
  <si>
    <t>Hercules Capital Inc. 6.25% Notes due 2033</t>
  </si>
  <si>
    <t>Home Depot Inc. (The) Common Stock</t>
  </si>
  <si>
    <t>HDFC Bank Limited Common Stock</t>
  </si>
  <si>
    <t>Hudson Technologies Inc. Common Stock</t>
  </si>
  <si>
    <t>Hawaiian Electric Industries Inc. Common Stock</t>
  </si>
  <si>
    <t>Turtle Beach Corporation Common Stock</t>
  </si>
  <si>
    <t>H&amp;E Equipment Services Inc. Common Stock</t>
  </si>
  <si>
    <t>Heico Corporation Common Stock</t>
  </si>
  <si>
    <t>Heico Corporation</t>
  </si>
  <si>
    <t>Helen of Troy Limited Common Stock</t>
  </si>
  <si>
    <t>Hepion Pharmaceuticals Inc. Common Stock</t>
  </si>
  <si>
    <t>D-Market Electronic Services &amp; Trading American Depositary Shares</t>
  </si>
  <si>
    <t>John Hancock Hedged Equity &amp; Income Fund Common Shares of Beneficial Interest</t>
  </si>
  <si>
    <t>Hess Corporation Common Stock</t>
  </si>
  <si>
    <t>Hess Midstream LP Class A Share</t>
  </si>
  <si>
    <t>Home Federal Bancorp Inc. of Louisiana Common Stock</t>
  </si>
  <si>
    <t>HF Foods Group Inc. Common Stock</t>
  </si>
  <si>
    <t>Highland Opportunities and Income Fund Common Shares of Beneficial Interest</t>
  </si>
  <si>
    <t>Highland Opportunities and Income Fund 5.375% Series A Cumulative Preferred Shares</t>
  </si>
  <si>
    <t>Heritage Financial Corporation Common Stock</t>
  </si>
  <si>
    <t>Hamilton Insurance Group Ltd. Class B Common Shares</t>
  </si>
  <si>
    <t>Global Gas Corporation Class A Common Stock</t>
  </si>
  <si>
    <t>Global Gas Corporation Warrant</t>
  </si>
  <si>
    <t>Heritage Global Inc. Common Stock</t>
  </si>
  <si>
    <t>Highland Global Allocation Fund Common Stock</t>
  </si>
  <si>
    <t>Hagerty Inc. Class A Common Stock</t>
  </si>
  <si>
    <t xml:space="preserve">Hilton Grand Vacations Inc. Common Stock </t>
  </si>
  <si>
    <t>HHG Capital Corporation Ordinary Shares</t>
  </si>
  <si>
    <t>HHG Capital Corporation Rights</t>
  </si>
  <si>
    <t>HHG Capital Corporation Warrant</t>
  </si>
  <si>
    <t>Howard Hughes Holdings Inc. Common Stock</t>
  </si>
  <si>
    <t>HH&amp;L Acquisition Co. Class A Ordinary Shares</t>
  </si>
  <si>
    <t>Harte-Hanks Inc. Common Stock</t>
  </si>
  <si>
    <t>Hillenbrand Inc Common Stock</t>
  </si>
  <si>
    <t>Hibbett Inc. Common Stock</t>
  </si>
  <si>
    <t>Miller/Howard High Income Equity Fund Common Shares of Beneficial Interest</t>
  </si>
  <si>
    <t>Hingham Institution for Savings Common Stock</t>
  </si>
  <si>
    <t>Hartford Financial Services Group Inc. (The) Common Stock</t>
  </si>
  <si>
    <t>Hartford Financial Services Group Inc. (The) Depositary Shares each representing a 1/1000th interest in a share of 6.000% Non-Cumulative Preferred Stock Series G $0.01 par value</t>
  </si>
  <si>
    <t>Highway Holdings Limited Common Stock</t>
  </si>
  <si>
    <t>Huntington Ingalls Industries Inc. Common Stock</t>
  </si>
  <si>
    <t>Hims &amp; Hers Health Inc. Class A Common Stock</t>
  </si>
  <si>
    <t>Himax Technologies Inc. American Depositary Shares</t>
  </si>
  <si>
    <t>Western Asset High Income Opportunity Fund Inc. Common Stock</t>
  </si>
  <si>
    <t>Hippo Holdings Inc. Common Stock</t>
  </si>
  <si>
    <t>High Tide Inc. Common Shares</t>
  </si>
  <si>
    <t>HIVE Digital Technologies Ltd. Common Shares</t>
  </si>
  <si>
    <t>Highwoods Properties Inc. Common Stock</t>
  </si>
  <si>
    <t>Western Asset High Income Fund II Inc. Common Stock</t>
  </si>
  <si>
    <t>AMTD Digital Inc. American Depositary Shares (every five of which represent two Class A Ordinary Shares)</t>
  </si>
  <si>
    <t>Hitek Global Inc. Ordinary Share</t>
  </si>
  <si>
    <t>Hecla Mining Company Common Stock</t>
  </si>
  <si>
    <t>Hecla Mining Company Preferred Stock</t>
  </si>
  <si>
    <t>Herbalife Ltd. Common Shares</t>
  </si>
  <si>
    <t>Houlihan Lokey Inc. Class A Common Stock</t>
  </si>
  <si>
    <t>Helios Technologies Inc. Common Stock</t>
  </si>
  <si>
    <t>Harmonic Inc. Common Stock</t>
  </si>
  <si>
    <t>Holley Inc. Common Stock</t>
  </si>
  <si>
    <t>Hillman Solutions Corp. Common Stock</t>
  </si>
  <si>
    <t>Haleon plc American Depositary Shares (Each representing two Ordinary Shares)</t>
  </si>
  <si>
    <t>Hamilton Lane Incorporated Class A Common Stock</t>
  </si>
  <si>
    <t>Hongli Group Inc. Ordinary Shares</t>
  </si>
  <si>
    <t xml:space="preserve">Hilton Worldwide Holdings Inc. Common Stock </t>
  </si>
  <si>
    <t>Cue Health Inc. Common Stock</t>
  </si>
  <si>
    <t>HilleVax Inc. Common Stock</t>
  </si>
  <si>
    <t>Helix Energy Solutions Group Inc. Common Stock</t>
  </si>
  <si>
    <t>Honda Motor Company Ltd. Common Stock</t>
  </si>
  <si>
    <t>Horace Mann Educators Corporation Common Stock</t>
  </si>
  <si>
    <t>HMN Financial Inc. Common Stock</t>
  </si>
  <si>
    <t>HomeStreet Inc. Common Stock</t>
  </si>
  <si>
    <t>Harmony Gold Mining Company Limited</t>
  </si>
  <si>
    <t>HNI Corporation Common Stock</t>
  </si>
  <si>
    <t>Hennessy Advisors Inc. Common Stock</t>
  </si>
  <si>
    <t>Hennessy Advisors Inc. 4.875% Notes due 2026</t>
  </si>
  <si>
    <t>HNR Acquisition Corp Class A Common Stock</t>
  </si>
  <si>
    <t>Hallador Energy Company Common Stock</t>
  </si>
  <si>
    <t>The Honest Company Inc. Common Stock</t>
  </si>
  <si>
    <t>Hanover Bancorp Inc. Common Stock</t>
  </si>
  <si>
    <t>Pioneer Diversified High Income Fund Inc.</t>
  </si>
  <si>
    <t>Hooker Furnishings Corporation Common Stock</t>
  </si>
  <si>
    <t>Hall of Fame Resort &amp; Entertainment Company Common Stock</t>
  </si>
  <si>
    <t>Hall of Fame Resort &amp;amp; Entertainment Company Warrant</t>
  </si>
  <si>
    <t>Harley-Davidson Inc. Common Stock</t>
  </si>
  <si>
    <t>Hollysys Automation Technologies Ltd. Common Shares (British Virgin Islands)</t>
  </si>
  <si>
    <t>MicroCloud Hologram Inc. Ordinary Shares</t>
  </si>
  <si>
    <t>MicroCloud Hologram Inc. Warrant</t>
  </si>
  <si>
    <t>Hologic Inc. Common Stock</t>
  </si>
  <si>
    <t>Home BancShares Inc. Common Stock</t>
  </si>
  <si>
    <t>Honeywell International Inc. Common Stock</t>
  </si>
  <si>
    <t>HarborOne Bancorp Inc. Common Stock</t>
  </si>
  <si>
    <t>Robinhood Markets Inc. Class A Common Stock</t>
  </si>
  <si>
    <t>HOOKIPA Pharma Inc. Common Stock</t>
  </si>
  <si>
    <t>Hope Bancorp Inc. Common Stock</t>
  </si>
  <si>
    <t>Hoth Therapeutics Inc. Common Stock</t>
  </si>
  <si>
    <t>Hour Loop Inc. Common Stock</t>
  </si>
  <si>
    <t>Anywhere Real Estate Inc. Common Stock</t>
  </si>
  <si>
    <t>Hovnanian Enterprises Inc. Class A Common Stock</t>
  </si>
  <si>
    <t>Hovnanian Enterprises Inc Dep Shr Srs A Pfd</t>
  </si>
  <si>
    <t>Werewolf Therapeutics Inc. Common Stock</t>
  </si>
  <si>
    <t>Helmerich &amp; Payne Inc. Common Stock</t>
  </si>
  <si>
    <t>Hempacco Co. Inc. Common Stock</t>
  </si>
  <si>
    <t>Hewlett Packard Enterprise Company Common Stock</t>
  </si>
  <si>
    <t>John Hancock Pfd Income Fund II Pfd Income Fund II</t>
  </si>
  <si>
    <t>John Hancock Preferred Income Fund Common Shares of Beneficial Interest</t>
  </si>
  <si>
    <t>HighPeak Energy Inc. Common Stock</t>
  </si>
  <si>
    <t>HighPeak Energy Inc. Warrant</t>
  </si>
  <si>
    <t>Hudson Pacific Properties Inc. Common Stock</t>
  </si>
  <si>
    <t>Hudson Pacific Properties Inc. 4.750% Series C Cumulative Redeemable Preferred Stock</t>
  </si>
  <si>
    <t>HP Inc. Common Stock</t>
  </si>
  <si>
    <t>John Hancock Preferred Income Fund III Preferred Income Fund III</t>
  </si>
  <si>
    <t>abrdn Healthcare Investors Shares of Beneficial Interest</t>
  </si>
  <si>
    <t>HireQuest Inc. Common Stock (DE)</t>
  </si>
  <si>
    <t>abrdn Life Sciences Investors Shares of Beneficial Interest</t>
  </si>
  <si>
    <t>HealthEquity Inc. Common Stock</t>
  </si>
  <si>
    <t>Healthcare Realty Trust Incorporated Common Stock</t>
  </si>
  <si>
    <t>H&amp;R Block Inc. Common Stock</t>
  </si>
  <si>
    <t xml:space="preserve">Herc Holdings Inc. Common Stock </t>
  </si>
  <si>
    <t>Hormel Foods Corporation Common Stock</t>
  </si>
  <si>
    <t>Harmony Biosciences Holdings Inc. Common Stock</t>
  </si>
  <si>
    <t>Harrow Inc. Common Stock</t>
  </si>
  <si>
    <t>Harrow Inc. 8.625% Senior Notes due 2026</t>
  </si>
  <si>
    <t>Harrow  Inc. 11.875% Senior Notes due 2027</t>
  </si>
  <si>
    <t>HireRight Holdings Corporation Common Stock</t>
  </si>
  <si>
    <t>Heritage Insurance Holdings Inc. Common Stock</t>
  </si>
  <si>
    <t>Heron Therapeutics Inc. Common Stock</t>
  </si>
  <si>
    <t>Hanryu Holdings Inc. Common Stock</t>
  </si>
  <si>
    <t>Horizon Technology Finance Corporation Common Stock</t>
  </si>
  <si>
    <t>Hesai Group American Depositary Share each ADS represents one Class B ordinary share</t>
  </si>
  <si>
    <t>HSBC Holdings plc. Common Stock</t>
  </si>
  <si>
    <t>Heart Test Laboratories Inc. Common Stock</t>
  </si>
  <si>
    <t>Heart Test Laboratories Inc. Warrant</t>
  </si>
  <si>
    <t>Helius Medical Technologies Inc. Class A Common Stock (DE)</t>
  </si>
  <si>
    <t>Himalaya Shipping Ltd. Common Shares</t>
  </si>
  <si>
    <t>Henry Schein Inc. Common Stock</t>
  </si>
  <si>
    <t>Heidrick &amp; Struggles International Inc. Common Stock</t>
  </si>
  <si>
    <t>Hudson Global Inc. Common Stock</t>
  </si>
  <si>
    <t>Horizon Space Acquisition I Corp. Ordinary Shares</t>
  </si>
  <si>
    <t>Horizon Space Acquisition I Corp. Right</t>
  </si>
  <si>
    <t>Horizon Space Acquisition I Corp. Warrant</t>
  </si>
  <si>
    <t>Host Hotels &amp; Resorts Inc. Common Stock</t>
  </si>
  <si>
    <t>HealthStream Inc. Common Stock</t>
  </si>
  <si>
    <t>The Hershey Company Common Stock</t>
  </si>
  <si>
    <t>HomeTrust Bancshares Inc. Common Stock</t>
  </si>
  <si>
    <t>Heritage Commerce Corp Common Stock</t>
  </si>
  <si>
    <t>Heartcore Enterprises Inc. Common Stock</t>
  </si>
  <si>
    <t>John Hancock Tax Advantaged Dividend Income Fund Common Shares of Beneficial Interest</t>
  </si>
  <si>
    <t>Horizon Technology Finance Corporation 4.875% Notes due 2026</t>
  </si>
  <si>
    <t>Horizon Technology Finance Corporation 6.25% Notes due 2027</t>
  </si>
  <si>
    <t>Hercules Capital Inc. Common Stock</t>
  </si>
  <si>
    <t>Hilltop Holdings Inc.</t>
  </si>
  <si>
    <t>H World Group Limited American Depositary Shares</t>
  </si>
  <si>
    <t>Healthcare Trust Inc. 7.375% Series A Cumulative Redeemable Perpetual Preferred Stock</t>
  </si>
  <si>
    <t>Healthcare Trust Inc. 7.125% Series B Cumulative Redeemable Perpetual Preferred Stock</t>
  </si>
  <si>
    <t>Heartland Express Inc. Common Stock</t>
  </si>
  <si>
    <t>Heartland Financial USA Inc. Common Stock</t>
  </si>
  <si>
    <t>Heartland Financial USA Inc. Depositary Shares each representing a 1/400th ownership interest in a share of 7.00% Fixed-Rate Reset Non-Cumulative Perpetual Preferred Stock Series E</t>
  </si>
  <si>
    <t>Fusion Fuel Green PLC Class A Ordinary Shares</t>
  </si>
  <si>
    <t>Fusion Fuel Green PLC Warrant</t>
  </si>
  <si>
    <t>John Hancock Tax-Advantaged Global Shareholder Yield Fund Common Shares of Beneficial Interest</t>
  </si>
  <si>
    <t>Hertz Global Holdings Inc Common Stock</t>
  </si>
  <si>
    <t>Hertz Global Holdings Inc Warrant</t>
  </si>
  <si>
    <t>Hubbell Inc Common Stock</t>
  </si>
  <si>
    <t>Hub Cyber Security Ltd. Ordinary Shares</t>
  </si>
  <si>
    <t>Hub Cyber Security Ltd. Warrant 2/27/28</t>
  </si>
  <si>
    <t>Hub Cyber Security Ltd. Warrant 8/22/2025</t>
  </si>
  <si>
    <t>Hub Group Inc. Class A Common Stock</t>
  </si>
  <si>
    <t>HubSpot Inc. Common Stock</t>
  </si>
  <si>
    <t>Hudson Acquisition I Corp. Common Stock</t>
  </si>
  <si>
    <t>Huadi International Group Co. Ltd. Ordinary Shares</t>
  </si>
  <si>
    <t>FSD Pharma Inc. Class B Subordinate Voting Shares</t>
  </si>
  <si>
    <t>Huize Holding Limited American Depositary Shares</t>
  </si>
  <si>
    <t>Humana Inc. Common Stock</t>
  </si>
  <si>
    <t>Humacyte Inc. Common Stock</t>
  </si>
  <si>
    <t>Humacyte Inc. Warrant</t>
  </si>
  <si>
    <t>Huntsman Corporation Common Stock</t>
  </si>
  <si>
    <t>Hurco Companies Inc. Common Stock</t>
  </si>
  <si>
    <t>Huron Consulting Group Inc. Common Stock</t>
  </si>
  <si>
    <t>Houston American Energy Corporation Common Stock</t>
  </si>
  <si>
    <t>Hut 8 Corp. Common Stock</t>
  </si>
  <si>
    <t>HUYA Inc. American depositary shares each  representing one Class A ordinary share</t>
  </si>
  <si>
    <t>Haverty Furniture Companies Inc. Common Stock</t>
  </si>
  <si>
    <t>Haverty Furniture Companies Inc.</t>
  </si>
  <si>
    <t>Hawthorn Bancshares Inc. Common Stock</t>
  </si>
  <si>
    <t>Hancock Whitney Corporation Common Stock</t>
  </si>
  <si>
    <t>Hancock Whitney Corporation 6.25% Subordinated Notes due 2060</t>
  </si>
  <si>
    <t>Hawkins Inc. Common Stock</t>
  </si>
  <si>
    <t>Howmet Aerospace Inc. Common Stock</t>
  </si>
  <si>
    <t>Howmet Aerospace Inc. $3.75 Preferred Stock</t>
  </si>
  <si>
    <t>Hexcel Corporation Common Stock</t>
  </si>
  <si>
    <t>Hyster-Yale Materials Handling Inc. Class A Common Stock</t>
  </si>
  <si>
    <t>Haymaker Acquisition Corp. 4 Class A Ordinary Shares</t>
  </si>
  <si>
    <t>New America High Income Fund Inc. (The) Common Stock</t>
  </si>
  <si>
    <t>Hydrofarm Holdings Group Inc. Common Stock</t>
  </si>
  <si>
    <t>Western Asset High Yield Defined Opportunity Fund Inc. Common Stock</t>
  </si>
  <si>
    <t>Hyliion Holdings Corp. Class A Common Stock</t>
  </si>
  <si>
    <t>Hycroft Mining Holding Corporation Class A Common Stock</t>
  </si>
  <si>
    <t>Hycroft Mining Holding Corporation Warrants</t>
  </si>
  <si>
    <t>Hycroft Mining Holding Corporation  Warrant</t>
  </si>
  <si>
    <t>Hyperfine Inc. Class A Common Stock</t>
  </si>
  <si>
    <t>Blackrock Corporate High Yield Fund Inc. Common Stock</t>
  </si>
  <si>
    <t>Hywin Holdings Ltd. American Depositary Shares</t>
  </si>
  <si>
    <t>Hyzon Motors Inc. Class A Common Stock</t>
  </si>
  <si>
    <t>Hyzon Motors Inc. Warrants</t>
  </si>
  <si>
    <t>MarineMax Inc.  (FL) Common Stock</t>
  </si>
  <si>
    <t>IAC Inc. Common Stock</t>
  </si>
  <si>
    <t>Voya Asia Pacific High Dividend Equity Income Fund ING Asia Pacific High Dividend Equity Income Fund Common Shares of Beneficial Interest</t>
  </si>
  <si>
    <t>abrdn Australia Equity Fund Inc. Common Stock</t>
  </si>
  <si>
    <t>Iamgold Corporation Ordinary Shares</t>
  </si>
  <si>
    <t>Integra LifeSciences Holdings Corporation Common Stock</t>
  </si>
  <si>
    <t>Integral Ad Science Holding Corp. Common Stock</t>
  </si>
  <si>
    <t>i-80 Gold Corp. Common Shares</t>
  </si>
  <si>
    <t>Independent Bank Corporation Common Stock</t>
  </si>
  <si>
    <t>IBEX Limited Common Shares</t>
  </si>
  <si>
    <t>iBio Inc. Common Stock</t>
  </si>
  <si>
    <t>Interactive Brokers Group Inc. Class A Common Stock</t>
  </si>
  <si>
    <t>International Business Machines Corporation Common Stock</t>
  </si>
  <si>
    <t>ICICI Bank Limited Common Stock</t>
  </si>
  <si>
    <t>International Bancshares Corporation Common Stock</t>
  </si>
  <si>
    <t>Installed Building Products Inc. Common Stock</t>
  </si>
  <si>
    <t>ImmunityBio Inc. Common Stock</t>
  </si>
  <si>
    <t>Independent Bank Group Inc Common Stock</t>
  </si>
  <si>
    <t>iCAD Inc. Common Stock</t>
  </si>
  <si>
    <t>ImmuCell Corporation Common Stock</t>
  </si>
  <si>
    <t>ICC Holdings Inc. Common Stock</t>
  </si>
  <si>
    <t>IceCure Medical Ltd. Ordinary Shares</t>
  </si>
  <si>
    <t>iCoreConnect Inc. Common stock</t>
  </si>
  <si>
    <t>Independence Contract Drilling Inc. Common Stock</t>
  </si>
  <si>
    <t>Intercontinental Exchange Inc. Common Stock</t>
  </si>
  <si>
    <t>ICF International Inc. Common Stock</t>
  </si>
  <si>
    <t>Intchains Group Limited American Depositary Shares</t>
  </si>
  <si>
    <t>Ichor Holdings Ordinary Shares</t>
  </si>
  <si>
    <t>ICL Group Ltd. Ordinary Shares</t>
  </si>
  <si>
    <t>iClick Interactive Asia Group Limited American Depositary Shares</t>
  </si>
  <si>
    <t>ICON plc Ordinary Shares</t>
  </si>
  <si>
    <t>Investcorp Credit Management BDC Inc. Common Stock</t>
  </si>
  <si>
    <t>InPoint Commercial Real Estate Income Inc. 6.75% Series A Cumulative Redeemable Preferred Stock</t>
  </si>
  <si>
    <t>SeaStar Medical Holding Corporation Common Stock</t>
  </si>
  <si>
    <t>SeaStar Medical Holding Corporation Warrant</t>
  </si>
  <si>
    <t>ICU Medical Inc. Common Stock</t>
  </si>
  <si>
    <t>Icosavax Inc. Common Stock</t>
  </si>
  <si>
    <t>IDACORP Inc. Common Stock</t>
  </si>
  <si>
    <t>T Stamp Inc. Class A Common Stock</t>
  </si>
  <si>
    <t>InterDigital Inc. Common Stock</t>
  </si>
  <si>
    <t>Voya Infrastructure Industrials and Materials Fund Common Shares of Beneficial Interest</t>
  </si>
  <si>
    <t>Ideanomics Inc. Common Stock</t>
  </si>
  <si>
    <t>Intellicheck Inc. Common Stock</t>
  </si>
  <si>
    <t>Idaho Strategic Resources Inc. Common Stock</t>
  </si>
  <si>
    <t>IDT Corporation Class B Common Stock</t>
  </si>
  <si>
    <t>IDEXX Laboratories Inc. Common Stock</t>
  </si>
  <si>
    <t>IDEAYA Biosciences Inc. Common Stock</t>
  </si>
  <si>
    <t>Ivanhoe Electric Inc. Common Stock</t>
  </si>
  <si>
    <t>Icahn Enterprises L.P. Common Stock</t>
  </si>
  <si>
    <t>IES Holdings Inc. Common Stock</t>
  </si>
  <si>
    <t>IDEX Corporation Common Stock</t>
  </si>
  <si>
    <t>Infobird Co. Ltd Ordinary Shares</t>
  </si>
  <si>
    <t>International Flavors &amp; Fragrances Inc. Common Stock</t>
  </si>
  <si>
    <t>InFinT Acquisition Corporation Class A Ordinary Shares</t>
  </si>
  <si>
    <t>India Fund Inc. (The) Common Stock</t>
  </si>
  <si>
    <t>InflaRx N.V. Common Stock</t>
  </si>
  <si>
    <t>Intercorp Financial Services Inc. Common Shares</t>
  </si>
  <si>
    <t>Voya Global Advantage and Premium Opportunity Fund Common Shares of Beneficial Interest</t>
  </si>
  <si>
    <t>IGC Pharma Inc. Common Stock</t>
  </si>
  <si>
    <t>Voya Global Equity Dividend and Premium Opportunity Fund</t>
  </si>
  <si>
    <t>Western Asset Investment Grade Defined Opportunity Trust Inc. Common Stock</t>
  </si>
  <si>
    <t>International General Insurance Holdings Ltd. Ordinary Share</t>
  </si>
  <si>
    <t>IGM Biosciences Inc. Common Stock</t>
  </si>
  <si>
    <t>CBRE Global Real Estate Income Fund Common Shares of Beneficial Interest</t>
  </si>
  <si>
    <t>International Game Technology Ordinary Shares</t>
  </si>
  <si>
    <t>Inception Growth Acquisition Limited Common Stock</t>
  </si>
  <si>
    <t>Inception Growth Acquisition Limited Unit</t>
  </si>
  <si>
    <t>Inception Growth Acquisition Limited Warrants</t>
  </si>
  <si>
    <t>iHuman Inc. American depositary shares each representing five Class A ordinary shares</t>
  </si>
  <si>
    <t>Voya Emerging Markets High Income Dividend Equity Fund Common Shares</t>
  </si>
  <si>
    <t>Intercontinental Hotels Group American Depositary Shares (Each representing one Ordinary Share)</t>
  </si>
  <si>
    <t>iHeartMedia Inc. Class A Common Stock</t>
  </si>
  <si>
    <t>IHS Holding Limited Ordinary Shares</t>
  </si>
  <si>
    <t>InnSuites Hospitality Trust Shares of Beneficial Interest</t>
  </si>
  <si>
    <t>Invesco High Income 2024 Target Term Fund Common Shares of Beneficial Interest No par value per share</t>
  </si>
  <si>
    <t>Morgan Stanley India Investment Fund Inc. Common Stock</t>
  </si>
  <si>
    <t>Information Services Group Inc. Common Stock</t>
  </si>
  <si>
    <t>Insteel Industries Inc. Common Stock</t>
  </si>
  <si>
    <t>i3 Verticals Inc. Class A Common Stock</t>
  </si>
  <si>
    <t>Invesco Value Municipal Income Trust Common Stock</t>
  </si>
  <si>
    <t>Inspira Technologies Oxy B.H.N. Ltd. Ordinary Shares</t>
  </si>
  <si>
    <t>Inspira Technologies Oxy B.H.N. Ltd. Warrant</t>
  </si>
  <si>
    <t>Innovative Industrial Properties Inc. Common Stock</t>
  </si>
  <si>
    <t>Innovative Industrial Properties Inc. 9.00% Series A Cumulative Redeemable Preferred Stock</t>
  </si>
  <si>
    <t>Ikena Oncology Inc. Common Stock</t>
  </si>
  <si>
    <t>Inhibikase Therapeutics Inc. Common Stock</t>
  </si>
  <si>
    <t>Intelligent Living Application Group Inc. Ordinary Shares</t>
  </si>
  <si>
    <t>Illumina Inc. Common Stock</t>
  </si>
  <si>
    <t>Industrial Logistics Properties Trust Common Shares of Beneficial Interest</t>
  </si>
  <si>
    <t>I-MAB American Depositary Shares</t>
  </si>
  <si>
    <t>IMAC Holdings Inc. Warrant</t>
  </si>
  <si>
    <t>International Media Acquisition Corp. Class A Common Stock</t>
  </si>
  <si>
    <t>International Media Acquisition Corp. Rights</t>
  </si>
  <si>
    <t>International Media Acquisition Corp. Warrants</t>
  </si>
  <si>
    <t>Imax Corporation Common Stock</t>
  </si>
  <si>
    <t>IM Cannabis Corp. Common Shares</t>
  </si>
  <si>
    <t>Immunocore Holdings plc American Depositary Shares</t>
  </si>
  <si>
    <t>ImmunoGen Inc. Common Stock</t>
  </si>
  <si>
    <t>Ingles Markets Incorporated Class A Common Stock</t>
  </si>
  <si>
    <t>Immutep Limited American Depositary Shares</t>
  </si>
  <si>
    <t>Immersion Corporation Common Stock</t>
  </si>
  <si>
    <t>Immix Biopharma Inc. Common Stock</t>
  </si>
  <si>
    <t>Immunome Inc. Common Stock</t>
  </si>
  <si>
    <t>Imunon Inc. Common Stock</t>
  </si>
  <si>
    <t>Imperial Oil Limited Common Stock</t>
  </si>
  <si>
    <t>ChipMOS TECHNOLOGIES INC. American Depositary Shares</t>
  </si>
  <si>
    <t>Imperial Petroleum Inc. Common Shares</t>
  </si>
  <si>
    <t>Imperial Petroleum Inc. 8.75% Series A Cumulative Redeemable Perpetual Preferred Shares</t>
  </si>
  <si>
    <t>Immuron Limited American Depositary Shares</t>
  </si>
  <si>
    <t>Immuneering Corporation Class A Common Stock</t>
  </si>
  <si>
    <t>Integrated Media Technology Limited Ordinary Shares</t>
  </si>
  <si>
    <t>Immatics N.V. Ordinary Shares</t>
  </si>
  <si>
    <t>Immatics N.V. Warrants</t>
  </si>
  <si>
    <t>Immunic Inc. Common Stock</t>
  </si>
  <si>
    <t>Immunovant Inc. Common Stock</t>
  </si>
  <si>
    <t>International Money Express Inc. Common Stock</t>
  </si>
  <si>
    <t>IN8bio Inc. Common Stock</t>
  </si>
  <si>
    <t>Insight Acquisition Corp. Class A Common Stock</t>
  </si>
  <si>
    <t>Insight Acquisition Corp. Warrant</t>
  </si>
  <si>
    <t>First Internet Bancorp Common Stock</t>
  </si>
  <si>
    <t>First Internet Bancorp 6.0% Fixed-to-Floating Rate Subordinated Notes Due 2029</t>
  </si>
  <si>
    <t>Intelligent Bio Solutions Inc. Common Stock</t>
  </si>
  <si>
    <t>Inhibrx Inc. Common Stock</t>
  </si>
  <si>
    <t>Intercure Ltd. Ordinary Shares</t>
  </si>
  <si>
    <t>Incyte Corp. Common Stock</t>
  </si>
  <si>
    <t>Independent Bank Corp. Common Stock</t>
  </si>
  <si>
    <t>indie Semiconductor Inc. Class A Common Stock</t>
  </si>
  <si>
    <t>Indonesia Energy Corporation Limited Ordinary Shares</t>
  </si>
  <si>
    <t>Indaptus Therapeutics Inc. Common Stock</t>
  </si>
  <si>
    <t>Indivior PLC Ordinary Shares</t>
  </si>
  <si>
    <t>Informatica Inc. Class A Common Stock</t>
  </si>
  <si>
    <t>Infinera Corporation Common Stock</t>
  </si>
  <si>
    <t>InfuSystems Holdings Inc. Common Stock</t>
  </si>
  <si>
    <t>Infosys Limited American Depositary Shares</t>
  </si>
  <si>
    <t>ING Group N.V. Common Stock</t>
  </si>
  <si>
    <t>Inogen Inc Common Stock</t>
  </si>
  <si>
    <t>Ingredion Incorporated Common Stock</t>
  </si>
  <si>
    <t>Inno Holdings Inc. Common Stock</t>
  </si>
  <si>
    <t>MiNK Therapeutics Inc. Common Stock</t>
  </si>
  <si>
    <t>Intellinetics Inc. Common Stock</t>
  </si>
  <si>
    <t>InMed Pharmaceuticals Inc. Common Shares</t>
  </si>
  <si>
    <t>INmune Bio Inc. Common stock</t>
  </si>
  <si>
    <t>InMode Ltd. Ordinary Shares</t>
  </si>
  <si>
    <t>Summit Hotel Properties Inc. Common Stock</t>
  </si>
  <si>
    <t>Summit Hotel Properties Inc. 6.250% Series E Cumulative Redeemable Preferred Stock</t>
  </si>
  <si>
    <t>Summit Hotel Properties Inc. 5.875% Series F Cumulative Redeemable Preferred Stock $0.01 par value per share</t>
  </si>
  <si>
    <t>InnovAge Holding Corp. Common Stock</t>
  </si>
  <si>
    <t>Inovio Pharmaceuticals Inc. Common Stock</t>
  </si>
  <si>
    <t>Innodata Inc. Common Stock</t>
  </si>
  <si>
    <t>Inpixon Common Stock</t>
  </si>
  <si>
    <t>Inspired Entertainment Inc. Common Stock</t>
  </si>
  <si>
    <t>Inseego Corp. Common Stock</t>
  </si>
  <si>
    <t>Insight Select Income Fund</t>
  </si>
  <si>
    <t>Insmed Incorporated Common Stock</t>
  </si>
  <si>
    <t>Inspire Medical Systems Inc. Common Stock</t>
  </si>
  <si>
    <t>Instructure Holdings Inc. Common Stock</t>
  </si>
  <si>
    <t xml:space="preserve">International Seaways Inc. Common Stock </t>
  </si>
  <si>
    <t>Intapp Inc. Common Stock</t>
  </si>
  <si>
    <t>Intel Corporation Common Stock</t>
  </si>
  <si>
    <t>Integral Acquisition Corporation 1 Class A Common Stock</t>
  </si>
  <si>
    <t>Intergroup Corporation (The) Common Stock</t>
  </si>
  <si>
    <t>Inter &amp; Co. Inc. Class A Common Shares</t>
  </si>
  <si>
    <t>Intensity Therapeutics Inc. Common stock</t>
  </si>
  <si>
    <t>inTest Corporation Common Stock</t>
  </si>
  <si>
    <t>Intuit Inc. Common Stock</t>
  </si>
  <si>
    <t>Intrusion Inc. Common Stock</t>
  </si>
  <si>
    <t>Inuvo Inc.</t>
  </si>
  <si>
    <t>Innoviva Inc. Common Stock</t>
  </si>
  <si>
    <t>Identiv Inc. Common Stock</t>
  </si>
  <si>
    <t>Invitation Homes Inc. Common Stock</t>
  </si>
  <si>
    <t>INVO BioScience Inc. Common Stock</t>
  </si>
  <si>
    <t>Innoviz Technologies Ltd. Ordinary shares</t>
  </si>
  <si>
    <t>Innoviz Technologies Ltd. Warrant</t>
  </si>
  <si>
    <t>Inozyme Pharma Inc. Common Stock</t>
  </si>
  <si>
    <t>IO Biotech Inc. Common Stock</t>
  </si>
  <si>
    <t>Assure Holdings Corp. Common Stock</t>
  </si>
  <si>
    <t>IonQ Inc. Common Stock</t>
  </si>
  <si>
    <t>ioneer Ltd American Depositary Shares</t>
  </si>
  <si>
    <t>Ionis Pharmaceuticals Inc. Common Stock</t>
  </si>
  <si>
    <t>Income Opportunity Realty Investors Inc. Common Stock</t>
  </si>
  <si>
    <t>Innospec Inc. Common Stock</t>
  </si>
  <si>
    <t>Samsara Inc. Class A Common Stock</t>
  </si>
  <si>
    <t>Iovance Biotherapeutics Inc. Common Stock</t>
  </si>
  <si>
    <t>International Paper Company Common Stock</t>
  </si>
  <si>
    <t>ImmunoPrecise Antibodies Ltd. Common Stock</t>
  </si>
  <si>
    <t>Inter Parfums Inc. Common Stock</t>
  </si>
  <si>
    <t>Professional Diversity Network Inc. Common Stock</t>
  </si>
  <si>
    <t>Interpublic Group of Companies Inc. (The) Common Stock</t>
  </si>
  <si>
    <t>IPG Photonics Corporation Common Stock</t>
  </si>
  <si>
    <t>Innate Pharma S.A. ADS</t>
  </si>
  <si>
    <t>Intrepid Potash Inc Common Stock</t>
  </si>
  <si>
    <t>Century Therapeutics Inc. Common Stock</t>
  </si>
  <si>
    <t>iPower Inc. Common Stock</t>
  </si>
  <si>
    <t>Ideal Power Inc. Common Stock</t>
  </si>
  <si>
    <t>IperionX Limited American Depositary Share</t>
  </si>
  <si>
    <t>Inflection Point Acquisition Corp. II Class A Ordinary Share</t>
  </si>
  <si>
    <t>Inflection Point Acquisition Corp. II Warrant</t>
  </si>
  <si>
    <t>iQIYI Inc. American Depositary Shares</t>
  </si>
  <si>
    <t>Invesco Quality Municipal Income Trust Common Stock</t>
  </si>
  <si>
    <t>IQVIA Holdings Inc. Common Stock</t>
  </si>
  <si>
    <t>Ingersoll Rand Inc. Common Stock</t>
  </si>
  <si>
    <t>Iris Acquisition Corp Class A Common Stock</t>
  </si>
  <si>
    <t>iRobot Corporation Common Stock</t>
  </si>
  <si>
    <t>Iridium Communications Inc Common Stock</t>
  </si>
  <si>
    <t>Iris Energy Limited Ordinary Shares</t>
  </si>
  <si>
    <t>IRIDEX Corporation Common Stock</t>
  </si>
  <si>
    <t>Iron Mountain Incorporated (Delaware)Common Stock REIT</t>
  </si>
  <si>
    <t>iRadimed Corporation Common Stock</t>
  </si>
  <si>
    <t>Iron Horse Acquisitions Corp. Unit</t>
  </si>
  <si>
    <t>Disc Medicine Inc. Common Stock</t>
  </si>
  <si>
    <t>IF Bancorp Inc. Common Stock</t>
  </si>
  <si>
    <t>Integrated Rail and Resources Acquisition Corp. Class A Common Stock</t>
  </si>
  <si>
    <t>IRSA Inversiones Y Representaciones S.A. Global Depositary Shares (Each representing ten shares of Common Stock)</t>
  </si>
  <si>
    <t>Independence Realty Trust Inc. Common Stock</t>
  </si>
  <si>
    <t>iRhythm Technologies Inc. Common Stock</t>
  </si>
  <si>
    <t>Ironwood Pharmaceuticals Inc. Class A Common Stock</t>
  </si>
  <si>
    <t>PGIM High Yield Bond Fund Inc.</t>
  </si>
  <si>
    <t>Issuer Direct Corporation Common Stock</t>
  </si>
  <si>
    <t>iSpecimen Inc. Common Stock</t>
  </si>
  <si>
    <t>Inspirato Incorporated Class A Common Stock</t>
  </si>
  <si>
    <t>Inspirato Incorporated Warrant</t>
  </si>
  <si>
    <t>Ispire Technology Inc. Common Stock</t>
  </si>
  <si>
    <t>Intuitive Surgical Inc. Common Stock</t>
  </si>
  <si>
    <t>Israel Acquisitions Corp Class A Ordinary Shares</t>
  </si>
  <si>
    <t>Israel Acquisitions Corp Unit</t>
  </si>
  <si>
    <t>Israel Acquisitions Corp Warrant</t>
  </si>
  <si>
    <t>Innovative Solutions and Support Inc. Common Stock</t>
  </si>
  <si>
    <t>Investar Holding Corporation Common Stock</t>
  </si>
  <si>
    <t>iSun Inc. Common Stock</t>
  </si>
  <si>
    <t>Gartner Inc. Common Stock</t>
  </si>
  <si>
    <t>Intra-Cellular Therapies Inc. Common Stock</t>
  </si>
  <si>
    <t>Integer Holdings Corporation Common Stock</t>
  </si>
  <si>
    <t>Iteris Inc. Common Stock</t>
  </si>
  <si>
    <t>Investors Title Company Common Stock</t>
  </si>
  <si>
    <t>iTeos Therapeutics Inc. Common Stock</t>
  </si>
  <si>
    <t>IT Tech Packaging Inc. Common Stock</t>
  </si>
  <si>
    <t>Integra Resources Corp. Common Shares</t>
  </si>
  <si>
    <t>Itron Inc. Common Stock</t>
  </si>
  <si>
    <t>Iterum Therapeutics plc Ordinary Share</t>
  </si>
  <si>
    <t>Ituran Location and Control Ltd. Ordinary Shares</t>
  </si>
  <si>
    <t xml:space="preserve">ITT Inc. Common Stock </t>
  </si>
  <si>
    <t>Itau Unibanco Banco Holding SA American Depositary Shares (Each repstg 500 Preferred shares)</t>
  </si>
  <si>
    <t>Illinois Tool Works Inc. Common Stock</t>
  </si>
  <si>
    <t>Inventiva S.A. American Depository Shares</t>
  </si>
  <si>
    <t>Intevac Inc. Common Stock</t>
  </si>
  <si>
    <t>Investcorp India Acquisition Corp. Class A Ordinary Share</t>
  </si>
  <si>
    <t>Investcorp India Acquisition Corp. Warrant</t>
  </si>
  <si>
    <t>Investcorp Europe Acquisition Corp I Class A Ordinary Shares</t>
  </si>
  <si>
    <t>Investcorp Europe Acquisition Corp I Warrant</t>
  </si>
  <si>
    <t>Swiftmerge Acquisition Corp. Class A Ordinary Share</t>
  </si>
  <si>
    <t>Iveda Solutions Inc. Common Stock</t>
  </si>
  <si>
    <t>Iveda Solutions Inc. Warrant</t>
  </si>
  <si>
    <t>Inspire Veterinary Partners Inc. Class A Common Stock</t>
  </si>
  <si>
    <t>INVESCO MORTGAGE CAPITAL INC Common Stock</t>
  </si>
  <si>
    <t>Invesco Mortgage Capital Inc. Preferred Series B Cum Fxd to Fltg</t>
  </si>
  <si>
    <t>INVESCO MORTGAGE CAPITAL INC 7.5% Fixed-to-Floating Series C Cumulative Redeemable Preferred Stock Liquation Preference $25.00 per Share</t>
  </si>
  <si>
    <t>InvenTrust Properties Corp. Common Stock</t>
  </si>
  <si>
    <t>Invivyd Inc. Common Stock</t>
  </si>
  <si>
    <t>Invesco Ltd Common Stock</t>
  </si>
  <si>
    <t>Orix Corp Ads Common Stock</t>
  </si>
  <si>
    <t>IX Acquisition Corp. Class A Ordinary Share</t>
  </si>
  <si>
    <t>IX Acquisition Corp. Unit</t>
  </si>
  <si>
    <t>Incannex Healthcare Inc. Common Stock</t>
  </si>
  <si>
    <t>IZEA Worldwide Inc. Common Stock</t>
  </si>
  <si>
    <t>ICZOOM Group Inc. Class A Ordinary Shares</t>
  </si>
  <si>
    <t>Jacobs Solutions Inc. Common Stock</t>
  </si>
  <si>
    <t>Jack In The Box Inc. Common Stock</t>
  </si>
  <si>
    <t>Jaguar Health Inc. Common Stock</t>
  </si>
  <si>
    <t>JAKKS Pacific Inc. Common Stock</t>
  </si>
  <si>
    <t>Jamf Holding Corp. Common Stock</t>
  </si>
  <si>
    <t>JanOne Inc. Common Stock (NV)</t>
  </si>
  <si>
    <t>Janux Therapeutics Inc. Common Stock</t>
  </si>
  <si>
    <t>Jazz Pharmaceuticals plc Common Stock (Ireland)</t>
  </si>
  <si>
    <t xml:space="preserve">JBG SMITH Properties Common Shares </t>
  </si>
  <si>
    <t>J.B. Hunt Transport Services Inc. Common Stock</t>
  </si>
  <si>
    <t>Janus International Group Inc. Common Stock</t>
  </si>
  <si>
    <t>Jabil Inc. Common Stock</t>
  </si>
  <si>
    <t>JetBlue Airways Corporation Common Stock</t>
  </si>
  <si>
    <t>John B. Sanfilippo &amp; Son Inc. Common Stock</t>
  </si>
  <si>
    <t>John Bean Technologies Corporation Common Stock</t>
  </si>
  <si>
    <t>Nuveen Core Equity Alpha Fund Common Shares of Beneficial Interest</t>
  </si>
  <si>
    <t>Johnson Controls International plc Ordinary Share</t>
  </si>
  <si>
    <t>JE Cleantech Holdings Limited Ordinary Shares</t>
  </si>
  <si>
    <t>Jewett-Cameron Trading Company Common Shares</t>
  </si>
  <si>
    <t>JD.com Inc. American Depositary Shares</t>
  </si>
  <si>
    <t>Jefferies Financial Group Inc. Common Stock</t>
  </si>
  <si>
    <t>JELD-WEN Holding Inc. Common Stock</t>
  </si>
  <si>
    <t>abrdn Japan Equity Fund Inc. Common Stock</t>
  </si>
  <si>
    <t>Adamas One Corp. Common Stock</t>
  </si>
  <si>
    <t>Jeffs' Brands Ltd Ordinary Shares</t>
  </si>
  <si>
    <t>Jeffs' Brands Ltd Warrant</t>
  </si>
  <si>
    <t>Jiayin Group Inc. American Depositary Shares</t>
  </si>
  <si>
    <t>Nuveen Floating Rate Income Fund Common Stock</t>
  </si>
  <si>
    <t>9F Inc. American Depositary Shares</t>
  </si>
  <si>
    <t>Aurora Mobile Limited American Depositary Shares</t>
  </si>
  <si>
    <t>Nuveen Global High Income Fund Common Shares of Beneficial Interest</t>
  </si>
  <si>
    <t>Janus Henderson Group plc Ordinary Shares</t>
  </si>
  <si>
    <t>John Hancock Investors Trust Common Stock</t>
  </si>
  <si>
    <t>John Hancock Income Securities Trust Common Stock</t>
  </si>
  <si>
    <t>James Hardie Industries plc American Depositary Shares (Ireland)</t>
  </si>
  <si>
    <t>J. Jill Inc. Common Stock</t>
  </si>
  <si>
    <t>J &amp; J Snack Foods Corp. Common Stock</t>
  </si>
  <si>
    <t>Jack Henry &amp; Associates Inc. Common Stock</t>
  </si>
  <si>
    <t>JinkoSolar Holding Company Limited American Depositary Shares (each representing 4 Common Shares)</t>
  </si>
  <si>
    <t>Jones Lang LaSalle Incorporated Common Stock</t>
  </si>
  <si>
    <t>Nuveen Mortgage and Income Fund</t>
  </si>
  <si>
    <t>Jumia Technologies AG American Depositary Shares each representing two Ordinary Shares</t>
  </si>
  <si>
    <t>Nuveen Multi-Market Income Fund (MA)</t>
  </si>
  <si>
    <t>John Marshall Bancorp Inc. Common Stock</t>
  </si>
  <si>
    <t>Johnson &amp; Johnson Common Stock</t>
  </si>
  <si>
    <t>Juniper Networks Inc. Common Stock</t>
  </si>
  <si>
    <t>Janover Inc. Common Stock</t>
  </si>
  <si>
    <t>JOANN Inc. Common Stock</t>
  </si>
  <si>
    <t>GEE Group Inc. Common Stock</t>
  </si>
  <si>
    <t>Joby Aviation Inc. Common Stock</t>
  </si>
  <si>
    <t>St. Joe Company (The) Common Stock</t>
  </si>
  <si>
    <t>Japan Smaller Capitalization Fund Inc Common Stock</t>
  </si>
  <si>
    <t>Johnson Outdoors Inc. Class A Common Stock</t>
  </si>
  <si>
    <t>Nuveen Preferred &amp; Income Opportunities Fund</t>
  </si>
  <si>
    <t>Nuveen Preferred and Income Term Fund Common Shares of Beneficial Interest</t>
  </si>
  <si>
    <t>JP Morgan Chase &amp; Co. Common Stock</t>
  </si>
  <si>
    <t>J P Morgan Chase &amp; Co Depositary Shares each representing a 1/400th interest in a share of 6.00% Non-Cumulative  Preferred Stock Series EE</t>
  </si>
  <si>
    <t>J P Morgan Chase &amp; Co Depositary Shares each representing a 1/400th  interest in a share of 5.75% Non-Cumulative  Preferred Stock Series DD</t>
  </si>
  <si>
    <t>J P Morgan Chase &amp; Co Depositary Shares each representing a 1/400th interest in a share of JPMorgan Chase &amp; Co. 4.75% Non-Cumulative Preferred Stock Series GG</t>
  </si>
  <si>
    <t>J P Morgan Chase &amp; Co Depositary Shares each representing a 1/400th interest in a share of 4.55% Non-Cumulative Preferred Stock Series JJ</t>
  </si>
  <si>
    <t>J P Morgan Chase &amp; Co Depositary Shares each representing a 1/400th interest in a share of 4.625% Non-Cumulative Preferred Stock Series LL</t>
  </si>
  <si>
    <t>J P Morgan Chase &amp; Co Depositary Shares each representing a 1/400th interest in a share of 4.20% Non-Cumulative Preferred Stock Series MM</t>
  </si>
  <si>
    <t>Nuveen Credit Strategies Income Fund Shares of Beneficial Interest</t>
  </si>
  <si>
    <t>Nuveen Real Asset Income and Growth Fund Common Shares of Beneficial Interest</t>
  </si>
  <si>
    <t>Nuveen Real Estate Income Fund Common Shares of Beneficial Interest</t>
  </si>
  <si>
    <t>Jerash Holdings (US) Inc. Common Stock</t>
  </si>
  <si>
    <t>James River Group Holdings Ltd. Common Shares</t>
  </si>
  <si>
    <t>Navient Corporation 6% Senior Notes due December 15 2043</t>
  </si>
  <si>
    <t>Jasper Therapeutics Inc. Common Stock</t>
  </si>
  <si>
    <t>Japer Therapeutics Inc. Warrants</t>
  </si>
  <si>
    <t>Jianpu Technology Inc. American depositary shares</t>
  </si>
  <si>
    <t>Jet.AI Inc. Common Stock</t>
  </si>
  <si>
    <t>Jet.AI Inc. Warrant</t>
  </si>
  <si>
    <t>Jet.AI Inc. Merger Consideration Warrants</t>
  </si>
  <si>
    <t>Coffee Holding Co. Inc. Common Stock</t>
  </si>
  <si>
    <t>Jowell Global Ltd. Ordinary Shares</t>
  </si>
  <si>
    <t>Nordstrom Inc. Common Stock</t>
  </si>
  <si>
    <t>Jaws Mustang Acquisition Corp. Class A Ordinary Shares</t>
  </si>
  <si>
    <t>JX Luxventure Limited Common Stock</t>
  </si>
  <si>
    <t xml:space="preserve">Jackson Financial Inc. Class A Common Stock </t>
  </si>
  <si>
    <t>Jackson Financial Inc. Depositary Shares each representing a 1/1000th interest in a share of Fixed-Rate Reset Noncumulative Perpetual Preferred Stock Series A</t>
  </si>
  <si>
    <t>Jayud Global Logistics Limited Class A Ordinary Shares</t>
  </si>
  <si>
    <t>The Joint Corp. Common Stock</t>
  </si>
  <si>
    <t>Jianzhi Education Technology Group Company Limited American Depositary Shares</t>
  </si>
  <si>
    <t>Jiuzi Holdings Inc. Ordinary Shares</t>
  </si>
  <si>
    <t>Kellanova Common Stock</t>
  </si>
  <si>
    <t>Kineta Inc. Common Stock</t>
  </si>
  <si>
    <t>Kairous Acquisition Corp. Limited Ordinary Shares</t>
  </si>
  <si>
    <t>Kairous Acquisition Corp. Limited Unit</t>
  </si>
  <si>
    <t>Kadant Inc Common Stock</t>
  </si>
  <si>
    <t>KALA BIO Inc. Common Stock</t>
  </si>
  <si>
    <t>Kaiser Aluminum Corporation Common Stock</t>
  </si>
  <si>
    <t>KalVista Pharmaceuticals Inc. Common Stock</t>
  </si>
  <si>
    <t>Kaman Corporation Common Stock</t>
  </si>
  <si>
    <t>OPENLANE Inc. Common Stock</t>
  </si>
  <si>
    <t>Karooooo Ltd. Ordinary Shares</t>
  </si>
  <si>
    <t>Kaival Brands Innovations Group Inc. Common Stock</t>
  </si>
  <si>
    <t>KB Financial Group Inc</t>
  </si>
  <si>
    <t>KB Home Common Stock</t>
  </si>
  <si>
    <t>KBR Inc. Common Stock</t>
  </si>
  <si>
    <t>Kingsoft Cloud Holdings Limited American Depositary Shares</t>
  </si>
  <si>
    <t>Kensington Capital Acquisition Corp. V Class A Ordinary Shares</t>
  </si>
  <si>
    <t>Kyndryl Holdings Inc. Common Stock</t>
  </si>
  <si>
    <t>Keurig Dr Pepper Inc. Common Stock</t>
  </si>
  <si>
    <t>Kimball Electronics Inc. Common Stock</t>
  </si>
  <si>
    <t>Kelly Services Inc. Class A Common Stock</t>
  </si>
  <si>
    <t>Kelly Services Inc. Class B Common Stock</t>
  </si>
  <si>
    <t>Kenon Holdings Ltd. Ordinary Shares</t>
  </si>
  <si>
    <t>Korea Electric Power Corporation Common Stock</t>
  </si>
  <si>
    <t>Kewaunee Scientific Corporation Common Stock</t>
  </si>
  <si>
    <t>Akerna Corp. Common Stock</t>
  </si>
  <si>
    <t>Akerna Corp Warrant</t>
  </si>
  <si>
    <t>Kirby Corporation Common Stock</t>
  </si>
  <si>
    <t>KeyCorp Common Stock</t>
  </si>
  <si>
    <t>KeyCorp Depositary Shares Each Representing a 1/40th Ownership Interest in a Share of Fixed-to-Floating Rate Perpetual Non-Cumulative Preferred Stock Series E</t>
  </si>
  <si>
    <t>KeyCorp Depositary Shares each representing a 1/40th ownership interest in a share of Fixed Rate Perpetual Non-Cumulative Preferred Stock Series F</t>
  </si>
  <si>
    <t>KeyCorp Depositary Shares each representing a 1/40th ownership interest in a share of Fixed Rate Perpetual Non-Cumulative Preferred Stock Series G</t>
  </si>
  <si>
    <t>KeyCorp Depositary Shares each representing a 1/40th ownership interest in a share of Fixed Rate Perpetual Non-Cumulative Preferred Stock Series H</t>
  </si>
  <si>
    <t>Keysight Technologies Inc. Common Stock</t>
  </si>
  <si>
    <t>Korea Fund Inc. (The) New Common Stock</t>
  </si>
  <si>
    <t>Kentucky First Federal Bancorp Common Stock</t>
  </si>
  <si>
    <t>Kforce Inc. Common Stock</t>
  </si>
  <si>
    <t>Kingsway Financial Services Inc. Common Stock (DE)</t>
  </si>
  <si>
    <t>Korn Ferry Common Stock</t>
  </si>
  <si>
    <t>Kinross Gold Corporation Common Stock</t>
  </si>
  <si>
    <t>Kolibri Global Energy Inc. Common stock</t>
  </si>
  <si>
    <t>Kodiak Gas Services Inc. Common Stock</t>
  </si>
  <si>
    <t>The Kraft Heinz Company Common Stock</t>
  </si>
  <si>
    <t>OrthoPediatrics Corp. Common Stock</t>
  </si>
  <si>
    <t>Kimco Realty Corporation (HC) Common Stock</t>
  </si>
  <si>
    <t>Kimco Realty Corporation Class L Depositary Shares each of which represents a one-one thousandth fractional interest in a share of 5.125% Class L Cumulative Redeemable Preferred Stock liquidation preference $25000.00 per share</t>
  </si>
  <si>
    <t>Kimco Realty Corporation Class M Depositary Shares each of which represents a one-one thousandth fractional interest in a share of 5.25% Class M Cumulative Redeemable Preferred Stock liquidation preference $25000.00 per share</t>
  </si>
  <si>
    <t>Kimco Realty Corporation Depositary Shares each representing 1/1000th interest in a share of 7.25% Class N Cumulative Convertible Perpetual Preferred Stock</t>
  </si>
  <si>
    <t>Nextdoor Holdings Inc. Class A Common Stock</t>
  </si>
  <si>
    <t>Kingstone Companies Inc. Common Stock</t>
  </si>
  <si>
    <t>KKR Income Opportunities Fund Common Shares</t>
  </si>
  <si>
    <t>Kelso Technologies Inc Ordinary Shares</t>
  </si>
  <si>
    <t>Kirkland's Inc. COMMONSTOCK</t>
  </si>
  <si>
    <t>Nauticus Robotics Inc. Common stock</t>
  </si>
  <si>
    <t>Nauticus Robotics Inc. Warrant</t>
  </si>
  <si>
    <t>KKR &amp; Co. Inc. Common Stock</t>
  </si>
  <si>
    <t>KKR Group Finance Co. IX LLC 4.625% Subordinated Notes due 2061</t>
  </si>
  <si>
    <t>KLA Corporation Common Stock</t>
  </si>
  <si>
    <t>WK Kellogg Co Common Stock</t>
  </si>
  <si>
    <t>Kulicke and Soffa Industries Inc. Common Stock</t>
  </si>
  <si>
    <t>Kaltura Inc. Common Stock</t>
  </si>
  <si>
    <t>KLX Energy Services Holdings Inc. Common Stock</t>
  </si>
  <si>
    <t>Kimberly-Clark Corporation Common Stock</t>
  </si>
  <si>
    <t>Kamada Ltd. Ordinary Shares</t>
  </si>
  <si>
    <t>Kinder Morgan Inc. Common Stock</t>
  </si>
  <si>
    <t>Kemper Corporation 5.875% Fixed-Rate Reset Junior Subordinated Debentures due 2062</t>
  </si>
  <si>
    <t>Kemper Corporation</t>
  </si>
  <si>
    <t>Kennametal Inc. Common Stock</t>
  </si>
  <si>
    <t>CarMax Inc</t>
  </si>
  <si>
    <t>Knowles Corporation Common Stock</t>
  </si>
  <si>
    <t>Kandi Technologies Group Inc Common Stock</t>
  </si>
  <si>
    <t>Knife Riv Holding Co. Common Stock</t>
  </si>
  <si>
    <t>KNOT Offshore Partners LP Common Units representing Limited Partner Interests</t>
  </si>
  <si>
    <t>Kiniksa Pharmaceuticals Ltd. Class A Common Stock</t>
  </si>
  <si>
    <t>Kinsale Capital Group Inc. Common Stock</t>
  </si>
  <si>
    <t>Kinnate Biopharma Inc. Common Stock</t>
  </si>
  <si>
    <t>Kinetik Holdings Inc. Class A Common Stock</t>
  </si>
  <si>
    <t>Know Labs Inc. Common Stock</t>
  </si>
  <si>
    <t>Knight-Swift Transportation Holdings Inc.</t>
  </si>
  <si>
    <t>Coca-Cola Company (The) Common Stock</t>
  </si>
  <si>
    <t>Kodiak Sciences Inc Common Stock</t>
  </si>
  <si>
    <t>Eastman Kodak Company Common New</t>
  </si>
  <si>
    <t>Coca Cola Femsa S.A.B. de C.V.  American Depositary Shares each representing 10 Units (each Unit consists of 3 Series B Shares and 5 Series L Shares)</t>
  </si>
  <si>
    <t>Koppers Holdings Inc. Common Stock</t>
  </si>
  <si>
    <t>Kopin Corporation Common Stock</t>
  </si>
  <si>
    <t>KORE Group Holdings Inc. Common Stock</t>
  </si>
  <si>
    <t>Kosmos Energy Ltd. Common Shares (DE)</t>
  </si>
  <si>
    <t>Koss Corporation Common Stock</t>
  </si>
  <si>
    <t>Katapult Holdings Inc. Common Stock</t>
  </si>
  <si>
    <t>Katapult Holdings Inc. Warrant</t>
  </si>
  <si>
    <t>Kiora Pharmaceuticals Inc.  Common Stock</t>
  </si>
  <si>
    <t>Karyopharm Therapeutics Inc. Common Stock</t>
  </si>
  <si>
    <t>Kroger Company (The) Common Stock</t>
  </si>
  <si>
    <t>Kilroy Realty Corporation Common Stock</t>
  </si>
  <si>
    <t>KKR Real Estate Finance Trust Inc. Common Stock</t>
  </si>
  <si>
    <t>KKR Real Estate Finance Trust Inc. 6.50% Series A Cumulative Redeemable Preferred Stock</t>
  </si>
  <si>
    <t>Kite Realty Group Trust Common Stock</t>
  </si>
  <si>
    <t>36Kr Holdings Inc. American Depositary Shares</t>
  </si>
  <si>
    <t>KORU Medical Systems Inc. Common Stock (DE)</t>
  </si>
  <si>
    <t>Kernel Group Holdings Inc. Class A Ordinary Shares</t>
  </si>
  <si>
    <t>Kernel Group Holdings Inc. Units</t>
  </si>
  <si>
    <t>Kornit Digital Ltd. Ordinary Shares</t>
  </si>
  <si>
    <t>Kearny Financial Corp Common Stock</t>
  </si>
  <si>
    <t>Kronos Worldwide Inc Common Stock</t>
  </si>
  <si>
    <t>Kronos Bio Inc. Common Stock</t>
  </si>
  <si>
    <t>Keros Therapeutics Inc. Common Stock</t>
  </si>
  <si>
    <t>Kimbell Royalty Partners Common Units Representing Limited Partner Interests</t>
  </si>
  <si>
    <t>Korro Bio Inc. Common Stock</t>
  </si>
  <si>
    <t>Karat Packaging Inc. Common Stock</t>
  </si>
  <si>
    <t>Karuna Therapeutics Inc. Common Stock</t>
  </si>
  <si>
    <t>Kura Sushi USA Inc. Class A Common Stock</t>
  </si>
  <si>
    <t>Krystal Biotech Inc. Common Stock</t>
  </si>
  <si>
    <t>Knightscope Inc. Class A Common Stock</t>
  </si>
  <si>
    <t>DWS Strategic Municipal Income Trust</t>
  </si>
  <si>
    <t>Kohl's Corporation Common Stock</t>
  </si>
  <si>
    <t>KT Corporation Common Stock</t>
  </si>
  <si>
    <t xml:space="preserve">Kontoor Brands Inc. Common Stock </t>
  </si>
  <si>
    <t>Key Tronic Corporation Common Stock</t>
  </si>
  <si>
    <t>DWS Municipal Income Trust</t>
  </si>
  <si>
    <t>Structures Products Cp 8% CorTS Issued by Peco Energy Cap Tr II Preferred Stock</t>
  </si>
  <si>
    <t>Structured Products Corp 8.205% CorTS 8.205% Corporate Backed Trust Securities (CorTS)</t>
  </si>
  <si>
    <t>Kratos Defense &amp; Security Solutions Inc. Common Stock</t>
  </si>
  <si>
    <t>Kintara Therapeutics Inc. Common Stock</t>
  </si>
  <si>
    <t>Pasithea Therapeutics Corp. Common Stock</t>
  </si>
  <si>
    <t>Pasithea Therapeutics Corp. Warrant</t>
  </si>
  <si>
    <t>Kuke Music Holding Limited American Depositary Shares each representing one Ordinary Share</t>
  </si>
  <si>
    <t>KULR Technology Group Inc. Common Stock</t>
  </si>
  <si>
    <t>Kura Oncology Inc. Common Stock</t>
  </si>
  <si>
    <t>Keen Vision Acquisition Corporation Ordinary Shares</t>
  </si>
  <si>
    <t>Keen Vision Acquisition Corporation Units</t>
  </si>
  <si>
    <t>Keen Vision Acquisition Corporation Warrant</t>
  </si>
  <si>
    <t>KVH Industries Inc. Common Stock</t>
  </si>
  <si>
    <t>Kenvue Inc. Common Stock</t>
  </si>
  <si>
    <t>Klaviyo Inc. Series A Common Stock</t>
  </si>
  <si>
    <t>Kennedy-Wilson Holdings Inc. Common Stock</t>
  </si>
  <si>
    <t>KWESST Micro Systems Inc. Common Stock</t>
  </si>
  <si>
    <t>Quaker Houghton Common Stock</t>
  </si>
  <si>
    <t>Kaixin Auto Holdings Ordinary Shares</t>
  </si>
  <si>
    <t>Keyarch Acquisition Corporation Ordinary Shares</t>
  </si>
  <si>
    <t>Keyarch Acquisition Corporation Rights</t>
  </si>
  <si>
    <t>Kymera Therapeutics Inc. Common Stock</t>
  </si>
  <si>
    <t>Kayne Anderson Energy Infrastructure Fund Inc.</t>
  </si>
  <si>
    <t>Kazia Therapeutics Limited American Depositary Shares</t>
  </si>
  <si>
    <t>Kezar Life Sciences Inc. Common Stock</t>
  </si>
  <si>
    <t>Loews Corporation Common Stock</t>
  </si>
  <si>
    <t>Lithium Americas (Argentina) Corp. Common Shares</t>
  </si>
  <si>
    <t>Standard BioTools Inc. Common Stock</t>
  </si>
  <si>
    <t>Landos Biopharma Inc. Common Stock</t>
  </si>
  <si>
    <t>Lithium Americas Corp. Common Shares</t>
  </si>
  <si>
    <t>Lithia Motors Inc. Common Stock</t>
  </si>
  <si>
    <t>Ladder Capital Corp Class A Common Stock</t>
  </si>
  <si>
    <t>SEALSQ Corp Ordinary Shares</t>
  </si>
  <si>
    <t>Lakeland Industries Inc. Common Stock</t>
  </si>
  <si>
    <t>Lamar Advertising Company Class A Common Stock</t>
  </si>
  <si>
    <t>Lancaster Colony Corporation Common Stock</t>
  </si>
  <si>
    <t>Gladstone Land Corporation Common Stock</t>
  </si>
  <si>
    <t>Gladstone Land Corporation 5.00% Series D Cumulative Term Preferred Stock</t>
  </si>
  <si>
    <t>Gladstone Land Corporation 6.00% Series B Cumulative Redeemable Preferred Stock</t>
  </si>
  <si>
    <t>Gladstone Land Corporation 6.00% Series C Cumulative Redeemable Preferred Stock</t>
  </si>
  <si>
    <t>Lanvin Group Holdings Limited Ordinary Shares</t>
  </si>
  <si>
    <t>Landmark Bancorp Inc. Common Stock</t>
  </si>
  <si>
    <t>Laser Photonics Corporation Common Stock</t>
  </si>
  <si>
    <t>nLIGHT Inc. Common Stock</t>
  </si>
  <si>
    <t>Chenghe Acquisition I Co. Class A Ordinary Shares</t>
  </si>
  <si>
    <t>Chenghe Acquisition I Co. Unit</t>
  </si>
  <si>
    <t>Laureate Education Inc. Common Stock</t>
  </si>
  <si>
    <t>CS Disco Inc. Common Stock</t>
  </si>
  <si>
    <t>Lazard Inc. Common Stock</t>
  </si>
  <si>
    <t>Luminar Technologies Inc.  Class A Common Stock</t>
  </si>
  <si>
    <t>Lazydays Holdings Inc. Common Stock</t>
  </si>
  <si>
    <t>Lakeland Bancorp Inc. Common Stock</t>
  </si>
  <si>
    <t>Lakeshore Acquisition II Corp. Ordinary Shares</t>
  </si>
  <si>
    <t>Lakeshore Acquisition II Corp. Rights</t>
  </si>
  <si>
    <t>Lakeshore Acquisition II Corp. Warrants</t>
  </si>
  <si>
    <t>Luther Burbank Corporation Common Stock</t>
  </si>
  <si>
    <t>Longboard Pharmaceuticals Inc. Common Stock</t>
  </si>
  <si>
    <t>Liberty Broadband Corporation Class A Common Stock</t>
  </si>
  <si>
    <t>Liberty Broadband Corporation Class C Common Stock</t>
  </si>
  <si>
    <t>Liberty Broadband Corporation Series A Cumulative Redeemable Preferred Stock</t>
  </si>
  <si>
    <t>Liberty Energy Inc. Class A common stock</t>
  </si>
  <si>
    <t>Liberty Global Ltd. Class A Common Shares</t>
  </si>
  <si>
    <t>Liberty Global Ltd. Class B Common Shares</t>
  </si>
  <si>
    <t>Liberty Global Ltd. Class C Common Shares</t>
  </si>
  <si>
    <t>LendingClub Corporation Common Stock</t>
  </si>
  <si>
    <t>Landcadia Holdings IV Inc. Class A Common Stock</t>
  </si>
  <si>
    <t>L Catterton Asia Acquisition Corp Class A Ordinary Shares</t>
  </si>
  <si>
    <t>L Catterton Asia Acquisition Corp Warrant</t>
  </si>
  <si>
    <t xml:space="preserve">Landcadia Holdings IV Inc. Warrant </t>
  </si>
  <si>
    <t>Locafy Limited Ordinary Share</t>
  </si>
  <si>
    <t>Locafy Limited Warrant</t>
  </si>
  <si>
    <t>Lucid Group Inc. Common Stock</t>
  </si>
  <si>
    <t>LCI Industries</t>
  </si>
  <si>
    <t>LCNB Corporation Common Stock</t>
  </si>
  <si>
    <t>Lineage Cell Therapeutics Inc. Common Stock</t>
  </si>
  <si>
    <t>Lifetime Brands Inc. Common Stock</t>
  </si>
  <si>
    <t>Learn CW Investment Corporation Class A Ordinary Shares</t>
  </si>
  <si>
    <t>loanDepot Inc. Class A Common Stock</t>
  </si>
  <si>
    <t>Leidos Holdings Inc. Common Stock</t>
  </si>
  <si>
    <t>Cohen &amp; Steers Limited Duration Preferred and Income Fund Inc.</t>
  </si>
  <si>
    <t>LeddarTech Holdings Inc. Common Shares</t>
  </si>
  <si>
    <t>LeddarTech Holdings Inc. Warrants</t>
  </si>
  <si>
    <t>Lendway Inc. Common Stock (DE)</t>
  </si>
  <si>
    <t>Lands' End Inc. Common Stock</t>
  </si>
  <si>
    <t>Lear Corporation Common Stock</t>
  </si>
  <si>
    <t>Lincoln Electric Holdings Inc. Common Shares</t>
  </si>
  <si>
    <t>SemiLEDS Corporation Common Stock</t>
  </si>
  <si>
    <t>Lee Enterprises Incorporated Common Stock</t>
  </si>
  <si>
    <t>Leggett &amp; Platt Incorporated Common Stock</t>
  </si>
  <si>
    <t>Legacy Housing Corporation Common Stock (TX)</t>
  </si>
  <si>
    <t>Legend Biotech Corporation American Depositary Shares</t>
  </si>
  <si>
    <t>Leju Holdings Limited American Depositary Shares each representing one Ordinary share</t>
  </si>
  <si>
    <t>Lennar Corporation Class A Common Stock</t>
  </si>
  <si>
    <t>BNY Mellon Strategic Municipals Inc. Common Stock</t>
  </si>
  <si>
    <t>Leslie's Inc. Common Stock</t>
  </si>
  <si>
    <t>Centrus Energy Corp. Class A Common Stock</t>
  </si>
  <si>
    <t>The Lion Electric Company Common Shares</t>
  </si>
  <si>
    <t>Levi Strauss &amp; Co Class A Common Stock</t>
  </si>
  <si>
    <t>Lexaria Bioscience Corp. Common Stock</t>
  </si>
  <si>
    <t>Lexaria Bioscience Corp. Warrant</t>
  </si>
  <si>
    <t>Lifecore Biomedical Inc. Common Stock</t>
  </si>
  <si>
    <t>Leafly Holdings Inc. Common Stock</t>
  </si>
  <si>
    <t>Leafly Holdings Inc. Warrant</t>
  </si>
  <si>
    <t>LifeMD Inc. Common Stock</t>
  </si>
  <si>
    <t>LifeMD Inc. 8.875% Series A Cumulative Perpetual Preferred Stock</t>
  </si>
  <si>
    <t>LifeStance Health Group Inc. Common Stock</t>
  </si>
  <si>
    <t>Lument Finance Trust Inc. Common Stock</t>
  </si>
  <si>
    <t>Lument Finance Trust Inc. 7.875% Series A Cumulative Redeemable Preferred Stock</t>
  </si>
  <si>
    <t>Littelfuse Inc. Common Stock</t>
  </si>
  <si>
    <t>Lifevantage Corporation Common Stock (Delaware)</t>
  </si>
  <si>
    <t>Linkage Global Inc Ordinary Shares</t>
  </si>
  <si>
    <t>Lion Group Holding Ltd. American Depositary Share</t>
  </si>
  <si>
    <t>Lion Group Holding Ltd. Warrant</t>
  </si>
  <si>
    <t>Lazard Global Total Return and Income Fund Common Stock</t>
  </si>
  <si>
    <t>LGI Homes Inc. Common Stock</t>
  </si>
  <si>
    <t>LGL Group Inc. (The) Common Stock</t>
  </si>
  <si>
    <t>LogicMark Inc. Common Stock (NV)</t>
  </si>
  <si>
    <t>Ligand Pharmaceuticals Incorporated Common Stock</t>
  </si>
  <si>
    <t>Largo Inc. Common Shares</t>
  </si>
  <si>
    <t>Semper Paratus Acquisition Corporation Class A Ordinary Shares</t>
  </si>
  <si>
    <t>Semper Paratus Acquisition Corporation Warrant</t>
  </si>
  <si>
    <t>LAMF Global Ventures Corp. I Class A Ordinary Shares</t>
  </si>
  <si>
    <t>Longeveron Inc. Class A Common Stock</t>
  </si>
  <si>
    <t>Laboratory Corporation of America Holdings Common Stock</t>
  </si>
  <si>
    <t>L3Harris Technologies Inc. Common Stock</t>
  </si>
  <si>
    <t>Li Auto Inc. American Depositary Shares</t>
  </si>
  <si>
    <t>LianBio American Depositary Shares</t>
  </si>
  <si>
    <t>Liberty Resources Acquisition Corp. Class A Common Stock</t>
  </si>
  <si>
    <t>Liberty Resources Acquisition Corp. Unit</t>
  </si>
  <si>
    <t>Liberty Resources Acquisition Corp. Warrant</t>
  </si>
  <si>
    <t>Lichen China Limited Class A Ordinary Shares</t>
  </si>
  <si>
    <t>Li-Cycle Holdings Corp. Common Shares</t>
  </si>
  <si>
    <t>AEye Inc. Class A Common Stock</t>
  </si>
  <si>
    <t>AEye Inc. Warrant</t>
  </si>
  <si>
    <t>aTyr Pharma Inc. Common Stock</t>
  </si>
  <si>
    <t>MSP Recovery Inc. Class A Common Stock</t>
  </si>
  <si>
    <t>MSP Recovery Inc. Warrant</t>
  </si>
  <si>
    <t>Lennox International Inc. Common Stock</t>
  </si>
  <si>
    <t>Liberty Latin America Ltd. Class A Common Stock</t>
  </si>
  <si>
    <t>Liberty Latin America Ltd. Class C Common Stock</t>
  </si>
  <si>
    <t>Lilium NV Class A Ordinary Shares</t>
  </si>
  <si>
    <t>Lilium N.V. Warrants</t>
  </si>
  <si>
    <t>Linde plc Ordinary Shares</t>
  </si>
  <si>
    <t>Lincoln Educational Services Corporation Common Stock</t>
  </si>
  <si>
    <t>Lindblad Expeditions Holdings Inc. Common Stock</t>
  </si>
  <si>
    <t>Interlink Electronics Inc. Common Stock</t>
  </si>
  <si>
    <t>Lipella Pharmaceuticals Inc. Common Stock</t>
  </si>
  <si>
    <t>LiqTech International Inc. Common Stock</t>
  </si>
  <si>
    <t>LightInTheBox Holding Co. Ltd. American Depositary Shares each representing 2 ordinary shares</t>
  </si>
  <si>
    <t>Lumentum Holdings Inc. Common Stock</t>
  </si>
  <si>
    <t>Snow Lake Resources Ltd. Common Shares</t>
  </si>
  <si>
    <t>Live Ventures Incorporated Common Stock</t>
  </si>
  <si>
    <t>LivaNova PLC Ordinary Shares</t>
  </si>
  <si>
    <t>Lixte Biotechnology Holdings Inc. Common Stock</t>
  </si>
  <si>
    <t>Lixte Biotechnology Holdings Inc. Warrants</t>
  </si>
  <si>
    <t>LIZHI INC. American Depositary Shares</t>
  </si>
  <si>
    <t>Luokung Technology Corp Ordinary Shares</t>
  </si>
  <si>
    <t>Lakeland Financial Corporation Common Stock</t>
  </si>
  <si>
    <t>LKQ Corporation Common Stock</t>
  </si>
  <si>
    <t>LL Flooring Holdings Inc. Common Stock</t>
  </si>
  <si>
    <t>Terran Orbital Corporation Common Stock</t>
  </si>
  <si>
    <t>Eli Lilly and Company Common Stock</t>
  </si>
  <si>
    <t>Liberty Media Corporation Series A Liberty Live Common Stock</t>
  </si>
  <si>
    <t>Liberty Media Corporation Series C Liberty Live Common Stock</t>
  </si>
  <si>
    <t>LeMaitre Vascular Inc. Common Stock</t>
  </si>
  <si>
    <t>Limbach Holdings Inc. Common Stock</t>
  </si>
  <si>
    <t>LumiraDx Limited Common Shares</t>
  </si>
  <si>
    <t>LumiraDx Limited Warrant</t>
  </si>
  <si>
    <t>LM Funding America Inc. Common Stock</t>
  </si>
  <si>
    <t>Lemonade Inc. Common Stock</t>
  </si>
  <si>
    <t>Limoneira Co Common Stock</t>
  </si>
  <si>
    <t>Lockheed Martin Corporation Common Stock</t>
  </si>
  <si>
    <t>Lincoln National Corporation Common Stock</t>
  </si>
  <si>
    <t>Lincoln National Corporation Depositary Shares Each Representing a 1/1000th Interest in a Share of 9.000% Non-Cumulative Preferred Stock Series D</t>
  </si>
  <si>
    <t>Brasilagro Brazilian Agric Real Estate Co Sponsored ADR (Brazil)</t>
  </si>
  <si>
    <t>Cheniere Energy Inc. Common Stock</t>
  </si>
  <si>
    <t>LINKBANCORP Inc. Common Stock</t>
  </si>
  <si>
    <t>Lindsay Corporation Common Stock</t>
  </si>
  <si>
    <t>LENSAR Inc. Common Stock</t>
  </si>
  <si>
    <t>Alliant Energy Corporation Common Stock</t>
  </si>
  <si>
    <t>Lantheus Holdings Inc. Common Stock</t>
  </si>
  <si>
    <t>Light &amp; Wonder Inc. Common Stock</t>
  </si>
  <si>
    <t>LanzaTech Global Inc. Common Stock</t>
  </si>
  <si>
    <t>LanzaTech Global Inc. Warrant</t>
  </si>
  <si>
    <t>Manhattan Bridge Capital Inc</t>
  </si>
  <si>
    <t>Live Oak Bancshares Inc. Common Stock</t>
  </si>
  <si>
    <t>Local Bounti Corporation Common Stock</t>
  </si>
  <si>
    <t>El Pollo Loco Holdings Inc. Common Stock</t>
  </si>
  <si>
    <t>Comstock Inc. Common Stock</t>
  </si>
  <si>
    <t>Logitech International S.A. Ordinary Shares</t>
  </si>
  <si>
    <t>Loma Negra Compania Industrial Argentina Sociedad Anonima ADS</t>
  </si>
  <si>
    <t>Loop Industries Inc. Common Stock</t>
  </si>
  <si>
    <t>Grand Canyon Education Inc. Common Stock</t>
  </si>
  <si>
    <t>The Lovesac Company Common Stock</t>
  </si>
  <si>
    <t>Lowe's Companies Inc. Common Stock</t>
  </si>
  <si>
    <t>Lipocine Inc. Common Stock</t>
  </si>
  <si>
    <t>Dorian LPG Ltd. Common Stock</t>
  </si>
  <si>
    <t>LG Display Co Ltd AMERICAN DEPOSITORY SHARES</t>
  </si>
  <si>
    <t>LPL Financial Holdings Inc. Common Stock</t>
  </si>
  <si>
    <t>Open Lending Corporation Common Stock</t>
  </si>
  <si>
    <t>LivePerson Inc. Common Stock</t>
  </si>
  <si>
    <t>LightPath Technologies Inc. Class A Common Stock</t>
  </si>
  <si>
    <t>Loop Media Inc. Common Stock</t>
  </si>
  <si>
    <t>Leap Therapeutics Inc. Common Stock</t>
  </si>
  <si>
    <t>Louisiana-Pacific Corporation Common Stock</t>
  </si>
  <si>
    <t>Liquidia Corporation Common Stock</t>
  </si>
  <si>
    <t>Liquidity Services Inc. Common Stock</t>
  </si>
  <si>
    <t>LQR House Inc. Common Stock</t>
  </si>
  <si>
    <t>Lam Research Corporation Common Stock</t>
  </si>
  <si>
    <t>Lead Real Estate Co. Ltd American Depositary Shares</t>
  </si>
  <si>
    <t>Logan Ridge Finance Corporation Common Stock</t>
  </si>
  <si>
    <t>La Rosa Holdings Corp. Common Stock</t>
  </si>
  <si>
    <t>Larimar Therapeutics Inc. Common Stock</t>
  </si>
  <si>
    <t>Stride Inc. Common Stock</t>
  </si>
  <si>
    <t>Lesaka Technologies Inc. Common Stock</t>
  </si>
  <si>
    <t>Lake Shore Bancorp Inc. Common Stock</t>
  </si>
  <si>
    <t>Lattice Semiconductor Corporation Common Stock</t>
  </si>
  <si>
    <t>Lucy Scientific Discovery Inc. Common Stock</t>
  </si>
  <si>
    <t>Landsea Homes Corporation Common Stock</t>
  </si>
  <si>
    <t>Landsea Homes Corporation Warrant</t>
  </si>
  <si>
    <t>Laird Superfood Inc. Common Stock</t>
  </si>
  <si>
    <t>Lightspeed Commerce Inc. Subordinate Voting Shares</t>
  </si>
  <si>
    <t>Lisata Therapeutics Inc. Common Stock</t>
  </si>
  <si>
    <t>Landstar System Inc. Common Stock</t>
  </si>
  <si>
    <t>Liberty Media Corporation Series A Liberty SiriusXM Common Stock</t>
  </si>
  <si>
    <t>Liberty Media Corporation Series B Liberty SiriusXM Common Stock</t>
  </si>
  <si>
    <t>Liberty Media Corporation Series C Liberty SiriusXM Common Stock</t>
  </si>
  <si>
    <t>Lightbridge Corporation Common Stock</t>
  </si>
  <si>
    <t>LTC Properties Inc. Common Stock</t>
  </si>
  <si>
    <t>Life Time Group Holdings Inc. Common Stock</t>
  </si>
  <si>
    <t>Lantern Pharma Inc. Common Stock</t>
  </si>
  <si>
    <t>Lantronix Inc. Common Stock</t>
  </si>
  <si>
    <t>Lottery.com Inc. Common Stock</t>
  </si>
  <si>
    <t>Lottery.com Inc. Warrants</t>
  </si>
  <si>
    <t>Lufax Holding Ltd American Depositary Shares each representing two (2) Ordinary Shares</t>
  </si>
  <si>
    <t>Lucid Diagnostics Inc. Common Stock</t>
  </si>
  <si>
    <t>Innovative Eyewear Inc. Common Stock</t>
  </si>
  <si>
    <t>Innovative Eyewear Inc. Series A Warrants</t>
  </si>
  <si>
    <t>lululemon athletica inc. Common Stock</t>
  </si>
  <si>
    <t>Lumen Technologies Inc. Common Stock</t>
  </si>
  <si>
    <t>Lumos Pharma Inc. Common Stock</t>
  </si>
  <si>
    <t>Luna Innovations Incorporated Common Stock</t>
  </si>
  <si>
    <t>Pulmonx Corporation Common Stock</t>
  </si>
  <si>
    <t>Intuitive Machines Inc. Class A Common Stock</t>
  </si>
  <si>
    <t>Intuitive Machines Inc. Warrants</t>
  </si>
  <si>
    <t>Southwest Airlines Company Common Stock</t>
  </si>
  <si>
    <t>LuxUrban Hotels Inc. Common Stock</t>
  </si>
  <si>
    <t>LuxUrban Hotels Inc. 13.00% Series A Cumulative Redeemable Preferred Stock</t>
  </si>
  <si>
    <t>Lulu's Fashion Lounge Holdings Inc. Common Stock</t>
  </si>
  <si>
    <t>LiveOne Inc. Common Stock</t>
  </si>
  <si>
    <t>Lavoro Limited Class A Ordinary Shares</t>
  </si>
  <si>
    <t>Lavoro Limited Warrant</t>
  </si>
  <si>
    <t>Las Vegas Sands Corp. Common Stock</t>
  </si>
  <si>
    <t>LAVA Therapeutics N.V. Ordinary Shares</t>
  </si>
  <si>
    <t>LiveWire Group Inc. Common Stock</t>
  </si>
  <si>
    <t xml:space="preserve">Lamb Weston Holdings Inc. Common Stock </t>
  </si>
  <si>
    <t>Lifeway Foods Inc. Common Stock</t>
  </si>
  <si>
    <t>Lightwave Logic Inc. Common Stock</t>
  </si>
  <si>
    <t>LexinFintech Holdings Ltd. American Depositary Shares</t>
  </si>
  <si>
    <t>Lixiang Education Holding Co. Ltd. American Depositary Shares</t>
  </si>
  <si>
    <t>Lexeo Therapeutics Inc. Common Stock</t>
  </si>
  <si>
    <t>Luxfer Holdings PLC Ordinary Shares</t>
  </si>
  <si>
    <t>LXP Industrial Trust Common Stock (Maryland REIT)</t>
  </si>
  <si>
    <t>LXP Industrial Trust 6.5% Series C Cumulative Convertible Preferred Stock</t>
  </si>
  <si>
    <t>Lexicon Pharmaceuticals Inc. Common Stock</t>
  </si>
  <si>
    <t>LSB Industries Inc. Common Stock</t>
  </si>
  <si>
    <t>LyondellBasell Industries NV Ordinary Shares Class A (Netherlands)</t>
  </si>
  <si>
    <t>Lyell Immunopharma Inc. Common Stock</t>
  </si>
  <si>
    <t>Lyft Inc. Class A Common Stock</t>
  </si>
  <si>
    <t>Lloyds Banking Group Plc American Depositary Shares</t>
  </si>
  <si>
    <t>Lyra Therapeutics Inc. Common Stock</t>
  </si>
  <si>
    <t>Lytus Technologies Holdings PTV. Ltd. Common Shares</t>
  </si>
  <si>
    <t>LSI Industries Inc. Common Stock</t>
  </si>
  <si>
    <t>Live Nation Entertainment Inc. Common Stock</t>
  </si>
  <si>
    <t>LegalZoom.com Inc. Common Stock</t>
  </si>
  <si>
    <t>La-Z-Boy Incorporated Common Stock</t>
  </si>
  <si>
    <t>Lifezone Metals Limited Ordinary Shares</t>
  </si>
  <si>
    <t>Macy's Inc Common Stock</t>
  </si>
  <si>
    <t>Mastercard Incorporated Common Stock</t>
  </si>
  <si>
    <t>Mid-America Apartment Communities Inc. Common Stock</t>
  </si>
  <si>
    <t>Mid-America Apartment Communities Inc. 8.50% Series I Cumulative Redeemable Preferred Stock</t>
  </si>
  <si>
    <t>Macerich Company (The) Common Stock</t>
  </si>
  <si>
    <t>Moringa Acquisition Corp Class A Ordinary Shares</t>
  </si>
  <si>
    <t>Moringa Acquisition Corp Warrant</t>
  </si>
  <si>
    <t>Merrimack Pharmaceuticals Inc. Common Stock</t>
  </si>
  <si>
    <t>MAG Silver Corporation Ordinary Shares</t>
  </si>
  <si>
    <t>MAIA Biotechnology Inc. Common Stock</t>
  </si>
  <si>
    <t>Main Street Capital Corporation Common Stock</t>
  </si>
  <si>
    <t>Mama's Creations Inc. Common Stock</t>
  </si>
  <si>
    <t>ManpowerGroup Common Stock</t>
  </si>
  <si>
    <t>Manhattan Associates Inc. Common Stock</t>
  </si>
  <si>
    <t>Manchester United Ltd. Class A Ordinary Shares</t>
  </si>
  <si>
    <t xml:space="preserve">WM Technology Inc. Class A Common Stock </t>
  </si>
  <si>
    <t xml:space="preserve">WM Technology Inc. Warrants </t>
  </si>
  <si>
    <t>Maquia Capital Acquisition Corporation Class A Common Stock</t>
  </si>
  <si>
    <t>Maquia Capital Acquisition Corporation Warrant</t>
  </si>
  <si>
    <t>Marriott International Class A Common Stock</t>
  </si>
  <si>
    <t>Marathon Digital Holdings Inc. Common Stock</t>
  </si>
  <si>
    <t>Remark Holdings Inc. Common Stock</t>
  </si>
  <si>
    <t>Marine Petroleum Trust Units of Beneficial Interest</t>
  </si>
  <si>
    <t>Mars Acquisition Corp. Ordinary Shares</t>
  </si>
  <si>
    <t>Masco Corporation Common Stock</t>
  </si>
  <si>
    <t>Masimo Corporation Common Stock</t>
  </si>
  <si>
    <t>908 Devices Inc. Common Stock</t>
  </si>
  <si>
    <t>Mattel Inc. Common Stock</t>
  </si>
  <si>
    <t>Metalpha Technology Holding Limited Ordinary Shares</t>
  </si>
  <si>
    <t>Mativ Holdings Inc. Common Stock</t>
  </si>
  <si>
    <t>Matthews International Corporation Class A Common Stock</t>
  </si>
  <si>
    <t>Matson Inc. Common Stock</t>
  </si>
  <si>
    <t>Pioneer Municipal High Income Advantage Fund Inc.</t>
  </si>
  <si>
    <t>MediaAlpha Inc. Class A Common Stock</t>
  </si>
  <si>
    <t>Maxeon Solar Technologies Ltd. Ordinary Shares</t>
  </si>
  <si>
    <t>J. W. Mays Inc. Common Stock</t>
  </si>
  <si>
    <t>MasterBrand Inc. Common Stock</t>
  </si>
  <si>
    <t>Middlefield Banc Corp. Common Stock</t>
  </si>
  <si>
    <t>MBIA Inc. Common Stock</t>
  </si>
  <si>
    <t>Merchants Bancorp Common Stock</t>
  </si>
  <si>
    <t>Merchants Bancorp Depositary Shares Each Representing a 1/40th Interest in a Share of 8.25% Fixed-Rate Reset Series D Non-Cumulative Perpetual Preferred Stock</t>
  </si>
  <si>
    <t>Merchants Bancorp Depositary Shares Preferred Series C</t>
  </si>
  <si>
    <t>Merchants Bancorp Depositary Shares Each Representing a 1/40th Interest in a Share of Series B  Fixed-to-Floating Rate</t>
  </si>
  <si>
    <t>Merchants Bancorp 7.00% Fixed-to-Floating Rate Series A Non-Cumulative Perpetual Preferred Stock</t>
  </si>
  <si>
    <t>Mustang Bio Inc. Common Stock</t>
  </si>
  <si>
    <t>Mobileye Global Inc. Class A Common Stock</t>
  </si>
  <si>
    <t>Medallion Bank Fixed-to-Floating Rate Non-Cumulative Perpetual Preferred Stock Series F</t>
  </si>
  <si>
    <t>Microbot Medical Inc. Common Stock</t>
  </si>
  <si>
    <t>Moleculin Biotech Inc. Common Stock</t>
  </si>
  <si>
    <t>Nocturne Acquisition Corporation Ordinary Shares</t>
  </si>
  <si>
    <t>Nocturne Acquisition Corporation Right</t>
  </si>
  <si>
    <t>Nocturne Acquisition Corporation Unit</t>
  </si>
  <si>
    <t>Malibu Boats Inc. Class A Common Stock</t>
  </si>
  <si>
    <t>Mercantile Bank Corporation Common Stock</t>
  </si>
  <si>
    <t>Moelis &amp; Company Class A Common Stock</t>
  </si>
  <si>
    <t>Mountain &amp; Co. I Acquisition Corp. Class A Ordinary Shares</t>
  </si>
  <si>
    <t>Mountain &amp; Co. I Acquisition Corp. Warrant</t>
  </si>
  <si>
    <t>Monterey Capital Acquisition Corporation Class A Common Stock</t>
  </si>
  <si>
    <t>Monterey Capital Acquisition Corporation Rights</t>
  </si>
  <si>
    <t>Monterey Capital Acquisition Corporation Warrants</t>
  </si>
  <si>
    <t>Mountain Crest Acquisition Corp. IV Common Stock</t>
  </si>
  <si>
    <t>Mountain Crest Acquisition Corp. IV Rights</t>
  </si>
  <si>
    <t>Mountain Crest Acquisition Corp. IV Unit</t>
  </si>
  <si>
    <t>Mountain Crest Acquisition Corp. V Common Stock</t>
  </si>
  <si>
    <t>Mountain Crest Acquisition Corp. V Right</t>
  </si>
  <si>
    <t>Metropolitan Bank Holding Corp. Common Stock</t>
  </si>
  <si>
    <t>Macatawa Bank Corporation Common Stock</t>
  </si>
  <si>
    <t>MetroCity Bankshares Inc. Common Stock</t>
  </si>
  <si>
    <t>McDonald's Corporation Common Stock</t>
  </si>
  <si>
    <t>MasterCraft Boat Holdings Inc. Common Stock</t>
  </si>
  <si>
    <t>Microchip Technology Incorporated Common Stock</t>
  </si>
  <si>
    <t>Marchex Inc. Class B Common Stock</t>
  </si>
  <si>
    <t>Barings Corporate Investors Common Stock</t>
  </si>
  <si>
    <t>McKesson Corporation Common Stock</t>
  </si>
  <si>
    <t>Madison Covered Call &amp; Equity Strategy Fund Common Stock</t>
  </si>
  <si>
    <t>Moody's Corporation Common Stock</t>
  </si>
  <si>
    <t>MFS Charter Income Trust Common Stock</t>
  </si>
  <si>
    <t>Seres Therapeutics Inc. Common Stock</t>
  </si>
  <si>
    <t>Monarch Casino &amp; Resort Inc. Common Stock</t>
  </si>
  <si>
    <t>Marcus Corporation (The) Common Stock</t>
  </si>
  <si>
    <t>Mill City Ventures III Ltd. Common Stock</t>
  </si>
  <si>
    <t>Mister Car Wash Inc. Common Stock</t>
  </si>
  <si>
    <t>Mercury General Corporation Common Stock</t>
  </si>
  <si>
    <t>Pediatrix Medical Group Inc. Common Stock</t>
  </si>
  <si>
    <t>Spectral AI Inc. Class A Common Stock</t>
  </si>
  <si>
    <t>Spectral AI Inc. Warrants</t>
  </si>
  <si>
    <t>MongoDB Inc. Class A Common Stock</t>
  </si>
  <si>
    <t>MDB Capital Holdings LLC Class A common</t>
  </si>
  <si>
    <t>M.D.C. Holdings Inc. Common Stock</t>
  </si>
  <si>
    <t>Madrigal Pharmaceuticals Inc. Common Stock</t>
  </si>
  <si>
    <t>Medigus Ltd. American Depositary Shares</t>
  </si>
  <si>
    <t xml:space="preserve">Mediaco Holding Inc. Class A Common Stock </t>
  </si>
  <si>
    <t>MDJM LTD Ordinary Share</t>
  </si>
  <si>
    <t>Mondelez International Inc. Class A Common Stock</t>
  </si>
  <si>
    <t>Medalist Diversified REIT Inc. Common Stock</t>
  </si>
  <si>
    <t>Medalist Diversified REIT Inc. Series A Cumulative Redeemable Preferred Stock</t>
  </si>
  <si>
    <t>Veradigm Inc. Common Stock</t>
  </si>
  <si>
    <t>Medtronic plc. Ordinary Shares</t>
  </si>
  <si>
    <t>MDU Resources Group Inc. Common Stock (Holding Company)</t>
  </si>
  <si>
    <t>Modiv Industrial Inc. Class C Common Stock</t>
  </si>
  <si>
    <t>Modiv Industrial Inc. 7.375% Series A Cumulative Redeemable Perpetual Preferred Stock</t>
  </si>
  <si>
    <t>MedAvail Holdings Inc. Common Stock</t>
  </si>
  <si>
    <t>MediWound Ltd. Ordinary Shares</t>
  </si>
  <si>
    <t>MiMedx Group Inc Common Stock</t>
  </si>
  <si>
    <t>MDxHealth SA Ordinary Shares</t>
  </si>
  <si>
    <t>23andMe Holding Co. Class A Common Stock</t>
  </si>
  <si>
    <t>Mayville Engineering Company Inc. Common Stock</t>
  </si>
  <si>
    <t>MEDIFAST INC Common Stock</t>
  </si>
  <si>
    <t>Medpace Holdings Inc. Common Stock</t>
  </si>
  <si>
    <t>TRxADE HEALTH Inc. Common Stock</t>
  </si>
  <si>
    <t>Montrose Environmental Group Inc. Common Stock</t>
  </si>
  <si>
    <t>MainStay CBRE Global Infrastructure Megatrends Term Fund Common Shares</t>
  </si>
  <si>
    <t>Magic Empire Global Limited Ordinary Shares</t>
  </si>
  <si>
    <t>Methode Electronics Inc. Common Stock</t>
  </si>
  <si>
    <t>MEI Pharma Inc. Common Stock</t>
  </si>
  <si>
    <t>MercadoLibre Inc. Common Stock</t>
  </si>
  <si>
    <t>Methanex Corporation Common Stock</t>
  </si>
  <si>
    <t>Bank of America Corporation Income Capital Obligation Notes initially due December 15 2066</t>
  </si>
  <si>
    <t>Mercer International Inc. Common Stock</t>
  </si>
  <si>
    <t>Mesa Air Group Inc. Common Stock</t>
  </si>
  <si>
    <t>Mesoblast Limited American Depositary Shares</t>
  </si>
  <si>
    <t>MetLife Inc. Common Stock</t>
  </si>
  <si>
    <t>MetLife Inc. Preferred Series A Floating Rate</t>
  </si>
  <si>
    <t>MetLife Inc. Depositary shares each representing a 1/1000th interest in a share of the Issuera??s 5.625% Non-Cumulative Preferred Stock Series E.</t>
  </si>
  <si>
    <t>MetLife Inc. Depositary Shares each representing a 1/1000th interest in a share of 4.75% Non-Cumulative Preferred Stock Series F</t>
  </si>
  <si>
    <t>Meta Platforms Inc. Class A Common Stock</t>
  </si>
  <si>
    <t>Ramaco Resources Inc. Class A Common Stock</t>
  </si>
  <si>
    <t>Ramaco Resources Inc. Class B Common Stock</t>
  </si>
  <si>
    <t>Ramaco Resources Inc. 9.00% Senior Notes due 2026</t>
  </si>
  <si>
    <t>MFA Financial Inc.</t>
  </si>
  <si>
    <t>MFA Financial Inc. Preferred Series B</t>
  </si>
  <si>
    <t>MFA Financial Inc. 6.50% Series C Fixed-to-Floating Rate Cumulative Redeemable Preferred Stock</t>
  </si>
  <si>
    <t>Manulife Financial Corporation Common Stock</t>
  </si>
  <si>
    <t>Macquarie First Trust Global Common Stock</t>
  </si>
  <si>
    <t>Mizuho Financial Group Inc. Sponosred ADR (Japan)</t>
  </si>
  <si>
    <t>Mercurity Fintech Holding Inc. Ordinary Shares</t>
  </si>
  <si>
    <t>MidCap Financial Investment Corporation Common Stock</t>
  </si>
  <si>
    <t>MidCap Financial Investment Corporation 8.00% Notes due 2028</t>
  </si>
  <si>
    <t>Medallion Financial Corp. Common Stock</t>
  </si>
  <si>
    <t>MFS Special Value Trust Common Stock</t>
  </si>
  <si>
    <t>Mistras Group Inc Common Stock</t>
  </si>
  <si>
    <t>Magna International Inc. Common Stock</t>
  </si>
  <si>
    <t>Mobile Global Esports Inc. Common Stock</t>
  </si>
  <si>
    <t>MGE Energy Inc</t>
  </si>
  <si>
    <t>MFS Government Markets Income Trust Common Stock</t>
  </si>
  <si>
    <t>Magic Software Enterprises Ltd. Ordinary Shares</t>
  </si>
  <si>
    <t>Millennium Group International Holdings Limited Ordinary Shares</t>
  </si>
  <si>
    <t>The Marygold Companies Inc. Common Stock</t>
  </si>
  <si>
    <t>MGM Resorts International Common Stock</t>
  </si>
  <si>
    <t>Magnite Inc. Common Stock</t>
  </si>
  <si>
    <t>MacroGenics Inc. Common Stock</t>
  </si>
  <si>
    <t>MGO Global Inc. Common Stock</t>
  </si>
  <si>
    <t>MGP Ingredients Inc.</t>
  </si>
  <si>
    <t>Affiliated Managers Group Inc. 5.875% Junior Subordinated Notes due 2059</t>
  </si>
  <si>
    <t>Affiliated Managers Group Inc. 4.750% Junior Subordinated Notes due 2060</t>
  </si>
  <si>
    <t>McGrath RentCorp Common Stock</t>
  </si>
  <si>
    <t>Affiliated Managers Group Inc. 4.200% Junior Subordinated Notes due 2061</t>
  </si>
  <si>
    <t>Monogram Orthopaedics Inc. Common Stock</t>
  </si>
  <si>
    <t>Mangoceuticals Inc. Common Stock</t>
  </si>
  <si>
    <t>MeiraGTx Holdings plc Ordinary Shares</t>
  </si>
  <si>
    <t>Magnolia Oil &amp; Gas Corporation Class A Common Stock</t>
  </si>
  <si>
    <t>Magyar Bancorp Inc. Common Stock</t>
  </si>
  <si>
    <t>Blackrock MuniHoldings Fund Inc. Common Stock</t>
  </si>
  <si>
    <t>Western Asset Municipal High Income Fund Inc. Common Stock</t>
  </si>
  <si>
    <t>Mastech Digital Inc Common Stock</t>
  </si>
  <si>
    <t>Pioneer Municipal High Income Fund Inc.</t>
  </si>
  <si>
    <t>Mohawk Industries Inc. Common Stock</t>
  </si>
  <si>
    <t>Maiden Holdings Ltd. 6.625% Notes due 2046</t>
  </si>
  <si>
    <t>Maiden Holdings Ltd.</t>
  </si>
  <si>
    <t>Blackrock MuniHoldings New York Quality Fund Inc. Common Stock</t>
  </si>
  <si>
    <t>Maiden Holdings North America Ltd. 7.75% Notes due 2043</t>
  </si>
  <si>
    <t>M/I Homes Inc. Common Stock</t>
  </si>
  <si>
    <t>Meihua International Medical Technologies Co. Ltd. Ordinary Shares</t>
  </si>
  <si>
    <t>NFT Limited Class A Ordinary Share</t>
  </si>
  <si>
    <t>The Singing Machine Company Inc. Common Stock</t>
  </si>
  <si>
    <t>Middleby Corporation (The) Common Stock</t>
  </si>
  <si>
    <t>Mawson Infrastructure Group Inc. Common Stock</t>
  </si>
  <si>
    <t>Airspan Networks Holdings Inc. Common Stock</t>
  </si>
  <si>
    <t>MFS Intermediate Income Trust Common Stock</t>
  </si>
  <si>
    <t>MIND Technology Inc. Common Stock (DE)</t>
  </si>
  <si>
    <t>MIND Technology Inc. Series A 9.00% Series A Cumulative Preferred Stock (DE)</t>
  </si>
  <si>
    <t>Minim Inc. Common Stock</t>
  </si>
  <si>
    <t>Pioneer Municipal High Income Opportunities Fund Inc. Common Stock</t>
  </si>
  <si>
    <t>Mirion Technologies Inc. Class A Common Stock</t>
  </si>
  <si>
    <t>MIRA Pharmaceuticals Inc. Common Stock</t>
  </si>
  <si>
    <t>Mirum Pharmaceuticals Inc. Common Stock</t>
  </si>
  <si>
    <t>Milestone Pharmaceuticals Inc. Common Shares</t>
  </si>
  <si>
    <t>Coliseum Acquisition Corp. Class A Ordinary Share</t>
  </si>
  <si>
    <t>Coliseum Acquisition Corp. Unit</t>
  </si>
  <si>
    <t>Mitek Systems Inc. Common Stock</t>
  </si>
  <si>
    <t>Moving iMage Technologies Inc. Common Stock</t>
  </si>
  <si>
    <t>AG Mortgage Investment Trust Inc. Common Stock</t>
  </si>
  <si>
    <t>AG Mortgage Investment Trust Inc. 8.25% Preferred Series A</t>
  </si>
  <si>
    <t>AG Mortgage Investment Trust Inc. Preferred Series B</t>
  </si>
  <si>
    <t>AG Mortgage Investment Trust Inc. 8.00% Series C Fixed-to-Floating Rate Cumulative Redeemable Preferred Stock $0.01 par value per share</t>
  </si>
  <si>
    <t>MiX Telematics Limited American Depositary Shares each representing 25 Ordinary Shares</t>
  </si>
  <si>
    <t>Blackrock MuniYield Michigan Quality Fund Inc. Common Stock</t>
  </si>
  <si>
    <t>McCormick &amp; Company Incorporated Common Stock</t>
  </si>
  <si>
    <t>Markforged Holding Corporation Common Stock</t>
  </si>
  <si>
    <t>Markel Group Inc. Common Stock</t>
  </si>
  <si>
    <t>MKS Instruments Inc. Common Stock</t>
  </si>
  <si>
    <t>MarketWise Inc. Class A Common Stock</t>
  </si>
  <si>
    <t>MarketAxess Holdings Inc. Common Stock</t>
  </si>
  <si>
    <t>MoneyLion Inc. Class A Common Stock</t>
  </si>
  <si>
    <t>Mesa Laboratories Inc. Common Stock</t>
  </si>
  <si>
    <t>Melco Resorts &amp; Entertainment Limited American Depositary Shares</t>
  </si>
  <si>
    <t>Moolec Science SA Ordinary Shares</t>
  </si>
  <si>
    <t>MicroAlgo Inc. Ordinary Shares</t>
  </si>
  <si>
    <t>Mueller Industries Inc. Common Stock</t>
  </si>
  <si>
    <t>MillerKnoll Inc. Common Stock</t>
  </si>
  <si>
    <t>Martin Marietta Materials Inc. Common Stock</t>
  </si>
  <si>
    <t>MeridianLink Inc. Common Stock</t>
  </si>
  <si>
    <t>Maui Land &amp; Pineapple Company Inc. Common Stock</t>
  </si>
  <si>
    <t>Miller Industries Inc. Common Stock</t>
  </si>
  <si>
    <t>Milestone Scientific Inc. Common Stock</t>
  </si>
  <si>
    <t>MoonLake Immunotherapeutics Class A Ordinary Shares</t>
  </si>
  <si>
    <t>Mineralys Therapeutics Inc. Common Stock</t>
  </si>
  <si>
    <t>Meta Materials Inc. Common Stock</t>
  </si>
  <si>
    <t>Marsh &amp; McLennan Companies Inc. Common Stock</t>
  </si>
  <si>
    <t>MainStay MacKay DefinedTerm Municipal Opportunities Fund</t>
  </si>
  <si>
    <t>Marcus &amp; Millichap Inc. Common Stock</t>
  </si>
  <si>
    <t>Martin Midstream Partners L.P. Limited Partnership</t>
  </si>
  <si>
    <t>3M Company Common Stock</t>
  </si>
  <si>
    <t>Maximus Inc. Common Stock</t>
  </si>
  <si>
    <t>Merit Medical Systems Inc. Common Stock</t>
  </si>
  <si>
    <t>MFS Multimarket Income Trust Common Stock</t>
  </si>
  <si>
    <t>Western Asset Managed Municipals Fund Inc. Common Stock</t>
  </si>
  <si>
    <t>MultiMetaVerse Holdings Limited Class A Ordinary Share</t>
  </si>
  <si>
    <t>MakeMyTrip Limited Ordinary Shares</t>
  </si>
  <si>
    <t>MIND C.T.I. Ltd. Ordinary Shares</t>
  </si>
  <si>
    <t>monday.com Ltd. Ordinary Shares</t>
  </si>
  <si>
    <t>MannKind Corporation Common Stock</t>
  </si>
  <si>
    <t>Mind Medicine (MindMed) Inc. Common Shares</t>
  </si>
  <si>
    <t>Medicinova Inc Common Stock</t>
  </si>
  <si>
    <t>Monopar Therapeutics Inc. Common Stock</t>
  </si>
  <si>
    <t>Mach Natural Resources LP Common Units representing Limited Partner Interests</t>
  </si>
  <si>
    <t>Monro Inc. Common Stock</t>
  </si>
  <si>
    <t>MainStreet Bancshares Inc. Common Stock</t>
  </si>
  <si>
    <t>MainStreet Bancshares Inc. Depositary Shares</t>
  </si>
  <si>
    <t>MINISO Group Holding Limited American Depositary Shares each representing four Ordinary Shares</t>
  </si>
  <si>
    <t>Monster Beverage Corporation</t>
  </si>
  <si>
    <t>Montauk Renewables Inc. Common Stock</t>
  </si>
  <si>
    <t>Everest Consolidator Acquisition Corporation Class A Common Stock</t>
  </si>
  <si>
    <t>Momentus Inc. Class A Common Stock</t>
  </si>
  <si>
    <t>Momentus Inc. Warrant</t>
  </si>
  <si>
    <t>Manitex International Inc. Common Stock</t>
  </si>
  <si>
    <t>MoneyHero Limited Class A Ordinary Shares</t>
  </si>
  <si>
    <t>MoneyHero Limited Warrants</t>
  </si>
  <si>
    <t>Altria Group Inc.</t>
  </si>
  <si>
    <t>Mobilicom Limited American Depositary Shares</t>
  </si>
  <si>
    <t>Mobix Labs Inc. Class A Common Stock</t>
  </si>
  <si>
    <t>Mobix Labs Inc Warrants</t>
  </si>
  <si>
    <t>Modine Manufacturing Company Common Stock</t>
  </si>
  <si>
    <t>Modular Medical Inc. Common Stock</t>
  </si>
  <si>
    <t>Topgolf Callaway Brands Corp. Common Stock</t>
  </si>
  <si>
    <t>Model N Inc. Common Stock</t>
  </si>
  <si>
    <t>ModivCare Inc. Common Stock</t>
  </si>
  <si>
    <t>MidWestOne Financial Gp Common Stock</t>
  </si>
  <si>
    <t>Mogo Inc. Common Shares</t>
  </si>
  <si>
    <t>MOGU Inc. American Depositary Shares (each  representing 25 Class A Ordinary Shares)</t>
  </si>
  <si>
    <t>Molina Healthcare Inc Common Stock</t>
  </si>
  <si>
    <t>Molecular Partners AG American Depositary Shares</t>
  </si>
  <si>
    <t>Hello Group Inc. American Depositary Shares</t>
  </si>
  <si>
    <t>Mondee Holdings Inc. Class A Common Stock</t>
  </si>
  <si>
    <t>MorphoSys AG American Depositary Shares</t>
  </si>
  <si>
    <t>Morphic Holding Inc. Common Stock</t>
  </si>
  <si>
    <t>Morningstar Inc. Common Stock</t>
  </si>
  <si>
    <t>Mosaic Company (The) Common Stock</t>
  </si>
  <si>
    <t>Motus GI Holdings Inc. Common Stock</t>
  </si>
  <si>
    <t>Movado Group Inc. Common Stock</t>
  </si>
  <si>
    <t>Movano Inc. Common Stock</t>
  </si>
  <si>
    <t>MP Materials Corp. Common Stock</t>
  </si>
  <si>
    <t>Blackrock MuniYield Pennsylvania Quality Fund Common Stock</t>
  </si>
  <si>
    <t>Motorcar Parts  of America Inc. Common Stock</t>
  </si>
  <si>
    <t>Mid Penn Bancorp Common Stock</t>
  </si>
  <si>
    <t>Marathon Petroleum Corporation Common Stock</t>
  </si>
  <si>
    <t>MultiPlan Corporation Class A Common Stock</t>
  </si>
  <si>
    <t>MPLX LP Common Units Representing Limited Partner Interests</t>
  </si>
  <si>
    <t>M-tron Industries Inc. Common Stock</t>
  </si>
  <si>
    <t>Mega Matrix Corp. Common Stock</t>
  </si>
  <si>
    <t>Barings Participation Investors Common Stock</t>
  </si>
  <si>
    <t>Medical Properties Trust Inc. common stock</t>
  </si>
  <si>
    <t>Monolithic Power Systems Inc. Common Stock</t>
  </si>
  <si>
    <t>Marine Products Corporation Common Stock</t>
  </si>
  <si>
    <t>Marqeta Inc. Class A Common Stock</t>
  </si>
  <si>
    <t>Blackrock MuniYield Quality Fund II Inc. Common Stock</t>
  </si>
  <si>
    <t>Blackrock MuniYield Quality Fund Inc. Common Stock</t>
  </si>
  <si>
    <t>Marpai Inc. Class A Common Stock</t>
  </si>
  <si>
    <t>Everspin Technologies Inc. Common Stock</t>
  </si>
  <si>
    <t>Meridian Corporation Common Stock</t>
  </si>
  <si>
    <t>MRC Global Inc. Common Stock</t>
  </si>
  <si>
    <t>Monroe Capital Corporation Common Stock</t>
  </si>
  <si>
    <t>Mercury Systems Inc Common Stock</t>
  </si>
  <si>
    <t>MariaDB plc Ordinary Shares</t>
  </si>
  <si>
    <t>Mereo BioPharma Group plc American Depositary Shares</t>
  </si>
  <si>
    <t>Marin Software Incorporated Common Stock</t>
  </si>
  <si>
    <t>Merck &amp; Company Inc. Common Stock (new)</t>
  </si>
  <si>
    <t>Marker Therapeutics Inc. Common Stock</t>
  </si>
  <si>
    <t>MEDIROM Healthcare Technologies Inc. American Depositary Share</t>
  </si>
  <si>
    <t>Moderna Inc. Common Stock</t>
  </si>
  <si>
    <t>Marinus Pharmaceuticals Inc. Common Stock</t>
  </si>
  <si>
    <t>Marathon Oil Corporation Common Stock</t>
  </si>
  <si>
    <t>Mersana Therapeutics Inc. Common Stock</t>
  </si>
  <si>
    <t>Marti Technologies Inc. Class A Ordinary Shares</t>
  </si>
  <si>
    <t>Marten Transport Ltd. Common Stock</t>
  </si>
  <si>
    <t>Mirati Therapeutics Inc. Common Stock</t>
  </si>
  <si>
    <t>Merus N.V. Common Shares</t>
  </si>
  <si>
    <t>Maravai LifeSciences Holdings Inc. Class A Common Stock</t>
  </si>
  <si>
    <t>Marvell Technology Inc. Common Stock</t>
  </si>
  <si>
    <t>Morgan Stanley Common Stock</t>
  </si>
  <si>
    <t>Morgan Stanley Dep Shs repstg 1/1000 Pfd Ser A</t>
  </si>
  <si>
    <t>Morgan Stanley DEPOSITARY SHARES REP 1/1000TH SHARES FIXED/FLTG PREFERRED STOCK SERIES E</t>
  </si>
  <si>
    <t>Morgan Stanley Dep Shs Rpstg 1/1000th Int Prd Ser F Fxd to Flag</t>
  </si>
  <si>
    <t>Morgan Stanley Depository Shares Representing 1/1000th Preferred Series 1 Fixed to Floating Non (Cum)</t>
  </si>
  <si>
    <t>Morgan Stanley Depositary Shares each representing 1/1000th of a share of Fixed-to-Floating Rate Non-Cumulative Preferred Stock  Series K</t>
  </si>
  <si>
    <t>Morgan Stanley Depositary Shares each representing 1/1000th of a share of 4.875% Non-Cumulative Preferred Stock Series L</t>
  </si>
  <si>
    <t>Morgan Stanley Depositary Shares each representing 1/1000th of a share of 4.250% Non-Cumulative Preferred Stock Series O</t>
  </si>
  <si>
    <t>Morgan Stanley Depositary Shares each representing 1/1000th of a share of 6.500% Non-Cumulative Preferred Stock Series P</t>
  </si>
  <si>
    <t>MSA Safety Incorporated Common Stock</t>
  </si>
  <si>
    <t>Infrared Cameras Holdings Inc. Common Stock</t>
  </si>
  <si>
    <t>Infrared Cameras Holdings Inc. Warrant</t>
  </si>
  <si>
    <t>Mesabi Trust Common Stock</t>
  </si>
  <si>
    <t>Midland States Bancorp Inc. Common Stock</t>
  </si>
  <si>
    <t>Midland States Bancorp Inc. Depositary Shares Each Representing a 1/40th Interest in a Share of 7.750% Fixed-Rate Reset Non-Cumulative Perpetual Preferred Stock Series A</t>
  </si>
  <si>
    <t>Studio City International Holdings Limited American depositary shares each representing four  Class A ordinary shares</t>
  </si>
  <si>
    <t>MSCI Inc. Common Stock</t>
  </si>
  <si>
    <t>Morgan Stanley Emerging Markets Debt Fund Inc. Common Stock</t>
  </si>
  <si>
    <t>Middlesex Water Company Common Stock</t>
  </si>
  <si>
    <t>Microsoft Corporation Common Stock</t>
  </si>
  <si>
    <t>Madison Square Garden Entertainment Corp. Class A Common Stock</t>
  </si>
  <si>
    <t>Motorsport Games Inc. Class A Common Stock</t>
  </si>
  <si>
    <t>Madison Square Garden Sports Corp. Class A Common Stock (New)</t>
  </si>
  <si>
    <t>Motorola Solutions Inc. Common Stock</t>
  </si>
  <si>
    <t>MSC Industrial Direct Company Inc. Common Stock</t>
  </si>
  <si>
    <t>Emerson Radio Corporation Common Stock</t>
  </si>
  <si>
    <t>Maison Solutions Inc. Class A Common Stock</t>
  </si>
  <si>
    <t>Metal Sky Star Acquisition Corporation Right</t>
  </si>
  <si>
    <t>Metal Sky Star Acquisition Corporation Warrant</t>
  </si>
  <si>
    <t>MicroStrategy Incorporated Common Stock Class A</t>
  </si>
  <si>
    <t>Arcelor Mittal NY Registry Shares NEW</t>
  </si>
  <si>
    <t>Metalla Royalty &amp; Streaming Ltd. Common Shares</t>
  </si>
  <si>
    <t>Metals Acquisition Limited Ordinary Shares</t>
  </si>
  <si>
    <t>M&amp;T Bank Corporation Common Stock</t>
  </si>
  <si>
    <t>M&amp;T Bank Corporation Perpetual Fixed-to-Floating Rate Non-Cumulative Preferred Stock Series H</t>
  </si>
  <si>
    <t>Moatable Inc. American Depositary Share (each representing forty-five (45) Class A Ordinary Shares)</t>
  </si>
  <si>
    <t>MMTec Inc. Common Shares</t>
  </si>
  <si>
    <t>Match Group Inc. Common Stock</t>
  </si>
  <si>
    <t>Mettler-Toledo International Inc. Common Stock</t>
  </si>
  <si>
    <t>Matador Resources Company Common Stock</t>
  </si>
  <si>
    <t>Maris-Tech Ltd. Ordinary Shares</t>
  </si>
  <si>
    <t>Maris-Tech Ltd. Warrants</t>
  </si>
  <si>
    <t>Molecular Templates Inc. Common Stock</t>
  </si>
  <si>
    <t>Mannatech Incorporated Common Stock</t>
  </si>
  <si>
    <t>MGIC Investment Corporation Common Stock</t>
  </si>
  <si>
    <t>Meritage Homes Corporation Common Stock</t>
  </si>
  <si>
    <t>Materialise NV American Depositary Shares</t>
  </si>
  <si>
    <t>Vail Resorts Inc. Common Stock</t>
  </si>
  <si>
    <t>Matinas Biopharma Holdings Inc. Common Stock</t>
  </si>
  <si>
    <t>Mesa Royalty Trust Common Stock</t>
  </si>
  <si>
    <t>Materion Corporation</t>
  </si>
  <si>
    <t>Matrix Service Company Common Stock</t>
  </si>
  <si>
    <t>MACOM Technology Solutions Holdings Inc. Common Stock</t>
  </si>
  <si>
    <t>Matterport Inc. Class A Common Stock</t>
  </si>
  <si>
    <t>Manitowoc Company Inc. (The) Common Stock</t>
  </si>
  <si>
    <t>Minerals Technologies Inc. Common Stock</t>
  </si>
  <si>
    <t>MasTec Inc. Common Stock</t>
  </si>
  <si>
    <t>Micron Technology Inc. Common Stock</t>
  </si>
  <si>
    <t>Blackrock MuniAssets Fund Inc Common Stock</t>
  </si>
  <si>
    <t>Blackrock MuniHoldings California Quality Fund Inc.  Common Stock</t>
  </si>
  <si>
    <t>Blackrock MuniHoldings Quality Fund II Inc. Common Stock</t>
  </si>
  <si>
    <t>Mitsubishi UFJ Financial Group Inc. Common Stock</t>
  </si>
  <si>
    <t>BlackRock Municipal Income Fund Inc. Common Stock</t>
  </si>
  <si>
    <t>Blackrock MuniHoldings New Jersey Quality Fund Inc. Common Stock</t>
  </si>
  <si>
    <t>Mullen Automotive Inc. Common Stock</t>
  </si>
  <si>
    <t>Murphy Oil Corporation Common Stock</t>
  </si>
  <si>
    <t xml:space="preserve">Mural Oncology plc Ordinary Shares </t>
  </si>
  <si>
    <t>Murphy USA Inc. Common Stock</t>
  </si>
  <si>
    <t>McEwen Mining Inc. Common Stock</t>
  </si>
  <si>
    <t>MVB Financial Corp. Common Stock</t>
  </si>
  <si>
    <t>Blackrock MuniVest Fund Inc. Common Stock</t>
  </si>
  <si>
    <t>MicroVision Inc. Common Stock</t>
  </si>
  <si>
    <t>Movella Holdings Inc. Common Stock</t>
  </si>
  <si>
    <t>Movella Holdings Inc. Warrant</t>
  </si>
  <si>
    <t>MV Oil Trust Units of Beneficial Interests</t>
  </si>
  <si>
    <t>Microvast Holdings Inc. Common Stock</t>
  </si>
  <si>
    <t>Microvast Holdings Inc. Warrants</t>
  </si>
  <si>
    <t>Blackrock MuniVest Fund II Inc.  Common Stock</t>
  </si>
  <si>
    <t>MUELLER WATER PRODUCTS Common Stock</t>
  </si>
  <si>
    <t>Multi Ways Holdings Limited Ordinary Shares</t>
  </si>
  <si>
    <t>Magnachip Semiconductor Corporation Common Stock</t>
  </si>
  <si>
    <t>Mexco Energy Corporation Common Stock</t>
  </si>
  <si>
    <t>MaxCyte Inc. Common Stock</t>
  </si>
  <si>
    <t>Mexico Equity and Income Fund Inc. (The) Common Stock</t>
  </si>
  <si>
    <t>Mexico Fund Inc. (The) Common Stock</t>
  </si>
  <si>
    <t>MaxLinear Inc. Common Stock</t>
  </si>
  <si>
    <t>Blackrock MuniYield Fund Inc.  Common Stock</t>
  </si>
  <si>
    <t>Myers Industries Inc. Common Stock</t>
  </si>
  <si>
    <t>First Western Financial Inc. Common Stock</t>
  </si>
  <si>
    <t>Myriad Genetics Inc. Common Stock</t>
  </si>
  <si>
    <t>Blackrock MuniYield Quality Fund III Inc Common Stock</t>
  </si>
  <si>
    <t>MyMD Pharmaceuticals Inc. Common Stock</t>
  </si>
  <si>
    <t>Blackrock MuniYield New York Quality Fund Inc.Common Stock</t>
  </si>
  <si>
    <t>Mynaric AG American Depository Shares</t>
  </si>
  <si>
    <t>Mynd.ai Inc. American Depositary Shares</t>
  </si>
  <si>
    <t>Mainz Biomed N.V. Ordinary Shares</t>
  </si>
  <si>
    <t>Myomo Inc. Common Stock</t>
  </si>
  <si>
    <t>PLAYSTUDIOS Inc.  Class A Common Stock</t>
  </si>
  <si>
    <t>PLAYSTUDIOS Inc. Warrant</t>
  </si>
  <si>
    <t>MYR Group Inc. Common Stock</t>
  </si>
  <si>
    <t>My Size Inc. Common Stock</t>
  </si>
  <si>
    <t>MYT Netherlands Parent B.V. American Depositary Shares each representing one Ordinary Share</t>
  </si>
  <si>
    <t>Nano Labs Ltd American Depositary Shares</t>
  </si>
  <si>
    <t>NaaS Technology Inc. American Depositary Shares</t>
  </si>
  <si>
    <t>N-able Inc. Common Stock</t>
  </si>
  <si>
    <t>Nuveen California Quality Municipal Income Fund</t>
  </si>
  <si>
    <t>Nuveen Quality Municipal Income Fund Common Stock</t>
  </si>
  <si>
    <t>Natural Alternatives International Inc. Common Stock</t>
  </si>
  <si>
    <t>Northern Dynasty Minerals Ltd. Common Stock</t>
  </si>
  <si>
    <t>NewAmsterdam Pharma Company N.V. Ordinary Shares</t>
  </si>
  <si>
    <t>NewAmsterdam Pharma Company N.V. Warrant</t>
  </si>
  <si>
    <t>Nuveen New York Quality Municipal Income Fund Common Stock</t>
  </si>
  <si>
    <t>NanoVibronix Inc. Common Stock</t>
  </si>
  <si>
    <t>The Duckhorn Portfolio Inc. Common Stock</t>
  </si>
  <si>
    <t>Inari Medical Inc. Common Stock</t>
  </si>
  <si>
    <t>Nordic American Tankers Limited Common Stock</t>
  </si>
  <si>
    <t>Nathan's Famous Inc. Common Stock</t>
  </si>
  <si>
    <t>NCR Atleos Corporation Common Stock</t>
  </si>
  <si>
    <t>Nature's Sunshine Products Inc. Common Stock</t>
  </si>
  <si>
    <t>Nautilus Biotechnolgy Inc. Common Stock</t>
  </si>
  <si>
    <t>Navient Corporation Common Stock</t>
  </si>
  <si>
    <t>Nuveen Arizona Quality Municipal Income Fund Common Stock</t>
  </si>
  <si>
    <t>NioCorp Developments Ltd. Common Stock</t>
  </si>
  <si>
    <t>Nuveen Taxable Municipal Income Fund Common Shares of Beneficial Interest</t>
  </si>
  <si>
    <t>NB Bancorp Inc. Common Stock</t>
  </si>
  <si>
    <t>Neuberger Berman Municipal Fund Inc. Common Stock</t>
  </si>
  <si>
    <t>National Bank Holdings Corporation Common Stock</t>
  </si>
  <si>
    <t>Neurocrine Biosciences Inc. Common Stock</t>
  </si>
  <si>
    <t>Northeast Bank Common Stock</t>
  </si>
  <si>
    <t>Nabors Industries Ltd.</t>
  </si>
  <si>
    <t>NeuBase Therapeutics Inc.  Common Stock</t>
  </si>
  <si>
    <t>Newbury Street Acquisition Corporation Common Stock</t>
  </si>
  <si>
    <t>Newbury Street Acquisition Corporation Warrants</t>
  </si>
  <si>
    <t>NBT Bancorp Inc. Common Stock</t>
  </si>
  <si>
    <t>Nanobiotix S.A. American Depositary Shares</t>
  </si>
  <si>
    <t>Neuberger Berman Next Generation Connectivity Fund Inc. Common Stock</t>
  </si>
  <si>
    <t>NovaBay Pharmaceuticals Inc. Common Stock</t>
  </si>
  <si>
    <t>NACCO Industries Inc. Common Stock</t>
  </si>
  <si>
    <t>Nuveen California Municipal Value Fund</t>
  </si>
  <si>
    <t>Newcourt Acquisition Corp Class A Ordinary Share</t>
  </si>
  <si>
    <t>Newcourt Acquisition Corp Warrant</t>
  </si>
  <si>
    <t>Northann Corp. Common Stock</t>
  </si>
  <si>
    <t>Norwegian Cruise Line Holdings Ltd. Ordinary Shares</t>
  </si>
  <si>
    <t>National CineMedia Inc. Common Stock</t>
  </si>
  <si>
    <t>NuCana plc American Depositary Share</t>
  </si>
  <si>
    <t>noco-noco Inc. Ordinary Share</t>
  </si>
  <si>
    <t>nCino Inc. Common Stock</t>
  </si>
  <si>
    <t>Netcapital Inc. Common Stock</t>
  </si>
  <si>
    <t>Netcapital Inc. Warrants</t>
  </si>
  <si>
    <t>Nocera Inc. Common Stock</t>
  </si>
  <si>
    <t>NCS Multistage Holdings Inc. Common Stock</t>
  </si>
  <si>
    <t>The9 Limited American Depository Shares</t>
  </si>
  <si>
    <t>Virtus Convertible &amp; Income Fund Common Shares of Beneficial Interest</t>
  </si>
  <si>
    <t>Virtus Convertible &amp; Income Fund 5.625% Series A Cumulative Preferred Shares</t>
  </si>
  <si>
    <t>Virtus Convertible &amp; Income Fund II Common Shares of Beneficial Interest</t>
  </si>
  <si>
    <t>Virtus Convertible &amp; Income Fund II 5.50% Series A Cumulative Preferred Shares</t>
  </si>
  <si>
    <t>Nasdaq Inc. Common Stock</t>
  </si>
  <si>
    <t>Noodles &amp; Company Class A Common Stock</t>
  </si>
  <si>
    <t>Nuveen Dynamic Municipal Opportunities Fund Common Shares of Beneficial Interest</t>
  </si>
  <si>
    <t>Tortoise Energy Independence Fund Inc. Common Stock</t>
  </si>
  <si>
    <t>ENDRA Life Sciences Inc. Common Stock</t>
  </si>
  <si>
    <t>Nordson Corporation Common Stock</t>
  </si>
  <si>
    <t>Noble Corporation plc A Ordinary Shares</t>
  </si>
  <si>
    <t>Nuveen AMT-Free Quality Municipal Income Fund Common Shares of Beneficial Interest Par Value $.01</t>
  </si>
  <si>
    <t>NorthEast Community Bancorp Inc. Common Stock</t>
  </si>
  <si>
    <t>NextEra Energy Inc. Common Stock</t>
  </si>
  <si>
    <t>NextEra Energy Inc. Series N Junior Subordinated Debentures due March 1 2079</t>
  </si>
  <si>
    <t>NextEra Energy Inc. 6.926% Corporate Units</t>
  </si>
  <si>
    <t>Newegg Commerce Inc. Common Shares</t>
  </si>
  <si>
    <t>Newmont Corporation</t>
  </si>
  <si>
    <t>New England Realty Associates Limited Partnership Class A Depositary Receipts Evidencing Units of Limited Partnership</t>
  </si>
  <si>
    <t>NeoGenomics Inc. Common Stock</t>
  </si>
  <si>
    <t>Neogen Corporation Common Stock</t>
  </si>
  <si>
    <t>Neonode Inc. Common Stock</t>
  </si>
  <si>
    <t>NeoVolta Inc. Common Stock</t>
  </si>
  <si>
    <t>NeoVolta Inc. Warrant</t>
  </si>
  <si>
    <t>NextEra Energy Partners LP Common Units representing limited partner interests</t>
  </si>
  <si>
    <t>Nephros Inc. Common Stock</t>
  </si>
  <si>
    <t>Neptune Wellness Solutions Inc. Ordinary Shares</t>
  </si>
  <si>
    <t>Minerva Neurosciences Inc Common Stock</t>
  </si>
  <si>
    <t>Cloudflare Inc. Class A Common Stock</t>
  </si>
  <si>
    <t>Nabors Energy Transition Corp. II Class A Ordinary Shares</t>
  </si>
  <si>
    <t>Nabors Energy Transition Corp. II Unit</t>
  </si>
  <si>
    <t>NewMarket Corp Common Stock</t>
  </si>
  <si>
    <t>New Pacific Metals Corp. Common Shares</t>
  </si>
  <si>
    <t>NewtekOne Inc. Common Stock</t>
  </si>
  <si>
    <t>NewtekOne Inc. 8.00% Fixed Rate Senior Notes due 2028</t>
  </si>
  <si>
    <t>NewtekOne Inc. 5.75% Notes due 2024</t>
  </si>
  <si>
    <t>NewtekOne Inc. 5.50% Notes Due 2026</t>
  </si>
  <si>
    <t>Nexa Resources S.A. Common Shares</t>
  </si>
  <si>
    <t>NexImmune Inc. Common Stock</t>
  </si>
  <si>
    <t>NextDecade Corporation Common Stock</t>
  </si>
  <si>
    <t>Northfield Bancorp Inc. Common Stock (Delaware)</t>
  </si>
  <si>
    <t>New Fortress Energy Inc. Class A Common Stock</t>
  </si>
  <si>
    <t>National Fuel Gas Company Common Stock</t>
  </si>
  <si>
    <t>New Found Gold Corp Common Shares</t>
  </si>
  <si>
    <t>Virtus Dividend Interest &amp; Premium Strategy Fund Common Shares of Beneficial Interest</t>
  </si>
  <si>
    <t>Netflix Inc. Common Stock</t>
  </si>
  <si>
    <t>The NFT Gaming Company Inc. Common Stock</t>
  </si>
  <si>
    <t>Enphys Acquisition Corp. Class A Ordinary Shares</t>
  </si>
  <si>
    <t>Novagold Resources Inc.</t>
  </si>
  <si>
    <t>New Gold Inc.</t>
  </si>
  <si>
    <t>National Grid Transco PLC National Grid PLC (NEW) American Depositary Shares</t>
  </si>
  <si>
    <t>NGL ENERGY PARTNERS LP Common Units representing Limited Partner Interests</t>
  </si>
  <si>
    <t>NGL ENERGY PARTNERS LP 9.00% Class B Fixed-to-Floating Rate Cumulative Redeemable Perpetual Preferred Units representing limited partnership interests</t>
  </si>
  <si>
    <t>NGL ENERGY PARTNERS LP 9.625% Class C Fixed-to-Floating Rate Cumulative  Redeemable Perpetual Preferred Units representing  limited partner interests</t>
  </si>
  <si>
    <t>NGM Biopharmaceuticals Inc. Common Stock</t>
  </si>
  <si>
    <t>NeoGames S.A. Ordinary Shares</t>
  </si>
  <si>
    <t xml:space="preserve">Neurogene Inc. Common Stock </t>
  </si>
  <si>
    <t>Natural Gas Services Group Inc. Common Stock</t>
  </si>
  <si>
    <t>Natural Grocers by Vitamin Cottage Inc. Common Stock</t>
  </si>
  <si>
    <t xml:space="preserve">Ingevity Corporation Common Stock </t>
  </si>
  <si>
    <t>National HealthCare Corporation Common Stock</t>
  </si>
  <si>
    <t>National Health Investors Inc. Common Stock</t>
  </si>
  <si>
    <t>Neuberger Berman High Yield Strategies Fund</t>
  </si>
  <si>
    <t>Natural Health Trends Corp. Common Stock</t>
  </si>
  <si>
    <t>NightHawk Biosciences Inc. Common Stock</t>
  </si>
  <si>
    <t>NiSource Inc Common Stock</t>
  </si>
  <si>
    <t>NiSource Inc Depositary Shares representing 1/1000th ownership interest in a share of 6.50% Series B Preferred Stock and 1/1000th ownership interest in a share of Series B-1 Preferred Stock</t>
  </si>
  <si>
    <t>Nicolet Bankshares Inc. Common Stock</t>
  </si>
  <si>
    <t>NICE Ltd American Depositary Shares</t>
  </si>
  <si>
    <t>Nicholas Financial Inc. Common Stock</t>
  </si>
  <si>
    <t>Virtus Equity &amp; Convertible Income Fund Common Shares of Beneficial Interest</t>
  </si>
  <si>
    <t>Nuveen Select Maturities Municipal Fund Common Stock</t>
  </si>
  <si>
    <t>Nine Energy Service Inc. Common Stock</t>
  </si>
  <si>
    <t>NIO Inc. American depositary shares each  representing one Class A ordinary share</t>
  </si>
  <si>
    <t>NioCorp Developments Ltd. Warrant</t>
  </si>
  <si>
    <t>NiSun International Enterprise Development Group Co. Ltd. Class A Common Shares</t>
  </si>
  <si>
    <t>Niu Technologies American Depositary Shares</t>
  </si>
  <si>
    <t>NewJersey Resources Corporation Common Stock</t>
  </si>
  <si>
    <t>Nike Inc. Common Stock</t>
  </si>
  <si>
    <t>NKGen Biotech Inc. Common Stock</t>
  </si>
  <si>
    <t>NKGen Biotech Inc. Warrants</t>
  </si>
  <si>
    <t>Nikola Corporation Common Stock</t>
  </si>
  <si>
    <t>National Bankshares Inc. Common Stock</t>
  </si>
  <si>
    <t>Nektar Therapeutics  Common Stock</t>
  </si>
  <si>
    <t>Nkarta Inc. Common Stock</t>
  </si>
  <si>
    <t>Nuveen California AMT-Free Quality Municipal Income Fund</t>
  </si>
  <si>
    <t>NL Industries Inc. Common Stock</t>
  </si>
  <si>
    <t>Net Lease Office Properties Common Shares of Beneficial Interest</t>
  </si>
  <si>
    <t>NLS Pharmaceutics Ltd. Ordinary Shares</t>
  </si>
  <si>
    <t>NLS Pharmaceutics Ltd. Warrant</t>
  </si>
  <si>
    <t>Annaly Capital Management Inc. Common Stock</t>
  </si>
  <si>
    <t>Annaly Capital Management Inc 6.95% Series F</t>
  </si>
  <si>
    <t>Annaly Capital Management Inc 6.50% Series G Fixed-to-Floating Rate Cumulative Redeemable Preferred Stock</t>
  </si>
  <si>
    <t>Annaly Capital Management Inc 6.750% Series I Fixed-to-Floating Rate Cumulative Redeemable Preferred Stock</t>
  </si>
  <si>
    <t>Navios Maritime Holdings Inc. Sponsored ADR Representing 1/100th Perpetual Preferred Series G (Marshall Islands)</t>
  </si>
  <si>
    <t>Navios Maritime Holdings Inc. Sponsored ADR Representing 1/100th Perp. Preferred Series H%</t>
  </si>
  <si>
    <t>Nuveen Multi-Asset Income Fund Common Shares of Beneficial Interest</t>
  </si>
  <si>
    <t>Nuveen Municipal Credit Opportunities Fund Common Shares</t>
  </si>
  <si>
    <t>New Mountain Finance Corporation Common Stock</t>
  </si>
  <si>
    <t>New Mountain Finance Corporation 8.250% Notes due 2028</t>
  </si>
  <si>
    <t>Nouveau Monde Graphite Inc. Common Shares</t>
  </si>
  <si>
    <t>Nuveen Municipal Income Fund Inc. Common Stock</t>
  </si>
  <si>
    <t>NMI Holdings Inc. Class A Common Stock</t>
  </si>
  <si>
    <t>Neuberger Berman Energy Infrastructure and Income Fund Inc. Common Stock</t>
  </si>
  <si>
    <t>Navios Maritime Partners LP Common Units Representing Limited Partner Interests</t>
  </si>
  <si>
    <t>Nomura Holdings Inc ADR American Depositary Shares</t>
  </si>
  <si>
    <t>Neumora Therapeutics Inc. Common Stock</t>
  </si>
  <si>
    <t>Newmark Group Inc. Class A Common Stock</t>
  </si>
  <si>
    <t xml:space="preserve">Nuveen Minnesota Quality Municipal Income Fund </t>
  </si>
  <si>
    <t>Nuveen Massachusetts Quality Municipal Income Fund Common Stock</t>
  </si>
  <si>
    <t>NeuroOne Medical Technologies Corporation Common Stock</t>
  </si>
  <si>
    <t>Nuveen Municipal High Income Opportunity Fund Common Stock $0.01 par value per share</t>
  </si>
  <si>
    <t>NextNav Inc. Common Stock</t>
  </si>
  <si>
    <t>99 Acquisition Group Inc. Class A Common Stock</t>
  </si>
  <si>
    <t>99 Acquisition Group Inc. Right</t>
  </si>
  <si>
    <t xml:space="preserve">99 Acquisition Group Inc. Unit </t>
  </si>
  <si>
    <t>99 Acquisition Group Inc. Warrant</t>
  </si>
  <si>
    <t>NextNav Inc. Warrant</t>
  </si>
  <si>
    <t>NN Inc. Common Stock</t>
  </si>
  <si>
    <t>Nano Dimension Ltd. American Depositary Shares</t>
  </si>
  <si>
    <t>Nelnet Inc. Common Stock</t>
  </si>
  <si>
    <t>NNN REIT Inc. Common Stock</t>
  </si>
  <si>
    <t>NANO-X IMAGING LTD Ordinary Shares</t>
  </si>
  <si>
    <t>NanoViricides Inc. Common Stock</t>
  </si>
  <si>
    <t>Nuveen New York Municipal Value Fund Common Stock</t>
  </si>
  <si>
    <t>North American Construction Group Ltd. Common Shares (no par)</t>
  </si>
  <si>
    <t>Noah Holdings Limited American Depositary Shares</t>
  </si>
  <si>
    <t>Northrop Grumman Corporation Common Stock</t>
  </si>
  <si>
    <t>NI Holdings Inc. Common Stock</t>
  </si>
  <si>
    <t>Northern Oil and Gas Inc. Common Stock</t>
  </si>
  <si>
    <t>Nokia Corporation Sponsored American Depositary Shares</t>
  </si>
  <si>
    <t xml:space="preserve">Nuveen Missouri Quality Municipal Income Fund </t>
  </si>
  <si>
    <t>Nomad Foods Limited Ordinary Shares</t>
  </si>
  <si>
    <t>FiscalNote Holdings Inc. Class A common stock</t>
  </si>
  <si>
    <t>Inotiv Inc. Common Stock</t>
  </si>
  <si>
    <t>NOV Inc. Common Stock</t>
  </si>
  <si>
    <t>Sunnova Energy International Inc. Common Stock</t>
  </si>
  <si>
    <t>Novanta Inc. Common Stock</t>
  </si>
  <si>
    <t>ServiceNow Inc. Common Stock</t>
  </si>
  <si>
    <t>New Providence Acquisition Corp. II Class A Common Stock</t>
  </si>
  <si>
    <t>Neuropace Inc. Common Stock</t>
  </si>
  <si>
    <t>Nuveen Core Plus Impact Fund Common Shares of Beneficial Interest</t>
  </si>
  <si>
    <t>Nuveen Variable Rate Preferred &amp; Income Fund Common Shares</t>
  </si>
  <si>
    <t>National Presto Industries Inc. Common Stock</t>
  </si>
  <si>
    <t>Enpro Inc. Common Stock</t>
  </si>
  <si>
    <t>Nuveen Virginia Quality Municipal Income Fund Common Stock</t>
  </si>
  <si>
    <t>NET Power Inc. Class A Common Stock</t>
  </si>
  <si>
    <t>Nuveen Pennsylvania Quality Municipal Income Fund Common Stock</t>
  </si>
  <si>
    <t>Newpark Resources Inc. Common Stock</t>
  </si>
  <si>
    <t>Northern Revival Acquisition Corporation Class A Ordinary Share</t>
  </si>
  <si>
    <t>NeuroBo Pharmaceuticals Inc. Common Stock</t>
  </si>
  <si>
    <t>National Research Corporation Common Stock (Delaware)</t>
  </si>
  <si>
    <t>NerdWallet Inc. Class A Common Stock</t>
  </si>
  <si>
    <t>Nerdy Inc. Class A Common Stock</t>
  </si>
  <si>
    <t>NexPoint Real Estate Finance Inc. Common Stock</t>
  </si>
  <si>
    <t>NexPoint Real Estate Finance Inc. 8.50% Series A Cumulative Redeemable Preferred Stock</t>
  </si>
  <si>
    <t>NRG Energy Inc. Common Stock</t>
  </si>
  <si>
    <t>Energy Vault Holdings Inc. Common Stock</t>
  </si>
  <si>
    <t>Northrim BanCorp Inc Common Stock</t>
  </si>
  <si>
    <t>Nurix Therapeutics Inc. Common stock</t>
  </si>
  <si>
    <t xml:space="preserve">Nuveen New York AMT-Free Quality Municipal Income Fund </t>
  </si>
  <si>
    <t>Neuberger Berman Real Estate Securities Income Fund Inc.</t>
  </si>
  <si>
    <t>Natural Resource Partners LP Limited Partnership</t>
  </si>
  <si>
    <t>NeuroSense Therapeutics Ltd. Ordinary Shares</t>
  </si>
  <si>
    <t>NeuroSense Therapeutics Ltd. Warrant</t>
  </si>
  <si>
    <t>North European Oil Royality Trust Common Stock</t>
  </si>
  <si>
    <t>National Rural Utilities Cooperative Finance Corporation 5.500% Subordinated Notes due 2064 (Subordinated Deferrable Interest Notes)</t>
  </si>
  <si>
    <t>NRX Pharmaceuticals Inc. Common Stock</t>
  </si>
  <si>
    <t>NRX Pharmaceuticals Inc. Warrant</t>
  </si>
  <si>
    <t>Neuraxis Inc. Common Stock</t>
  </si>
  <si>
    <t>Nustar Energy L.P.  Common Units</t>
  </si>
  <si>
    <t>Nustar Energy L.P. 8.50% Series A Fixed-to-Floating Rate Cumulative Redeemable Perpetual Preferred Units</t>
  </si>
  <si>
    <t>Nustar Energy L.P. 7.625% Series B Fixed-to-Floating Rate Cumulative Redeemable Perpetual Preferred Units representing limited partner interests</t>
  </si>
  <si>
    <t>Nustar Energy L.P. 9.00% Series C Fixed-to-Floating Rate Cumulative Redeemable Perpetual Preferred Units</t>
  </si>
  <si>
    <t>National Storage Affiliates Trust Common Shares of Beneficial Interest</t>
  </si>
  <si>
    <t>National Storage Affiliates Trust 6.000% Series A Cumulative Redeemable Preferred Shares of Beneficial Interest (Liquidation Preference $25.00 per share)</t>
  </si>
  <si>
    <t>Norfolk Southern Corporation Common Stock</t>
  </si>
  <si>
    <t>Insight Enterprises Inc. Common Stock</t>
  </si>
  <si>
    <t>Insperity Inc. Common Stock</t>
  </si>
  <si>
    <t>InspireMD Inc. Common Stock</t>
  </si>
  <si>
    <t>NuStar Logistics L.P. 7.625% Fixed-to-Floating Rate Subordinated Notes due 2043</t>
  </si>
  <si>
    <t>NAPCO Security Technologies Inc. Common Stock</t>
  </si>
  <si>
    <t>Northern Star Investment Corp. II Class A Common stock</t>
  </si>
  <si>
    <t>NanoString Technologies Inc. Common Stock</t>
  </si>
  <si>
    <t>NSTS Bancorp Inc. Common Stock</t>
  </si>
  <si>
    <t>Nortech Systems Incorporated Common Stock</t>
  </si>
  <si>
    <t>NetApp Inc. Common Stock</t>
  </si>
  <si>
    <t>Bank of N.T. Butterfield &amp; Son Limited (The) Voting Ordinary Shares</t>
  </si>
  <si>
    <t>Notable Labs Ltd. Ordinary Shares</t>
  </si>
  <si>
    <t xml:space="preserve">Natura &amp;Co Holding S.A. American Depositary Shares </t>
  </si>
  <si>
    <t>NetScout Systems Inc. Common Stock</t>
  </si>
  <si>
    <t>NetEase Inc. American Depositary Shares</t>
  </si>
  <si>
    <t>Tortoise Midstream Energy Fund Inc. Common Stock</t>
  </si>
  <si>
    <t>NETGEAR Inc. Common Stock</t>
  </si>
  <si>
    <t>Northern Technologies International Corporation Common Stock</t>
  </si>
  <si>
    <t>Network-1 Technologies Inc. Common Stock</t>
  </si>
  <si>
    <t>Intellia Therapeutics Inc. Common Stock</t>
  </si>
  <si>
    <t>Nutanix Inc. Class A Common Stock</t>
  </si>
  <si>
    <t>Nutrien Ltd. Common Shares</t>
  </si>
  <si>
    <t>Natera Inc. Common Stock</t>
  </si>
  <si>
    <t>Nutriband Inc. Common Stock</t>
  </si>
  <si>
    <t>Nutriband Inc. Warrant</t>
  </si>
  <si>
    <t>Northern Trust Corporation Common Stock</t>
  </si>
  <si>
    <t>Northern Trust Corporation Depositary Shares Each Representing a 1/1000th Interest in a Share of Series E Non-Cumulative Perpetual Preferred Stock</t>
  </si>
  <si>
    <t>NetSTREIT Corp. Common Stock</t>
  </si>
  <si>
    <t>NetSol Technologies Inc. Common  Stock</t>
  </si>
  <si>
    <t>Natuzzi S.p.A.</t>
  </si>
  <si>
    <t>Nu Holdings Ltd. Class A Ordinary Shares</t>
  </si>
  <si>
    <t>Nubia Brand International Corp. Class A Common Stock</t>
  </si>
  <si>
    <t>Nubia Brand International Corp. Unit</t>
  </si>
  <si>
    <t>Nubia Brand International Corp. Warrant</t>
  </si>
  <si>
    <t>Nucor Corporation Common Stock</t>
  </si>
  <si>
    <t>Nukkleus Inc. Common Stock</t>
  </si>
  <si>
    <t>Nukkleus Inc. Warrants</t>
  </si>
  <si>
    <t>NeuroMetrix Inc. Common Stock</t>
  </si>
  <si>
    <t>Nu Skin Enterprises Inc. Common Stock</t>
  </si>
  <si>
    <t>Nutex Health Inc. Common Stock</t>
  </si>
  <si>
    <t>Nuveen Municipal Value Fund Inc. Common Stock</t>
  </si>
  <si>
    <t>Nuvation Bio Inc. Class A Common Stock</t>
  </si>
  <si>
    <t>Nuvalent Inc. Class A Common Stock</t>
  </si>
  <si>
    <t>Nuveen AMT-Free Municipal Value Fund</t>
  </si>
  <si>
    <t>Nuwellis Inc. Common Stock</t>
  </si>
  <si>
    <t>NuZee Inc. Common Stock</t>
  </si>
  <si>
    <t>NorthView Acquisition Corporation Common Stock</t>
  </si>
  <si>
    <t>NorthView Acquisition Corporation Rights</t>
  </si>
  <si>
    <t>NorthView Acquisition Corporation Warrant</t>
  </si>
  <si>
    <t>Novavax Inc. Common Stock</t>
  </si>
  <si>
    <t>NovoCure Limited Ordinary Shares</t>
  </si>
  <si>
    <t>Nuvectis Pharma Inc. Common Stock</t>
  </si>
  <si>
    <t>NVIDIA Corporation Common Stock</t>
  </si>
  <si>
    <t>NVE Corporation Common Stock</t>
  </si>
  <si>
    <t>NV5 Global Inc. Common Stock</t>
  </si>
  <si>
    <t>Nuvei Corporation Subordinate Voting Shares</t>
  </si>
  <si>
    <t>Nova Lifestyle Inc. Common Stock</t>
  </si>
  <si>
    <t xml:space="preserve">Nuveen AMT-Free Municipal Credit Income Fund </t>
  </si>
  <si>
    <t>Navigator Holdings Ltd. Ordinary Shares (Marshall Islands)</t>
  </si>
  <si>
    <t>InVivo Therapeutics Holdings Corp Common Stock</t>
  </si>
  <si>
    <t>Nova Ltd. Ordinary Shares</t>
  </si>
  <si>
    <t>Nvni Group Limited Ordinary Shares</t>
  </si>
  <si>
    <t>Nvni Group Limited Warrants</t>
  </si>
  <si>
    <t>enVVeno Medical Corporation Common Stock</t>
  </si>
  <si>
    <t>Novo Nordisk A/S Common Stock</t>
  </si>
  <si>
    <t>Novo Integrated Sciences Inc. Common Stock</t>
  </si>
  <si>
    <t>NVR Inc. Common Stock</t>
  </si>
  <si>
    <t>Enviri Corporation Common Stock</t>
  </si>
  <si>
    <t>Nevro Corp. Common Stock</t>
  </si>
  <si>
    <t>Novartis AG Common Stock</t>
  </si>
  <si>
    <t>Envista Holdings Corporation Common Stock</t>
  </si>
  <si>
    <t xml:space="preserve">nVent Electric plc Ordinary Shares </t>
  </si>
  <si>
    <t>Invitae Corporation Common Stock</t>
  </si>
  <si>
    <t>Navitas Semiconductor Corporation Common Stock</t>
  </si>
  <si>
    <t>Nuvve Holding Corp. Common Stock</t>
  </si>
  <si>
    <t>Nuvve Holding Corp. Warrant</t>
  </si>
  <si>
    <t>NOVONIX Limited American Depository Shares</t>
  </si>
  <si>
    <t>Northwest Bancshares Inc. Common Stock</t>
  </si>
  <si>
    <t>NorthWestern Energy Group Inc. Common Stock</t>
  </si>
  <si>
    <t>Norwood Financial Corp. Common Stock</t>
  </si>
  <si>
    <t>NatWest Group plc American Depositary Shares (each representing two (2) Ordinary Shares)</t>
  </si>
  <si>
    <t>Nature Wood Group Limited American Depositary Shares</t>
  </si>
  <si>
    <t>Newell Brands Inc. Common Stock</t>
  </si>
  <si>
    <t>National Western Life Group Inc. Class A Common Stock</t>
  </si>
  <si>
    <t>Northwest Natural Holding Company Common Stock</t>
  </si>
  <si>
    <t>Northwest Pipe Company Common Stock</t>
  </si>
  <si>
    <t>News Corporation Class B Common Stock</t>
  </si>
  <si>
    <t>News Corporation Class A Common Stock</t>
  </si>
  <si>
    <t>NWTN Inc. Class B Ordinary Shares</t>
  </si>
  <si>
    <t>NWTN Inc. Warrant</t>
  </si>
  <si>
    <t>Quanex Building Products Corporation Common Stock</t>
  </si>
  <si>
    <t>Nuveen California Select Tax-Free Income Portfolio Common Stock</t>
  </si>
  <si>
    <t>NexPoint Diversified Real Estate Trust Common Stock</t>
  </si>
  <si>
    <t>NexPoint Diversified Real Estate Trust 5.50% Series A Cumulative Preferred Shares ($25.00 liquidation preference per share)</t>
  </si>
  <si>
    <t>Nexgen Energy Ltd. Common Shares</t>
  </si>
  <si>
    <t>NXG NextGen Infrastructure Income Fund Common Shares of Beneficial Interest</t>
  </si>
  <si>
    <t>NexGel Inc Common Stock</t>
  </si>
  <si>
    <t>NexGel Inc Warrant</t>
  </si>
  <si>
    <t xml:space="preserve">Nuveen New Jersey Qualified Municipal Fund </t>
  </si>
  <si>
    <t>Nexalin Technology Inc. Common Stock</t>
  </si>
  <si>
    <t>Nuveen New York Select Tax-Free Income Portfolio Common Stock</t>
  </si>
  <si>
    <t>Nuveen Select Tax Free Income Portfolio Common Stock</t>
  </si>
  <si>
    <t>NXP Semiconductors N.V. Common Stock</t>
  </si>
  <si>
    <t>NextPlat Corp Common Stock</t>
  </si>
  <si>
    <t>NextPlat Corp Warrants</t>
  </si>
  <si>
    <t>NexPoint Residential Trust Inc. Common Stock</t>
  </si>
  <si>
    <t>Nexstar Media Group Inc. Common Stock</t>
  </si>
  <si>
    <t>Nextracker Inc. Class A Common Stock</t>
  </si>
  <si>
    <t>NextCure Inc. Common Stock</t>
  </si>
  <si>
    <t>NextPlay Technologies Inc. Common Stock</t>
  </si>
  <si>
    <t>Nxu Inc. Class A Common Stock</t>
  </si>
  <si>
    <t>Nayax Ltd. Ordinary Shares</t>
  </si>
  <si>
    <t>American Strategic Investment Co. Class A Common Stock</t>
  </si>
  <si>
    <t>New York Community Bancorp Inc. Common Stock</t>
  </si>
  <si>
    <t>New York Community Bancorp Inc. Depositary shares each representing a 1/40th interest in a share of Fixed-to-Floating Rate Series A Noncumulative Perpetual Preferred Stock</t>
  </si>
  <si>
    <t>New York Community Bancorp Inc. New York Community Capital Tr V (BONUSES)</t>
  </si>
  <si>
    <t>New York Mortgage Trust Inc. Common Stock</t>
  </si>
  <si>
    <t>New York Mortgage Trust Inc. 6.875% Series F Fixed-to-Floating Rate Cumulative Redeemable Preferred Stock $0.01 par value per share</t>
  </si>
  <si>
    <t>New York Mortgage Trust Inc. 7.875% Series E Fixed-to-Floating Rate Cumulative Redeemable Preferred Stock</t>
  </si>
  <si>
    <t>New York Mortgage Trust Inc. 8.00% Series D Fixed-to-Floating Rate Cumulative Redeemable Preferred Stock</t>
  </si>
  <si>
    <t>New York Mortgage Trust Inc. 7.000% Series G Cumulative Redeemable Preferred Stock $0.01 par value per share</t>
  </si>
  <si>
    <t>New York Times Company (The) Common Stock</t>
  </si>
  <si>
    <t>Nyxoah SA Ordinary Shares</t>
  </si>
  <si>
    <t xml:space="preserve">Nuveen Municipal Credit Income Fund </t>
  </si>
  <si>
    <t>Realty Income Corporation Common Stock</t>
  </si>
  <si>
    <t>OmniAb Inc. Common Stock</t>
  </si>
  <si>
    <t>OmniAb Inc. Warrant</t>
  </si>
  <si>
    <t>Oaktree Capital Group LLC 6.625% Series A Preferred units</t>
  </si>
  <si>
    <t>Oaktree Capital Group LLC 6.550% Series B Preferred Units</t>
  </si>
  <si>
    <t>Oak Woods Acquisition Corporation Class A Ordinary Shares</t>
  </si>
  <si>
    <t>Oak Woods Acquisition Corporation Right</t>
  </si>
  <si>
    <t>Oak Woods Acquisition Corporation Warrant</t>
  </si>
  <si>
    <t>Outbrain Inc. Common Stock</t>
  </si>
  <si>
    <t>Blue Owl Capital Corporation Common Stock</t>
  </si>
  <si>
    <t>Obsidian Energy Ltd. Common Shares</t>
  </si>
  <si>
    <t>Orchestra BioMed Holdings Inc. Ordinary Shares</t>
  </si>
  <si>
    <t>Origin Bancorp Inc. Common Stock</t>
  </si>
  <si>
    <t>Oblong Inc. Common Stock</t>
  </si>
  <si>
    <t>Orange County Bancorp Inc. Common Stock</t>
  </si>
  <si>
    <t>Owens Corning Inc Common Stock New</t>
  </si>
  <si>
    <t>OCA Acquisition Corp. Class A Common Stock</t>
  </si>
  <si>
    <t>Optical Cable Corporation Common Stock</t>
  </si>
  <si>
    <t>OFS Credit Company Inc. Common Stock</t>
  </si>
  <si>
    <t>OFS Credit Company Inc. 5.25% Series E Term Preferred Stock Due 2026</t>
  </si>
  <si>
    <t>OFS Credit Company Inc. 6.125% Series C Term Preferred Stock</t>
  </si>
  <si>
    <t>Ocean Biomedical Inc. Common Stock</t>
  </si>
  <si>
    <t>Ocean Biomediacal Inc. Warrants</t>
  </si>
  <si>
    <t>OceanFirst Financial Corp. Common Stock</t>
  </si>
  <si>
    <t>OceanFirst Financial Corp. Depositary Shares</t>
  </si>
  <si>
    <t>OneConnect Financial Technology Co. Ltd. American Depositary Shares each representing thirty ordinary shares</t>
  </si>
  <si>
    <t>Oriental Culture Holding LTD Ordinary Shares</t>
  </si>
  <si>
    <t>Ocugen Inc. Common Stock</t>
  </si>
  <si>
    <t>Ocwen Financial Corporation NEW Common Stock</t>
  </si>
  <si>
    <t>Oculis Holding AG Ordinary shares</t>
  </si>
  <si>
    <t>Oculis Holding AG Warrants</t>
  </si>
  <si>
    <t>Oaktree Specialty Lending Corporation Common Stock</t>
  </si>
  <si>
    <t>Eightco Holdings Inc. Common Stock</t>
  </si>
  <si>
    <t>Ocular Therapeutix Inc. Common Stock</t>
  </si>
  <si>
    <t>Ocuphire Pharma Inc. Common Stock</t>
  </si>
  <si>
    <t>Oncocyte Corporation Common Stock</t>
  </si>
  <si>
    <t>Oil-Dri Corporation Of America Common Stock</t>
  </si>
  <si>
    <t>ODDITY Tech Ltd. Class A Ordinary Shares</t>
  </si>
  <si>
    <t>Old Dominion Freight Line Inc. Common Stock</t>
  </si>
  <si>
    <t>The ODP Corporation Common Stock</t>
  </si>
  <si>
    <t>Osisko Development Corp. Common Shares</t>
  </si>
  <si>
    <t>Osisko Development Corp. Warrant expiring 5/27/2027</t>
  </si>
  <si>
    <t>Orion S.A. Common Shares</t>
  </si>
  <si>
    <t>Orion Energy Systems Inc. Common Stock</t>
  </si>
  <si>
    <t>OFG Bancorp Common Stock</t>
  </si>
  <si>
    <t>Orthofix Medical Inc. Common Stock (DE)</t>
  </si>
  <si>
    <t>Omega Flex Inc. Common Stock</t>
  </si>
  <si>
    <t>OFS Capital Corporation Common Stock</t>
  </si>
  <si>
    <t>OFS Capital Corporation 4.95% Notes due 2028</t>
  </si>
  <si>
    <t>OGE Energy Corp Common Stock</t>
  </si>
  <si>
    <t>Oragenics Inc. Common Stock</t>
  </si>
  <si>
    <t>Organigram Holdings Inc. Common Shares</t>
  </si>
  <si>
    <t xml:space="preserve">Organon &amp; Co. Common Stock </t>
  </si>
  <si>
    <t>ONE Gas Inc. Common Stock</t>
  </si>
  <si>
    <t>Omega Healthcare Investors Inc. Common Stock</t>
  </si>
  <si>
    <t>O-I Glass Inc. Common Stock</t>
  </si>
  <si>
    <t>Invesco Municipal Income Opportunities Trust Common Stock</t>
  </si>
  <si>
    <t>Oceaneering International Inc. Common Stock</t>
  </si>
  <si>
    <t>Oil States International Inc. Common Stock</t>
  </si>
  <si>
    <t>ONEOK Inc. Common Stock</t>
  </si>
  <si>
    <t>Okta Inc. Class A Common Stock</t>
  </si>
  <si>
    <t>OKYO Pharma Limited Ordinary Shares</t>
  </si>
  <si>
    <t>The OLB Group Inc. Common Stock</t>
  </si>
  <si>
    <t>Universal Display Corporation Common Stock</t>
  </si>
  <si>
    <t>Olink Holding AB (publ) American Depositary Shares</t>
  </si>
  <si>
    <t>Ollie's Bargain Outlet Holdings Inc. Common Stock</t>
  </si>
  <si>
    <t>Olema Pharmaceuticals Inc. Common Stock</t>
  </si>
  <si>
    <t>Olin Corporation Common Stock</t>
  </si>
  <si>
    <t>Olo Inc. Class A Common Stock</t>
  </si>
  <si>
    <t>One Liberty Properties Inc. Common Stock</t>
  </si>
  <si>
    <t>Olaplex Holdings Inc. Common Stock</t>
  </si>
  <si>
    <t>Outset Medical Inc. Common Stock</t>
  </si>
  <si>
    <t>Grupo Aeroportuario del Centro Norte S.A.B. de C.V. ADS</t>
  </si>
  <si>
    <t>Omnicom Group Inc. Common Stock</t>
  </si>
  <si>
    <t>Omnicell Inc. Common Stock ($0.001 par value)</t>
  </si>
  <si>
    <t>Omeros Corporation Common Stock</t>
  </si>
  <si>
    <t>Odyssey Marine Exploration Inc. Common Stock</t>
  </si>
  <si>
    <t>OneMain Holdings Inc. Common Stock</t>
  </si>
  <si>
    <t>Omega Therapeutics Inc. Common Stock</t>
  </si>
  <si>
    <t>Ohmyhome Limited Ordinary Shares</t>
  </si>
  <si>
    <t>Owens &amp; Minor Inc. Common Stock</t>
  </si>
  <si>
    <t>Singular Genomics Systems Inc. Common Stock</t>
  </si>
  <si>
    <t>OMNIQ Corp. Common Stock</t>
  </si>
  <si>
    <t>ON Semiconductor Corporation Common Stock</t>
  </si>
  <si>
    <t>Old National Bancorp Common Stock</t>
  </si>
  <si>
    <t>Old National Bancorp Depositary Shares Each Representing a 1/40th Interest in a Share of Series C Preferred Stock</t>
  </si>
  <si>
    <t>Old National Bancorp Depositary Shares Each Representing a 1/40th Interest in a Share of Series A Preferred Stock</t>
  </si>
  <si>
    <t>Onconetix Inc. Common Stock</t>
  </si>
  <si>
    <t>Oncternal Therapeutics Inc. Common Stock</t>
  </si>
  <si>
    <t>Oncolytics Biotech Inc. Common Shares</t>
  </si>
  <si>
    <t>Ondas Holdings Inc. Common Stock</t>
  </si>
  <si>
    <t>OneWater Marine Inc. Class A Common Stock</t>
  </si>
  <si>
    <t>Onfolio Holdings Inc. Common Stock</t>
  </si>
  <si>
    <t>Orion Office REIT Inc. Common Stock</t>
  </si>
  <si>
    <t>OneMedNet Corp Class A Common Stock</t>
  </si>
  <si>
    <t>OneMedNet Corp Warrant</t>
  </si>
  <si>
    <t>On Holding AG Class A Ordinary Shares</t>
  </si>
  <si>
    <t>ON24 Inc. Common Stock</t>
  </si>
  <si>
    <t>Onto Innovation Inc. Common Stock</t>
  </si>
  <si>
    <t>Onconova Therapeutics Inc. Common Stock</t>
  </si>
  <si>
    <t>Organovo Holdings Inc. Common Stock</t>
  </si>
  <si>
    <t>Onyx Acquisition Co. I Class A Ordinary Shares</t>
  </si>
  <si>
    <t>Onyx Acquisition Co. I Warrant</t>
  </si>
  <si>
    <t>Ooma Inc. Common Stock</t>
  </si>
  <si>
    <t>OceanPal Inc. Common Stock</t>
  </si>
  <si>
    <t>Magnum Opus Acquisition Limited Class A Ordinary Shares</t>
  </si>
  <si>
    <t>Offerpad Solutions Inc. Class A Common Stock</t>
  </si>
  <si>
    <t>OPAL Fuels Inc. Class A Common Stock</t>
  </si>
  <si>
    <t>OP Bancorp Common Stock</t>
  </si>
  <si>
    <t>Option Care Health Inc. Common Stock</t>
  </si>
  <si>
    <t>Opendoor Technologies Inc Common Stock</t>
  </si>
  <si>
    <t>OppFi Inc. Class A Common Stock</t>
  </si>
  <si>
    <t>OpGen Inc. Common Stock</t>
  </si>
  <si>
    <t>OptimumBank Holdings Inc. Common Stock</t>
  </si>
  <si>
    <t>Office Properties Income Trust Common Shares of Beneficial Interest</t>
  </si>
  <si>
    <t>Office Properties Income Trust 6.375% Senior Notes due 2050</t>
  </si>
  <si>
    <t>OPKO Health Inc. Common Stock</t>
  </si>
  <si>
    <t>Old Point Financial Corporation Common Stock</t>
  </si>
  <si>
    <t>RiverNorth/DoubleLine Strategic Opportunity Fund Inc. Common Stock</t>
  </si>
  <si>
    <t>RiverNorth/DoubleLine Strategic Opportunity Fund Inc. 4.375% Series A Cumulative Preferred Stock</t>
  </si>
  <si>
    <t>RiverNorth/DoubleLine Strategic Opportunity Fund Inc. 4.75% Series B Cumulative Preferred Stock</t>
  </si>
  <si>
    <t>Opera Limited American Depositary Shares</t>
  </si>
  <si>
    <t>Oportun Financial Corporation Common Stock</t>
  </si>
  <si>
    <t>OptimizeRx Corporation Common Stock</t>
  </si>
  <si>
    <t>Opthea Limited American Depositary Shares</t>
  </si>
  <si>
    <t>OptiNose Inc. Common Stock</t>
  </si>
  <si>
    <t>Ocean Power Technologies Inc. Common Stock</t>
  </si>
  <si>
    <t>Syntec Optics Holdings Inc. Class A Common Stock</t>
  </si>
  <si>
    <t>Syntec Optics Holdings Inc. Warrant</t>
  </si>
  <si>
    <t>Optex Systems Holdings Inc. Common Stock</t>
  </si>
  <si>
    <t>Oppenheimer Holdings Inc. Class A Common Stock (DE)</t>
  </si>
  <si>
    <t>Osisko Gold Royalties Ltd Common Shares</t>
  </si>
  <si>
    <t>Ormat Technologies Inc. Common Stock</t>
  </si>
  <si>
    <t>Orange</t>
  </si>
  <si>
    <t>Orchid Island Capital Inc. Common Stock</t>
  </si>
  <si>
    <t>Oracle Corporation Common Stock</t>
  </si>
  <si>
    <t>Origin Materials Inc. Common Stock</t>
  </si>
  <si>
    <t>Origin Materials Inc. Warrants</t>
  </si>
  <si>
    <t>Organogenesis Holdings Inc. Class A Common Stock</t>
  </si>
  <si>
    <t>Orgenesis Inc. Common Stock</t>
  </si>
  <si>
    <t>Old Republic International Corporation Common Stock</t>
  </si>
  <si>
    <t>Oric Pharmaceuticals Inc. Common Stock</t>
  </si>
  <si>
    <t>Orla Mining Ltd. Common Shares</t>
  </si>
  <si>
    <t>O'Reilly Automotive Inc. Common Stock</t>
  </si>
  <si>
    <t>Oramed Pharmaceuticals Inc. Common Stock</t>
  </si>
  <si>
    <t>Orion Group Holdings Inc. Common</t>
  </si>
  <si>
    <t>Orrstown Financial Services Inc Common Stock</t>
  </si>
  <si>
    <t>Orchard Therapeutics plc American Depositary Shares</t>
  </si>
  <si>
    <t>ProSomnus Inc. Common Stock</t>
  </si>
  <si>
    <t>ProSomnus Inc. Warrant</t>
  </si>
  <si>
    <t>Old Second Bancorp Inc. Common Stock</t>
  </si>
  <si>
    <t>Oscar Health Inc. Class A Common Stock</t>
  </si>
  <si>
    <t>Overseas Shipholding Group Inc. Class A Common Stock</t>
  </si>
  <si>
    <t>Osiris Acquisition Corp. Class A Common Stock</t>
  </si>
  <si>
    <t>OSI Systems Inc. Common Stock (DE)</t>
  </si>
  <si>
    <t>Oshkosh Corporation (Holding Company)Common Stock</t>
  </si>
  <si>
    <t>OneSpan Inc. Common Stock</t>
  </si>
  <si>
    <t>One Stop Systems Inc. Common Stock</t>
  </si>
  <si>
    <t>Ostin Technology Group Co. Ltd. Ordinary Shares</t>
  </si>
  <si>
    <t>OraSure Technologies Inc. Common Stock</t>
  </si>
  <si>
    <t>OneSpaWorld Holdings Limited Common Shares</t>
  </si>
  <si>
    <t>OceanTech Acquisitions I Corp. Class A Common Stock</t>
  </si>
  <si>
    <t>OceanTech Acquisitions I Corp. Warrant</t>
  </si>
  <si>
    <t>Open Text Corporation Common Shares</t>
  </si>
  <si>
    <t xml:space="preserve">Otis Worldwide Corporation Common Stock </t>
  </si>
  <si>
    <t>Outlook Therapeutics Inc. Common Stock</t>
  </si>
  <si>
    <t>Oatly Group AB American Depositary Shares</t>
  </si>
  <si>
    <t>Ontrak Inc. Common Stock</t>
  </si>
  <si>
    <t>Otter Tail Corporation Common Stock</t>
  </si>
  <si>
    <t>Ouster Inc. Common Stock</t>
  </si>
  <si>
    <t>OUTFRONT Media Inc. Common Stock</t>
  </si>
  <si>
    <t>Ohio Valley Banc Corp. Common Stock</t>
  </si>
  <si>
    <t>Ovid Therapeutics Inc. Common Stock</t>
  </si>
  <si>
    <t>Oak Valley Bancorp (CA) Common Stock</t>
  </si>
  <si>
    <t>Ovintiv Inc. (DE)</t>
  </si>
  <si>
    <t>Blue Owl Capital Inc. Class A Common Stock</t>
  </si>
  <si>
    <t>Owlet Inc. Class A Common Stock</t>
  </si>
  <si>
    <t>Oxbridge Re Holdings Limited Ordinary Shares</t>
  </si>
  <si>
    <t>Oxbridge Re Holdings Limited Warrant expiring 3/26/2024</t>
  </si>
  <si>
    <t>Oxford Lane Capital Corp. Common Stock</t>
  </si>
  <si>
    <t>Oxford Lane Capital Corp. 6.75% Notes due 2031</t>
  </si>
  <si>
    <t>Oxford Lane Capital Corp. 6.75% Series 2024 Term Preferred Stock</t>
  </si>
  <si>
    <t>Oxford Lane Capital Corp. 7.125% Series 2029 Term Preferred Stock</t>
  </si>
  <si>
    <t>Oxford Lane Capital Corp. Preferred Stock Shares 6.00% Series 2029</t>
  </si>
  <si>
    <t>Oxford Lane Capital Corp. 6.25% Series 2027 Term Preferred Shares</t>
  </si>
  <si>
    <t>Oxford Lane Capital Corp. 5.00% Notes due 2027</t>
  </si>
  <si>
    <t>Oxford Industries Inc. Common Stock</t>
  </si>
  <si>
    <t>Oxford Square Capital Corp. Common Stock</t>
  </si>
  <si>
    <t>Oxford Square Capital Corp. 5.50% Notes due 2028</t>
  </si>
  <si>
    <t>Oxford Square Capital Corp. 6.25% Notes due 2026</t>
  </si>
  <si>
    <t>Oxus Acquisition Corp. Class A Ordinary Shares</t>
  </si>
  <si>
    <t>Oxus Acquisition Corp. Warrant</t>
  </si>
  <si>
    <t>Occidental Petroleum Corporation Common Stock</t>
  </si>
  <si>
    <t>Belpointe PREP LLC Class A Units</t>
  </si>
  <si>
    <t>Bank OZK Common Stock</t>
  </si>
  <si>
    <t>Bank OZK 4.625% Series A Non-Cumulative Perpetual Preferred Stock</t>
  </si>
  <si>
    <t>Plains All American Pipeline L.P. Common Units representing Limited Partner Interests</t>
  </si>
  <si>
    <t>Pan American Silver Corp. Common Stock</t>
  </si>
  <si>
    <t>Grupo Aeroportuario Del Pacifico S.A. B. de C.V. Grupo Aeroportuario Del Pacifico S.A. de C.V. (each representing 10 Series B shares)</t>
  </si>
  <si>
    <t>Pacific Biosciences of California Inc. Common Stock</t>
  </si>
  <si>
    <t>Ranpak Holdings Corp Class A Common Stock</t>
  </si>
  <si>
    <t>Penske Automotive Group Inc. Common Stock</t>
  </si>
  <si>
    <t>Plains GP Holdings L.P. Class A Units representing Limited Partner Interests</t>
  </si>
  <si>
    <t>PagSeguro Digital Ltd. Class A Common Shares</t>
  </si>
  <si>
    <t>Phibro Animal Health Corporation Class A Common Stock</t>
  </si>
  <si>
    <t>Western Asset Investment Grade Income Fund Inc.</t>
  </si>
  <si>
    <t>Palisade Bio Inc. Common Stock</t>
  </si>
  <si>
    <t>Paltalk Inc. Common Stock</t>
  </si>
  <si>
    <t>Pampa Energia S.A.</t>
  </si>
  <si>
    <t>Pangaea Logistics Solutions Ltd. Common Shares</t>
  </si>
  <si>
    <t>Palo Alto Networks Inc. Common Stock</t>
  </si>
  <si>
    <t>Pineapple Financial Inc. Common Stock</t>
  </si>
  <si>
    <t>PAR Technology Corporation Common Stock</t>
  </si>
  <si>
    <t>Paramount Global Class B Common Stock</t>
  </si>
  <si>
    <t>Paramount Global Class A Common Stock</t>
  </si>
  <si>
    <t>Paramount Global 5.75% Series A Mandatory Convertible Preferred Stock</t>
  </si>
  <si>
    <t>Par Pacific Holdings Inc.  Common Stock</t>
  </si>
  <si>
    <t>Passage Bio Inc. Common Stock</t>
  </si>
  <si>
    <t>UiPath Inc. Class A Common Stock</t>
  </si>
  <si>
    <t>Patrick Industries Inc. Common Stock</t>
  </si>
  <si>
    <t>PAVmed Inc. Common Stock</t>
  </si>
  <si>
    <t>PAVmed Inc. Series Z Warrant</t>
  </si>
  <si>
    <t>Paranovus Entertainment Technology Ltd. Class A Ordinary Shares</t>
  </si>
  <si>
    <t>Patria Investments Limited Class A Common Shares</t>
  </si>
  <si>
    <t>PIMCO Access Income Fund Common Shares of Beneficial Interest</t>
  </si>
  <si>
    <t>Paymentus Holdings Inc. Class A Common Stock</t>
  </si>
  <si>
    <t>Paycom Software Inc. Common Stock</t>
  </si>
  <si>
    <t>Payoneer Global Inc. Common Stock</t>
  </si>
  <si>
    <t>Payoneer Global Inc. Warrant</t>
  </si>
  <si>
    <t>Paysign Inc. Common Stock</t>
  </si>
  <si>
    <t>Paychex Inc. Common Stock</t>
  </si>
  <si>
    <t>Prosperity Bancshares Inc. Common Stock</t>
  </si>
  <si>
    <t>Pembina Pipeline Corp. Ordinary Shares (Canada)</t>
  </si>
  <si>
    <t>Phoenix Biotech Acquisition Corp. Class A Common Stock</t>
  </si>
  <si>
    <t>Phoenix Biotech Acquisition Corp. Warrants</t>
  </si>
  <si>
    <t>PB Bankshares Inc. Common Stock</t>
  </si>
  <si>
    <t>PBF Energy Inc. Class A Common Stock</t>
  </si>
  <si>
    <t>Pioneer Bancorp Inc. Common Stock</t>
  </si>
  <si>
    <t>Prestige Consumer Healthcare Inc. Common Stock</t>
  </si>
  <si>
    <t>Pathfinder Bancorp Inc. Common Stock (MD)</t>
  </si>
  <si>
    <t>Pitney Bowes Inc. Common Stock</t>
  </si>
  <si>
    <t>Pitney Bowes Inc 6.70% Notes Due 2043</t>
  </si>
  <si>
    <t>Panbela Therapeutics Inc. Common Stock</t>
  </si>
  <si>
    <t>Potbelly Corporation Common Stock</t>
  </si>
  <si>
    <t>Petroleo Brasileiro S.A.- Petrobras Common Stock</t>
  </si>
  <si>
    <t>Permian Basin Royalty Trust Common Stock</t>
  </si>
  <si>
    <t>Powerbridge Technologies Co. Ltd. Ordinary Shares</t>
  </si>
  <si>
    <t>Puma Biotechnology Inc Common Stock</t>
  </si>
  <si>
    <t>PACCAR Inc. Common Stock</t>
  </si>
  <si>
    <t>PCB Bancorp Common Stock</t>
  </si>
  <si>
    <t>High Income Securities Fund Common Stock</t>
  </si>
  <si>
    <t>Pacific Gas &amp; Electric Co. Common Stock</t>
  </si>
  <si>
    <t>Pacific Gas &amp; Electric Co. 6% Preferred Stock</t>
  </si>
  <si>
    <t>Pacific Gas &amp; Electric Co. 5 1/2% Preferred Stock</t>
  </si>
  <si>
    <t>Pacific Gas &amp; Electric Co. 5% 1st Preferred Stock</t>
  </si>
  <si>
    <t>Pacific Gas &amp; Electric Co. 5% 1st  Red. Preferred Stock</t>
  </si>
  <si>
    <t>Pacific Gas &amp; Electric Co. 5% 1st A Preferred Stock</t>
  </si>
  <si>
    <t>Pacific Gas &amp; Electric Co. 4.80% 1st Preferred Stock</t>
  </si>
  <si>
    <t>Pacific Gas &amp; Electric Co. 4.50% 1st Preferred Stock</t>
  </si>
  <si>
    <t>Pacific Gas &amp; Electric Co. 4.36% 1st Preferred Stock</t>
  </si>
  <si>
    <t>PotlatchDeltic Corporation Common Stock</t>
  </si>
  <si>
    <t>Pimco California Municipal Income Fund II Common Shares of Beneficial Interest</t>
  </si>
  <si>
    <t>PCM Fund Inc. Common Stock</t>
  </si>
  <si>
    <t>Pimco Corporate &amp; Income Strategy Fund Common Stock</t>
  </si>
  <si>
    <t>Procore Technologies Inc. Common Stock</t>
  </si>
  <si>
    <t>PIMCO California Municipal Income Fund Common Stock</t>
  </si>
  <si>
    <t>Pacira BioSciences Inc. Common Stock</t>
  </si>
  <si>
    <t>Processa Pharmaceuticals Inc. Common Stock</t>
  </si>
  <si>
    <t>PureCycle Technologies Inc. Common stock</t>
  </si>
  <si>
    <t>PureCycle Technologies Inc. Unit</t>
  </si>
  <si>
    <t>PureCycle Technologies Inc. Warrant</t>
  </si>
  <si>
    <t>Paylocity Holding Corporation Common Stock</t>
  </si>
  <si>
    <t>Vaxcyte Inc. Common Stock</t>
  </si>
  <si>
    <t>Pure Cycle Corporation Common Stock</t>
  </si>
  <si>
    <t>PagerDuty Inc. Common Stock</t>
  </si>
  <si>
    <t>Patterson Companies Inc. Common Stock</t>
  </si>
  <si>
    <t>PDD Holdings Inc. American Depositary Shares</t>
  </si>
  <si>
    <t>Pro-Dex Inc. Common Stock</t>
  </si>
  <si>
    <t>PDF Solutions Inc. Common Stock</t>
  </si>
  <si>
    <t>PIMCO Dynamic Income Fund Common Stock</t>
  </si>
  <si>
    <t>Ponce Financial Group Inc. Common Stock</t>
  </si>
  <si>
    <t>Piedmont Office Realty Trust Inc. Class A Common Stock</t>
  </si>
  <si>
    <t>PIMCO Dynamic Income Opportunities Fund Common Shares of Beneficial Interest</t>
  </si>
  <si>
    <t>Precision Drilling Corporation Common Stock</t>
  </si>
  <si>
    <t>PDS Biotechnology Corporation Common Stock</t>
  </si>
  <si>
    <t>John Hancock Premium Dividend Fund</t>
  </si>
  <si>
    <t>PIMCO Dynamic Income Strategy Fund Common Shares of Beneficial Interest</t>
  </si>
  <si>
    <t>Healthpeak Properties Inc. Common Stock</t>
  </si>
  <si>
    <t>Pebblebrook Hotel Trust Common Shares of Beneficial Interest</t>
  </si>
  <si>
    <t>Pebblebrook Hotel Trust 6.375% Series E Cumulative Redeemable Preferred Shares of Beneficial Interest</t>
  </si>
  <si>
    <t>Pebblebrook Hotel Trust 6.3% Series F Cumulative Redeemable Preferred Shares of Beneficial Interest</t>
  </si>
  <si>
    <t>Pebblebrook Hotel Trust 6.375% Series G Cumulative Redeemable Preferred Shares of Beneficial Interest</t>
  </si>
  <si>
    <t>Pebblebrook Hotel Trust 5.700% Series H Cumulative Redeemable Preferred Shares of Beneficial Interest</t>
  </si>
  <si>
    <t>Peoples Bancorp of North Carolina Inc. Common Stock</t>
  </si>
  <si>
    <t>Peoples Bancorp Inc. Common Stock</t>
  </si>
  <si>
    <t>Phillips Edison &amp; Company Inc. Common Stock</t>
  </si>
  <si>
    <t>Pedevco Corp. Common Stock</t>
  </si>
  <si>
    <t>Public Service Enterprise Group Incorporated Common Stock</t>
  </si>
  <si>
    <t>Pegasystems Inc. Common Stock</t>
  </si>
  <si>
    <t>Project Energy Reimagined Acquisition Corp. Class A Ordinary Share</t>
  </si>
  <si>
    <t>Project Energy Reimagined Acquisition Corp. Unit</t>
  </si>
  <si>
    <t>Project Energy Reimagined Acquisition Corp. Warrant</t>
  </si>
  <si>
    <t>Pineapple Energy Inc. Common Stock</t>
  </si>
  <si>
    <t>Penumbra Inc. Common Stock</t>
  </si>
  <si>
    <t>PENN Entertainment Inc. Common Stock</t>
  </si>
  <si>
    <t>Adams Natural Resources Fund Inc. Common Stock</t>
  </si>
  <si>
    <t>PepsiCo Inc. Common Stock</t>
  </si>
  <si>
    <t>PepGen Inc. Common Stock</t>
  </si>
  <si>
    <t>PepperLime Health Acquisition Corporation Class A Ordinary Share</t>
  </si>
  <si>
    <t>Perfect Corp. Class A Ordinary Share</t>
  </si>
  <si>
    <t>Perion Network Ltd. Ordinary Shares</t>
  </si>
  <si>
    <t>Perma-Fix Environmental Services Inc. Common Stock</t>
  </si>
  <si>
    <t>Wag! Group Co. Common Stock</t>
  </si>
  <si>
    <t>PetIQ Inc. Class A Common Stock</t>
  </si>
  <si>
    <t>PetMed Express Inc. Common Stock</t>
  </si>
  <si>
    <t>PetVivo Holdings Inc. Common Stock</t>
  </si>
  <si>
    <t>Wag! Group Co Warrant</t>
  </si>
  <si>
    <t>TDH Holdings Inc. Common Shares</t>
  </si>
  <si>
    <t>Phoenix Motor Inc. Common Stock</t>
  </si>
  <si>
    <t>Preferred Bank Common Stock</t>
  </si>
  <si>
    <t>Premier Financial Corp. Common Stock</t>
  </si>
  <si>
    <t>Flaherty &amp; Crumrine Preferred and Income Fund Incorporated</t>
  </si>
  <si>
    <t>Pfizer Inc. Common Stock</t>
  </si>
  <si>
    <t>Principal Financial Group Inc Common Stock</t>
  </si>
  <si>
    <t>Performance Food Group Company Common Stock</t>
  </si>
  <si>
    <t>Prudential Financial Inc. 4.125% Junior Subordinated Notes due 2060</t>
  </si>
  <si>
    <t>Profire Energy Inc. Common Stock</t>
  </si>
  <si>
    <t>Peoples Financial Services Corp. Common Stock</t>
  </si>
  <si>
    <t>PIMCO Income Strategy Fund Shares of Beneficial Interest</t>
  </si>
  <si>
    <t>PennantPark Floating Rate Capital Ltd. Common Stock</t>
  </si>
  <si>
    <t>Performant Financial Corporation Common Stock</t>
  </si>
  <si>
    <t>PIMCO Income Strategy Fund II</t>
  </si>
  <si>
    <t>Flaherty &amp; Crumrine Preferred and Income Opportunity Fund Incorporated</t>
  </si>
  <si>
    <t>Provident Financial Services Inc Common Stock</t>
  </si>
  <si>
    <t>PennyMac Financial Services Inc. Common Stock</t>
  </si>
  <si>
    <t>Perception Capital Corp. III Class A Ordinary Share</t>
  </si>
  <si>
    <t>Perception Capital Corp. III Unit</t>
  </si>
  <si>
    <t>Perception Capital Corp. III Warrant</t>
  </si>
  <si>
    <t>PhenixFIN Corporation Common Stock</t>
  </si>
  <si>
    <t>PhenixFIN Corporation  5.25% Notes due 2028</t>
  </si>
  <si>
    <t>Procter &amp; Gamble Company (The) Common Stock</t>
  </si>
  <si>
    <t>Peapack-Gladstone Financial Corporation Common Stock</t>
  </si>
  <si>
    <t>Precigen Inc. Common Stock</t>
  </si>
  <si>
    <t>Progyny Inc. Common Stock</t>
  </si>
  <si>
    <t>Pimco Global StocksPlus &amp; Income Fund Common Shares of Beneficial Interest</t>
  </si>
  <si>
    <t>Progressive Corporation (The) Common Stock</t>
  </si>
  <si>
    <t>Paramount Group Inc. Common Stock</t>
  </si>
  <si>
    <t>PropertyGuru Group Limited Ordinary Shares</t>
  </si>
  <si>
    <t>PGT Innovations Inc.</t>
  </si>
  <si>
    <t>Pagaya Technologies Ltd. Class A Ordinary Shares</t>
  </si>
  <si>
    <t>Pagaya Technologies Ltd. Warrants</t>
  </si>
  <si>
    <t>Principal Real Estate Income Fund Common Shares of Beneficial Interest</t>
  </si>
  <si>
    <t>Parker-Hannifin Corporation Common Stock</t>
  </si>
  <si>
    <t>Pharming Group N.V. ADS each representing 10 ordinary shares</t>
  </si>
  <si>
    <t>Phathom Pharmaceuticals Inc. Common Stock</t>
  </si>
  <si>
    <t>Pioneer Floating Rate Fund Inc.</t>
  </si>
  <si>
    <t>Koninklijke Philips N.V. NY Registry Shares</t>
  </si>
  <si>
    <t>BiomX Inc. COmmon Stock</t>
  </si>
  <si>
    <t>PLDT Inc. Sponsored ADR</t>
  </si>
  <si>
    <t>PHINIA Inc. Common Stock</t>
  </si>
  <si>
    <t>Phio Pharmaceuticals Corp. Common Stock</t>
  </si>
  <si>
    <t>Pimco High Income Fund</t>
  </si>
  <si>
    <t>PulteGroup Inc. Common Stock</t>
  </si>
  <si>
    <t>Phreesia Inc. Common Stock</t>
  </si>
  <si>
    <t>Pioneer High Income Fund Inc.</t>
  </si>
  <si>
    <t>Phunware Inc. Common Stock</t>
  </si>
  <si>
    <t>Pharvaris N.V. Ordinary Shares</t>
  </si>
  <si>
    <t>PHX Minerals Inc. Common Stock</t>
  </si>
  <si>
    <t>PHAXIAM Therapeutics S.A.. American Depositary Shares</t>
  </si>
  <si>
    <t>Pyrophyte Acquisition Corp. Class A Ordinary Shares</t>
  </si>
  <si>
    <t>Impinj Inc. Common Stock</t>
  </si>
  <si>
    <t>Polaris Inc. Common Stock</t>
  </si>
  <si>
    <t>P3 Health Partners Inc. Class A Common Stock</t>
  </si>
  <si>
    <t>Kidpik Corp. Common Stock</t>
  </si>
  <si>
    <t>Putnam Master Intermediate Income Trust Common Stock</t>
  </si>
  <si>
    <t>Premier Inc. Class A Common Stock</t>
  </si>
  <si>
    <t>Alpine Income Property Trust Inc. Common Stock</t>
  </si>
  <si>
    <t>Pinterest Inc. Class A Common Stock</t>
  </si>
  <si>
    <t>Piper Sandler Companies Common Stock</t>
  </si>
  <si>
    <t>Pieris Pharmaceuticals Inc. Common Stock</t>
  </si>
  <si>
    <t>ShiftPixy Inc. Common Stock</t>
  </si>
  <si>
    <t>PJT Partners Inc. Class A Common Stock</t>
  </si>
  <si>
    <t xml:space="preserve">Park Hotels &amp; Resorts Inc. Common Stock </t>
  </si>
  <si>
    <t>Parke Bancorp Inc. Common Stock</t>
  </si>
  <si>
    <t>Park Aerospace Corp. Common Stock</t>
  </si>
  <si>
    <t>Packaging Corporation of America Common Stock</t>
  </si>
  <si>
    <t>Park-Ohio Holdings Corp. Common Stock</t>
  </si>
  <si>
    <t>Peakstone Realty Trust Common Shares</t>
  </si>
  <si>
    <t>POSCO Holdings Inc. American Depositary Shares (Each representing 1/4th of a share of Common Stock)</t>
  </si>
  <si>
    <t>Planet Labs PBC Class A Common Stock</t>
  </si>
  <si>
    <t>Photronics Inc. Common Stock</t>
  </si>
  <si>
    <t>Planet Green Holdings Corp. Common Stock</t>
  </si>
  <si>
    <t>Patria Latin American Opportunity Acquisition Corp. Class A Ordinary Shares</t>
  </si>
  <si>
    <t>Dave &amp; Buster's Entertainment Inc. Common Stock</t>
  </si>
  <si>
    <t>Plumas Bancorp</t>
  </si>
  <si>
    <t>PLBY Group Inc. Common Stock</t>
  </si>
  <si>
    <t>Children's Place Inc. (The) Common Stock</t>
  </si>
  <si>
    <t>Prologis Inc. Common Stock</t>
  </si>
  <si>
    <t>Platinum Group Metals Ltd. Ordinary Shares (Canada)</t>
  </si>
  <si>
    <t>Piedmont Lithium Inc. Common Stock</t>
  </si>
  <si>
    <t>Plum Acquisition Corp. I Class A Ordinary Share</t>
  </si>
  <si>
    <t>Plum Acquisition Corp. I Warrant</t>
  </si>
  <si>
    <t>Palomar Holdings Inc. Common stock</t>
  </si>
  <si>
    <t>Planet Fitness Inc. Common Stock</t>
  </si>
  <si>
    <t>Douglas Dynamics Inc. Common Stock</t>
  </si>
  <si>
    <t>Preformed Line Products Company Common Stock</t>
  </si>
  <si>
    <t>Pliant Therapeutics Inc. Common Stock</t>
  </si>
  <si>
    <t>Pulse Biosciences Inc Common Stock (DE)</t>
  </si>
  <si>
    <t>Playtika Holding Corp. Common Stock</t>
  </si>
  <si>
    <t>Plutonian Acquisition Corp. Common Stock</t>
  </si>
  <si>
    <t>Plutonian Acquisition Corp. Rights</t>
  </si>
  <si>
    <t>Plutonian Acquisition Corp. Unit</t>
  </si>
  <si>
    <t>Plutonian Acquisition Corp. Warrant</t>
  </si>
  <si>
    <t>Palantir Technologies Inc. Class A Common Stock</t>
  </si>
  <si>
    <t>Plug Power Inc. Common Stock</t>
  </si>
  <si>
    <t>Pluri Inc. Common Stock</t>
  </si>
  <si>
    <t>ePlus inc. Common Stock</t>
  </si>
  <si>
    <t>Protalix BioTherapeutics Inc. (DE) Common Stock</t>
  </si>
  <si>
    <t>Plexus Corp. Common Stock</t>
  </si>
  <si>
    <t>Playa Hotels &amp; Resorts N.V. Ordinary Shares</t>
  </si>
  <si>
    <t>Plymouth Industrial REIT Inc. Common Stock</t>
  </si>
  <si>
    <t>Philip Morris International Inc Common Stock</t>
  </si>
  <si>
    <t>PharmaCyte  Biotech Inc. Common Stock</t>
  </si>
  <si>
    <t>Psychemedics Corporation</t>
  </si>
  <si>
    <t>Primech Holdings Ltd. Ordinary Shares</t>
  </si>
  <si>
    <t>PIMCO Municipal Income Fund Common Stock</t>
  </si>
  <si>
    <t>Priveterra Acquisition Corp. II Class A Common Stock</t>
  </si>
  <si>
    <t>Priveterra Acquisition Corp. II Warrant to purchase Class A common stock</t>
  </si>
  <si>
    <t>Pimco Municipal Income Fund II Common Shares of Beneficial Interest</t>
  </si>
  <si>
    <t>Putnam Managed Municipal Income Trust Common Stock</t>
  </si>
  <si>
    <t>ProMIS Neurosciences Inc. Common Shares (ON)</t>
  </si>
  <si>
    <t>Putnam Municipal Opportunities Trust Common Stock</t>
  </si>
  <si>
    <t>PennyMac Mortgage Investment Trust Common Shares of Beneficial Interest</t>
  </si>
  <si>
    <t>PennyMac Mortgage Investment Trust 8.125% Series A Fixed-to-Floating Rate Cumulative Redeemable Preferred Shares of Beneficial Interest</t>
  </si>
  <si>
    <t>PennyMac Mortgage Investment Trust 8.00% Series B Fixed-to-Floating Rate Cumulative Redeemable Preferred Shares of Beneficial Interest</t>
  </si>
  <si>
    <t>PennyMac Mortgage Investment Trust 6.75% Series C Cumulative Redeemable Preferred Shares of Beneficial Interest</t>
  </si>
  <si>
    <t>CPI Card Group Inc. Common Stock</t>
  </si>
  <si>
    <t>PennyMac Mortgage Investment Trust 8.50% Senior Notes due 2028</t>
  </si>
  <si>
    <t>PMV Pharmaceuticals Inc. Common Stock</t>
  </si>
  <si>
    <t>PIMCO Municipal Income Fund III Common Shares of Beneficial Interest</t>
  </si>
  <si>
    <t>Patriot National Bancorp Inc. Common Stock</t>
  </si>
  <si>
    <t>PNC Financial Services Group Inc. (The) Common Stock</t>
  </si>
  <si>
    <t>PIMCO New York Municipal Income Fund Common Stock</t>
  </si>
  <si>
    <t>Pinnacle Financial Partners Inc. Common Stock</t>
  </si>
  <si>
    <t>Pinnacle Financial Partners Inc. Depositary shares of Pinnacle Financial Partners Inc. each representing a 1/40th Interest in a share of its 6.75% Fixed-Rate Non-Cumulative Perpetual Preferred Stock Series B</t>
  </si>
  <si>
    <t>Pimco New York Municipal Income Fund II Common Shares of Beneficial Interest</t>
  </si>
  <si>
    <t>PNM Resources Inc. (Holding Co.) Common Stock</t>
  </si>
  <si>
    <t>PennantPark Investment Corporation Common Stock</t>
  </si>
  <si>
    <t>Pentair plc. Ordinary Share</t>
  </si>
  <si>
    <t>PrimeEnergy Resources Corporation Common Stock</t>
  </si>
  <si>
    <t>Pinstripes Holdings Inc. Class A Common Stock</t>
  </si>
  <si>
    <t xml:space="preserve">The Pennant Group Inc. Common Stock </t>
  </si>
  <si>
    <t>Pinnacle West Capital Corporation Common Stock</t>
  </si>
  <si>
    <t>Predictive Oncology Inc. Common Stock</t>
  </si>
  <si>
    <t>Precision Optics Corporation Inc. Common stock</t>
  </si>
  <si>
    <t>PodcastOne Inc. Common Stock</t>
  </si>
  <si>
    <t>Insulet Corporation Common Stock</t>
  </si>
  <si>
    <t>POET Technologies Inc. Common Shares</t>
  </si>
  <si>
    <t>Polished Inc. Common Stock</t>
  </si>
  <si>
    <t>Polar Power Inc. Common Stock</t>
  </si>
  <si>
    <t>Pool Corporation Common Stock</t>
  </si>
  <si>
    <t>Portland General Electric Co Common Stock</t>
  </si>
  <si>
    <t>Southport Acquisition Corporation Class A Common Stock</t>
  </si>
  <si>
    <t>Post Holdings Inc. Common Stock</t>
  </si>
  <si>
    <t>Power Integrations Inc. Common Stock</t>
  </si>
  <si>
    <t>Powell Industries Inc. Common Stock</t>
  </si>
  <si>
    <t>AMMO Inc. Common Stock</t>
  </si>
  <si>
    <t>AMMO Inc. 8.75% Series A Cumulative Redeemable Perpetual Preferred Stock</t>
  </si>
  <si>
    <t>Pacific Premier Bancorp Inc</t>
  </si>
  <si>
    <t>Purple Biotech Ltd. American Depositary Shares</t>
  </si>
  <si>
    <t>Pilgrim's Pride Corporation Common Stock</t>
  </si>
  <si>
    <t>PPG Industries Inc. Common Stock</t>
  </si>
  <si>
    <t>PHP Ventures Acquisition Corp. Class A Common Stock</t>
  </si>
  <si>
    <t>PHP Ventures Acquisition Corp. Rights</t>
  </si>
  <si>
    <t>Perma-Pipe International Holdings Inc. Common Stock</t>
  </si>
  <si>
    <t>PPL Corporation Common Stock</t>
  </si>
  <si>
    <t>Pioneer Power Solutions Inc. Common Stock</t>
  </si>
  <si>
    <t>Putnam Premier Income Trust Common Stock</t>
  </si>
  <si>
    <t>Perpetua Resources Corp. Common Shares</t>
  </si>
  <si>
    <t>Papaya Growth Opportunity Corp. I Class A Common Stock</t>
  </si>
  <si>
    <t>Papaya Growth Opportunity Corp. I Warrant</t>
  </si>
  <si>
    <t>Permian Resources Corporation Class A Common Stock</t>
  </si>
  <si>
    <t>ProAssurance Corporation Common Stock</t>
  </si>
  <si>
    <t>PRA Group Inc. Common Stock</t>
  </si>
  <si>
    <t>Praxis Precision Medicines Inc. Common Stock</t>
  </si>
  <si>
    <t>Porch Group Inc. Common Stock</t>
  </si>
  <si>
    <t>PROCEPT BioRobotics Corporation Common Stock</t>
  </si>
  <si>
    <t>Perdoceo Education Corporation Common Stock</t>
  </si>
  <si>
    <t>Prenetics Global Limited Class A Ordinary Share</t>
  </si>
  <si>
    <t>PartnerRe Ltd. 4.875% Fixed Rate Non-Cumulative Redeemable Preferred Shares Series J</t>
  </si>
  <si>
    <t>Prenetics Global Limited Warrant</t>
  </si>
  <si>
    <t>Perficient Inc. Common Stock</t>
  </si>
  <si>
    <t>PainReform Ltd. Ordinary Shares</t>
  </si>
  <si>
    <t>PROG Holdings Inc. Common Stock</t>
  </si>
  <si>
    <t>Perrigo Company plc Ordinary Shares</t>
  </si>
  <si>
    <t>Progress Software Corporation Common Stock (DE)</t>
  </si>
  <si>
    <t>Prudential Financial Inc. 5.950% Junior Subordinated Notes due 2062</t>
  </si>
  <si>
    <t>Primerica Inc. Common Stock</t>
  </si>
  <si>
    <t>Priority Income Fund Inc. 7.00% Series D Term Preferred Stock due 2029</t>
  </si>
  <si>
    <t>Priority Income Fund Inc. 6.625% Series F Term Preferred Stock due 2027</t>
  </si>
  <si>
    <t>Priority Income Fund Inc. 6.25% Series G Preferred Stock Due 2026</t>
  </si>
  <si>
    <t>Priority Income Fund Inc. 6.00% Series H Term Preferred Stock due 2026</t>
  </si>
  <si>
    <t>Priority Income Fund Inc. 6.125% Series I Term Preferred Stock due 2028</t>
  </si>
  <si>
    <t>Priority Income Fund Inc. 6.000% Series J Term Preferred Stock due 2028</t>
  </si>
  <si>
    <t>Priority Income Fund Inc. 7.000% Series K Cumulative Preferred Stock</t>
  </si>
  <si>
    <t>Priority Income Fund Inc. 6.375% Series L Term Preferred Stock Due 2029</t>
  </si>
  <si>
    <t>Primoris Services Corporation Common Stock</t>
  </si>
  <si>
    <t>Park National Corporation Common Stock</t>
  </si>
  <si>
    <t>Proto Labs Inc. Common stock</t>
  </si>
  <si>
    <t>Prelude Therapeutics Incorporated Common Stock</t>
  </si>
  <si>
    <t>Pearl Holdings Acquisition Corp Class A Ordinary Shares</t>
  </si>
  <si>
    <t>Perimeter Solutions SA Ordinary Shares</t>
  </si>
  <si>
    <t>Prime Medicine Inc. Common Stock</t>
  </si>
  <si>
    <t>Primo Water Corporation Common Stock</t>
  </si>
  <si>
    <t>PROS Holdings Inc. Common Stock</t>
  </si>
  <si>
    <t>Procaps Group S.A. Ordinary Shares</t>
  </si>
  <si>
    <t>Procaps Group S.A. Warrants</t>
  </si>
  <si>
    <t>Profound Medical Corp. Common Stock</t>
  </si>
  <si>
    <t>ProKidney Corp. Class A Ordinary Shares</t>
  </si>
  <si>
    <t>Prairie Operating Co. Common Stock</t>
  </si>
  <si>
    <t>Provident Financial Holdings Inc. Common Stock</t>
  </si>
  <si>
    <t>ProPhase Labs Inc. Common Stock (DE)</t>
  </si>
  <si>
    <t>Purple Innovation Inc. Common Stock</t>
  </si>
  <si>
    <t>Precipio Inc.  Common Stock</t>
  </si>
  <si>
    <t>ProQR Therapeutics N.V. Ordinary Shares</t>
  </si>
  <si>
    <t>Prudential Financial Inc. 5.625% Junior Subordinated Notes due 2058</t>
  </si>
  <si>
    <t>Peraso Inc. Common Stock</t>
  </si>
  <si>
    <t>Presto Automation Inc. Common Stock</t>
  </si>
  <si>
    <t>Presto Automation Inc. Warrant</t>
  </si>
  <si>
    <t>PermRock Royalty Trust Trust Units</t>
  </si>
  <si>
    <t>Prothena Corporation plc Ordinary Shares</t>
  </si>
  <si>
    <t>PureTech Health plc American Depositary Shares</t>
  </si>
  <si>
    <t>Portage Biotech Inc. Common Stock</t>
  </si>
  <si>
    <t>Priority Technology Holdings Inc. Common Stock</t>
  </si>
  <si>
    <t>CarParts.com Inc. Common Stock</t>
  </si>
  <si>
    <t>Prudential Financial Inc. Common Stock</t>
  </si>
  <si>
    <t>Privia Health Group Inc. Common Stock</t>
  </si>
  <si>
    <t>ParaZero Technologies Ltd. Ordinary Shares</t>
  </si>
  <si>
    <t>Public Storage Common Stock</t>
  </si>
  <si>
    <t>Public Storage Depositary Shares Each Representing 1/1000 of a 5.15% Cumulative Preferred Share of Beneficial Interest Series F par value $0.01 per share</t>
  </si>
  <si>
    <t>Public Storage Depositary Shares Each Representing 1/1000 of a 5.05% Cumulative Preferred Share of Beneficial Interest Series G</t>
  </si>
  <si>
    <t>Public Storage Depositary Shares Each Representing 1/1000 of a  5.60% Cumulative Preferred  Share of Beneficial Interest Series H</t>
  </si>
  <si>
    <t>Public Storage Depositary Shares Each Representing 1/1000 of a 4.875% Cumulative Preferred Share of Beneficial Interest Series I par value $0.01 per share</t>
  </si>
  <si>
    <t>Public Storage Depositary Shares Each Representing 1/1000 of a 4.700% Cumulative Preferred Share of Beneficial Interest Series J par value $0.01 per share</t>
  </si>
  <si>
    <t>Public Storage Depositary Shares Each Representing 1/1000 of a 4.75% Cumulative Preferred Share of Beneficial Interest Series K</t>
  </si>
  <si>
    <t>Public Storage Depositary Shares Each Representing 1/1000 of a 4.625% Cumulative Preferred Share of Beneficial Interest Series L par value $0.01 per share</t>
  </si>
  <si>
    <t>Public Storage Depositary Shares Each Representing 1/1000 of a 4.125% Cumulative Preferred Share of Beneficial Interest Series M</t>
  </si>
  <si>
    <t>Public Storage Depositary Shares Each Representing 1/1000 of a 3.875% Cumulative Preferred Share of Beneficial Interest Series N</t>
  </si>
  <si>
    <t>Public Storage Depositary Shares Each Representing 1/1000 of a 3.900% Cumulative Preferred Share of Beneficial Interest Series O</t>
  </si>
  <si>
    <t>Public Storage Depositary Shares Each Representing 1/1000 of a 4.000% Cumulative Preferred Share of Bene cial Interest Series P</t>
  </si>
  <si>
    <t>Public Storage Depositary Shares Each Representing 1/1000 of a 3.950% Cumulative Preferred Share of Beneficial Interest Series Q par value $0.01 per share</t>
  </si>
  <si>
    <t>Public Storage Depositary Shares Each Representing 1/1000 of a 4.00% Cumulative Preferred Share of Bene cial Interest Series R</t>
  </si>
  <si>
    <t>Public Storage Depositary Shares Each Representing 1/1000 of a 4.100% Cumulative Preferred Share of Beneficial Interest Series S</t>
  </si>
  <si>
    <t>Prospect Capital Corporation Common Stock</t>
  </si>
  <si>
    <t>Prospect Capital Corporation 5.35% Series A Fixed Rate Cumulative Perpetual Preferred Stock</t>
  </si>
  <si>
    <t>Cohen &amp; Steers Select Preferred and Income Fund Inc. Common Stock</t>
  </si>
  <si>
    <t>Paysafe Limited Common Shares</t>
  </si>
  <si>
    <t>Performance Shipping Inc. Common Shares</t>
  </si>
  <si>
    <t>PriceSmart Inc. Common Stock</t>
  </si>
  <si>
    <t>Parsons Corporation Common Stock</t>
  </si>
  <si>
    <t>Personalis Inc. Common Stock</t>
  </si>
  <si>
    <t>Polestar Automotive Holding UK PLC Class A ADS</t>
  </si>
  <si>
    <t>Polestar Automotive Holding UK PLC Class C-1 ADS (ADW)</t>
  </si>
  <si>
    <t>Pearson Plc Common Stock</t>
  </si>
  <si>
    <t>PSQ Holdings Inc. Class A Common Stock</t>
  </si>
  <si>
    <t>Pure Storage Inc. Class A Common Stock</t>
  </si>
  <si>
    <t>Postal Realty Trust Inc. Class A Common Stock</t>
  </si>
  <si>
    <t xml:space="preserve">PLUS THERAPEUTICS Inc. Common Stock </t>
  </si>
  <si>
    <t>Poseida Therapeutics Inc. Common Stock</t>
  </si>
  <si>
    <t>Phillips 66 Common Stock</t>
  </si>
  <si>
    <t>Pintec Technology Holdings Limited American Depositary Shares</t>
  </si>
  <si>
    <t>Cohen &amp; Steers Tax-Advantaged Preferred Securities and Income Fund Common Shares of Beneficial Interest</t>
  </si>
  <si>
    <t>PTC Inc. Common Stock</t>
  </si>
  <si>
    <t>PTC Therapeutics Inc. Common Stock</t>
  </si>
  <si>
    <t>Patterson-UTI Energy Inc. Common Stock</t>
  </si>
  <si>
    <t>Protagonist Therapeutics Inc. Common Stock</t>
  </si>
  <si>
    <t>Pono Capital Three Inc. Class A Ordinary Shares</t>
  </si>
  <si>
    <t>Pono Capital Three Inc. Unit</t>
  </si>
  <si>
    <t>Pono Capital Three Inc. Warrant</t>
  </si>
  <si>
    <t>Protagenic Therapeutics Inc. Common Stock</t>
  </si>
  <si>
    <t>Protagenic Therapeutics Inc. Warrant</t>
  </si>
  <si>
    <t>Portillo's Inc. Class A Common Stock</t>
  </si>
  <si>
    <t>Portman Ridge Finance Corporation Common Stock</t>
  </si>
  <si>
    <t>Palatin Technologies Inc. Common Stock</t>
  </si>
  <si>
    <t>Peloton Interactive Inc. Class A Common Stock</t>
  </si>
  <si>
    <t>Petros Pharmaceuticals Inc. Common Stock</t>
  </si>
  <si>
    <t>P.A.M. Transportation Services Inc. Common Stock</t>
  </si>
  <si>
    <t>Pactiv Evergreen Inc. Common stock</t>
  </si>
  <si>
    <t>Pono Capital Two Inc. Class A Common Stock</t>
  </si>
  <si>
    <t>Pono Capital Two Inc. Warrants</t>
  </si>
  <si>
    <t>Pimco Corporate &amp; Income Opportunity Fund</t>
  </si>
  <si>
    <t>PubMatic Inc. Class A Common Stock</t>
  </si>
  <si>
    <t>Prudential Public Limited Company Common Stock</t>
  </si>
  <si>
    <t>Pulmatrix Inc. Common Stock</t>
  </si>
  <si>
    <t>ProPetro Holding Corp. Common Stock</t>
  </si>
  <si>
    <t>Puyi Inc. American Depository Shares</t>
  </si>
  <si>
    <t>Provident Bancorp Inc. (MD) Common Stock</t>
  </si>
  <si>
    <t>PVH Corp. Common Stock</t>
  </si>
  <si>
    <t xml:space="preserve">Permianville Royalty Trust Trust Units </t>
  </si>
  <si>
    <t>Power REIT (MD) Common Stock</t>
  </si>
  <si>
    <t>Power REIT 7.75% Series A Cumulative Perpetual Preferred Stock</t>
  </si>
  <si>
    <t>PowerFleet Inc. Common Stock</t>
  </si>
  <si>
    <t>Prestige Wealth Inc. Ordinary Shares</t>
  </si>
  <si>
    <t>Penns Woods Bancorp Inc. Common Stock</t>
  </si>
  <si>
    <t>Perella Weinberg Partners Class A Common Stock</t>
  </si>
  <si>
    <t>Quanta Services Inc. Common Stock</t>
  </si>
  <si>
    <t>PowerSchool Holdings Inc. Class A Common Stock</t>
  </si>
  <si>
    <t>PowerUp Acquisition Corp. Class A Ordinary Shares</t>
  </si>
  <si>
    <t>PowerUp Acquisition Corp. Unit</t>
  </si>
  <si>
    <t>PowerUp Acquisition Corp. Warrant</t>
  </si>
  <si>
    <t>P10 Inc. Class A Common Stock</t>
  </si>
  <si>
    <t>Pioneer Natural Resources Company Common Stock</t>
  </si>
  <si>
    <t xml:space="preserve">Pixie Dust Technologies Inc. American Depositary Shares </t>
  </si>
  <si>
    <t>Pixelworks Inc.  Common Stock</t>
  </si>
  <si>
    <t>PaxMedica Inc. Common Stock</t>
  </si>
  <si>
    <t>Pyxis Tankers Inc. Common Stock</t>
  </si>
  <si>
    <t>Pyxis Tankers Inc. 7.75% Series A Cumulative Convertible Preferred Shares</t>
  </si>
  <si>
    <t>Pyxis Tankers Inc. Warrant</t>
  </si>
  <si>
    <t>Paycor HCM Inc. Common Stock</t>
  </si>
  <si>
    <t>PIMCO New York Municipal Income Fund III Common Shares of Beneficial Interest</t>
  </si>
  <si>
    <t>PolyPid Ltd. Ordinary Shares</t>
  </si>
  <si>
    <t>PayPal Holdings Inc. Common Stock</t>
  </si>
  <si>
    <t>Pyxis Oncology Inc. Common Stock</t>
  </si>
  <si>
    <t>PIMCO California Municipal Income Fund III Common Shares of Beneficial Interest</t>
  </si>
  <si>
    <t>Paramount Gold Nevada Corp. Common Stock</t>
  </si>
  <si>
    <t>Papa John's International Inc. Common Stock</t>
  </si>
  <si>
    <t>D-Wave Quantum Inc. Common Shares</t>
  </si>
  <si>
    <t>QUALCOMM Incorporated Common Stock</t>
  </si>
  <si>
    <t>QCR Holdings Inc. Common Stock</t>
  </si>
  <si>
    <t>Qudian Inc. American Depositary Shares each representing one Class A Ordinary Share</t>
  </si>
  <si>
    <t>QuidelOrtho Corporation Common Stock</t>
  </si>
  <si>
    <t>Quadro Acquisition One Corp. Unit</t>
  </si>
  <si>
    <t>Quadro Acquisition One Corp.  Warrant</t>
  </si>
  <si>
    <t>Quetta Acquisition Corporation Common Stock</t>
  </si>
  <si>
    <t>Quetta Acquisition Corporation Right</t>
  </si>
  <si>
    <t>Quetta Acquisition Corporation Unit</t>
  </si>
  <si>
    <t>Qifu Technology Inc. American Depositary Shares</t>
  </si>
  <si>
    <t>Quantum FinTech Acquisition Corporation Common Stock</t>
  </si>
  <si>
    <t xml:space="preserve">Qiagen N.V. Common Shares </t>
  </si>
  <si>
    <t>Quhuo Limited American Depository Shares</t>
  </si>
  <si>
    <t>Quipt Home Medical Corp. Common Shares</t>
  </si>
  <si>
    <t>Qualigen Therapeutics Inc. Common Stock</t>
  </si>
  <si>
    <t>Qilian International Holding Group Ltd. Ordinary Shares</t>
  </si>
  <si>
    <t>Qualys Inc. Common Stock</t>
  </si>
  <si>
    <t>Quantum Corporation Common Stock</t>
  </si>
  <si>
    <t>Quince Therapeutics Inc. Common Stock</t>
  </si>
  <si>
    <t>Quoin Pharmaceuticals Ltd. American Depositary Shares</t>
  </si>
  <si>
    <t>QuinStreet Inc. Common Stock</t>
  </si>
  <si>
    <t>Qomolangma Acquisition Corp. Right</t>
  </si>
  <si>
    <t>Nuveen NASDAQ 100 Dynamic Overwrite Fund Shares of Beneficial Interest</t>
  </si>
  <si>
    <t>Quest Resource Holding Corporation Common Stock</t>
  </si>
  <si>
    <t xml:space="preserve">Qurate Retail Inc. Series A Common Stock </t>
  </si>
  <si>
    <t xml:space="preserve">Qurate Retail Inc. Series B Common Stock </t>
  </si>
  <si>
    <t>Qurate Retail Inc. 8.0% Fixed Rate Cumulative Redeemable Preferred Stock</t>
  </si>
  <si>
    <t>Qorvo Inc. Common Stock</t>
  </si>
  <si>
    <t>QuantumScape Corporation Class A Common Stock</t>
  </si>
  <si>
    <t>QuantaSing Group Limited American Depositary Shares</t>
  </si>
  <si>
    <t>Quantum-Si Incorporated Class A Common Stock</t>
  </si>
  <si>
    <t>Quantum-Si Incorporated Warrant</t>
  </si>
  <si>
    <t>Restaurant Brands International Inc. Common Shares</t>
  </si>
  <si>
    <t>Quanterix Corporation Common Stock</t>
  </si>
  <si>
    <t>Q2 Holdings Inc. Common Stock</t>
  </si>
  <si>
    <t>Quad Graphics Inc Class A Common Stock</t>
  </si>
  <si>
    <t>Quantum Computing Inc. Common Stock</t>
  </si>
  <si>
    <t>QuickLogic Corporation Common Stock</t>
  </si>
  <si>
    <t>uniQure N.V. Ordinary Shares</t>
  </si>
  <si>
    <t>QVC Inc. 6.250% Senior Secured Notes due 2068</t>
  </si>
  <si>
    <t>QVC Inc. 6.375% Senior Secured Notes due 2067</t>
  </si>
  <si>
    <t>Ryder System Inc. Common Stock</t>
  </si>
  <si>
    <t>Brookfield Real Assets Income Fund Inc. Common Stock</t>
  </si>
  <si>
    <t>Ferrari N.V. Common Shares</t>
  </si>
  <si>
    <t>FreightCar America Inc. Common Stock</t>
  </si>
  <si>
    <t>Rain Oncology Inc. Common Stock</t>
  </si>
  <si>
    <t>LiveRamp Holdings Inc. Common Stock</t>
  </si>
  <si>
    <t>Rand Capital Corporation Common Stock</t>
  </si>
  <si>
    <t>Rani Therapeutics Holdings Inc. Class A Common Stock</t>
  </si>
  <si>
    <t>RAPT Therapeutics Inc. Common Stock</t>
  </si>
  <si>
    <t>Ultragenyx Pharmaceutical Inc. Common Stock</t>
  </si>
  <si>
    <t>Rave Restaurant Group Inc. Common Stock</t>
  </si>
  <si>
    <t>Erayak Power Solution Group Inc. Class A Ordinary Shares</t>
  </si>
  <si>
    <t>RB Global Inc. Common Stock</t>
  </si>
  <si>
    <t>RBB Bancorp Common Stock</t>
  </si>
  <si>
    <t>Ribbon Communications Inc. Common Stock</t>
  </si>
  <si>
    <t>RBC Bearings Incorporated Common Stock</t>
  </si>
  <si>
    <t>Republic Bancorp Inc. Class A Common Stock</t>
  </si>
  <si>
    <t>RBC Bearings Incorporated 5.00% Series A Mandatory Convertible Preferred Stock</t>
  </si>
  <si>
    <t>Rhinebeck Bancorp Inc. Common Stock</t>
  </si>
  <si>
    <t>Roblox Corporation Class A Common Stock</t>
  </si>
  <si>
    <t>Vicarious Surgical Inc. Class A Common Stock</t>
  </si>
  <si>
    <t>Rubicon Technologies Inc. Class A Common Stock</t>
  </si>
  <si>
    <t>Ready Capital Corproation Common Stock</t>
  </si>
  <si>
    <t>Ready Capital Corporation 6.25% Series C Cumulative Convertible Preferred Stock</t>
  </si>
  <si>
    <t>Ready Capital Corporation 6.50% Series E Cumulative Redeemable Preferred Stock</t>
  </si>
  <si>
    <t>Revelstone Capital Acquisition Corp. Class A Common Stock</t>
  </si>
  <si>
    <t>Revelstone Capital Acquisition Corp. Unit</t>
  </si>
  <si>
    <t>Revelstone Capital Acquisition Corp. Warrant</t>
  </si>
  <si>
    <t>Red Cat Holdings Inc. Common Stock</t>
  </si>
  <si>
    <t>Ready Capital Corporation 6.20% Senior Notes due 2026</t>
  </si>
  <si>
    <t>Ready Capital Corporation 5.75% Senior Notes due 2026</t>
  </si>
  <si>
    <t>Avita Medical Inc. Common Stock</t>
  </si>
  <si>
    <t>RCF Acquisition Corp. Class A Ordinary Shares</t>
  </si>
  <si>
    <t>RENN Fund Inc Common Stock</t>
  </si>
  <si>
    <t>Rogers Communication Inc. Common Stock</t>
  </si>
  <si>
    <t>Rocket Pharmaceuticals Inc. Common Stock</t>
  </si>
  <si>
    <t>Rocket Pharmaceuticals Inc. Warrant</t>
  </si>
  <si>
    <t>Rocky Brands Inc. Common Stock</t>
  </si>
  <si>
    <t>Royal Caribbean Cruises Ltd. Common Stock</t>
  </si>
  <si>
    <t>R1 RCM Inc. Common Stock</t>
  </si>
  <si>
    <t>RCM Technologies Inc. Common Stock</t>
  </si>
  <si>
    <t>Recon Technology Ltd. Class A Ordinary Shares</t>
  </si>
  <si>
    <t>Recruiter.com Group Inc. Common Stock</t>
  </si>
  <si>
    <t>Recruiter.com Group Inc. Warrant</t>
  </si>
  <si>
    <t>PIMCO Strategic Income Fund Inc.</t>
  </si>
  <si>
    <t>Arcus Biosciences Inc. Common Stock</t>
  </si>
  <si>
    <t>Radcom Ltd. Ordinary Shares</t>
  </si>
  <si>
    <t>Redfin Corporation Common Stock</t>
  </si>
  <si>
    <t>Redhill Biopharma Ltd. American Depositary Shares</t>
  </si>
  <si>
    <t>Reading International Inc Class A Common Stock</t>
  </si>
  <si>
    <t>Reading International Inc Class B Common Stock</t>
  </si>
  <si>
    <t>Radian Group Inc. Common Stock</t>
  </si>
  <si>
    <t>RadNet Inc. Common Stock</t>
  </si>
  <si>
    <t>Schnitzer Steel Industries Inc. Class A Common Stock</t>
  </si>
  <si>
    <t xml:space="preserve">Red Violet Inc. Common Stock </t>
  </si>
  <si>
    <t>Redwire Corporation Common Stock</t>
  </si>
  <si>
    <t>Radware Ltd. Ordinary Shares</t>
  </si>
  <si>
    <t>Dr. Reddy's Laboratories Ltd Common Stock</t>
  </si>
  <si>
    <t>Roadzen Inc. Ordinary Shares</t>
  </si>
  <si>
    <t>Roadzen Inc. Warrants</t>
  </si>
  <si>
    <t>The RealReal Inc. Common Stock</t>
  </si>
  <si>
    <t>The Real Brokerage Inc. Common Shares</t>
  </si>
  <si>
    <t>Reborn Coffee Inc. Common Stock</t>
  </si>
  <si>
    <t>REE Automotive Ltd. Class A Ordinary Shares</t>
  </si>
  <si>
    <t>Chicago Atlantic Real Estate Finance Inc. Common Stock</t>
  </si>
  <si>
    <t>Research Frontiers Incorporated Common Stock</t>
  </si>
  <si>
    <t>Regency Centers Corporation Common Stock</t>
  </si>
  <si>
    <t>Regency Centers Corporation 5.875% Series B Cumulative Redeemable Preferred Stock</t>
  </si>
  <si>
    <t>Regency Centers Corporation 6.25% Series A Cumulative Redeemable Preferred Stock</t>
  </si>
  <si>
    <t>Regeneron Pharmaceuticals Inc. Common Stock</t>
  </si>
  <si>
    <t>Ring Energy Inc. Common Stock</t>
  </si>
  <si>
    <t>Rekor Systems Inc. Common Stock</t>
  </si>
  <si>
    <t>Reliance Global Group Inc. Common Stock</t>
  </si>
  <si>
    <t>Reliance Global Group Inc. Series A Warrants</t>
  </si>
  <si>
    <t>Richardson Electronics Ltd. Common Stock</t>
  </si>
  <si>
    <t>RELX PLC PLC American Depositary Shares (Each representing One Ordinary Share)</t>
  </si>
  <si>
    <t>Remitly Global Inc. Common Stock</t>
  </si>
  <si>
    <t>Renovaro Biosciences Inc. Common Stock</t>
  </si>
  <si>
    <t>Cartesian Growth Corporation II Class A Ordinary Shares</t>
  </si>
  <si>
    <t>Rent the Runway Inc. Class A Common Stock</t>
  </si>
  <si>
    <t>Replimune Group Inc. Common Stock</t>
  </si>
  <si>
    <t>Riley Exploration Permian Inc. Common Stock</t>
  </si>
  <si>
    <t>ATRenew Inc. American Depositary Shares (every three of which representing two Class A ordinary shares)</t>
  </si>
  <si>
    <t>RPC Inc. Common Stock</t>
  </si>
  <si>
    <t>ReTo Eco-Solutions Inc. Common Shares</t>
  </si>
  <si>
    <t>Revelation Biosciences Inc. Common Stock</t>
  </si>
  <si>
    <t>Revelation Biosciences Inc. Warrant</t>
  </si>
  <si>
    <t>REV Group Inc. Common Stock</t>
  </si>
  <si>
    <t>REX American Resources Corporation</t>
  </si>
  <si>
    <t>Rexford Industrial Realty Inc. Common Stock</t>
  </si>
  <si>
    <t>Rexford Industrial Realty Inc. 5.875% Series B Cumulative Redeemable Preferred Stock</t>
  </si>
  <si>
    <t>Rexford Industrial Realty Inc. 5.625% Series C Cumulative Redeemable Preferred Stock par value $0.01 per share</t>
  </si>
  <si>
    <t>Reynolds Consumer Products Inc. Common Stock</t>
  </si>
  <si>
    <t xml:space="preserve">Resideo Technologies Inc. Common Stock </t>
  </si>
  <si>
    <t>Regions Financial Corporation Common Stock</t>
  </si>
  <si>
    <t>Regions Financial Corporation Depositary Shares Representing 1/40th Perpetual Preferred Series B</t>
  </si>
  <si>
    <t>Regions Financial Corporation Depositary Shares each Representing a 1/40th Interest in a  Share of 5.700% Fixed-to-Floating Rate Non-Cumulative  Perpetual Preferred Stock Series C</t>
  </si>
  <si>
    <t>Regions Financial Corporation Depositary Shares Each Representing a 1/40th Interest in a Share of 4.45% Non-Cumulative Perpetual Preferred Stock Series E</t>
  </si>
  <si>
    <t>RF Acquisition Corp. Class A Common Stock</t>
  </si>
  <si>
    <t>RF Acquisition Corp. Rights</t>
  </si>
  <si>
    <t>Cohen &amp; Steers Total Return Realty Fund Inc. Common Stock</t>
  </si>
  <si>
    <t>RF Industries Ltd. Common Stock</t>
  </si>
  <si>
    <t>Rafael Holdings Inc. Class B Common Stock</t>
  </si>
  <si>
    <t>RiverNorth Flexible Municipal Income Fund Inc. Common Stock</t>
  </si>
  <si>
    <t>RiverNorth Flexible Municipal Income Fund II Inc. Common Stock</t>
  </si>
  <si>
    <t>Reinsurance Group of America Incorporated Common Stock</t>
  </si>
  <si>
    <t>Regencell Bioscience Holdings Limited Ordinary Shares</t>
  </si>
  <si>
    <t>RGC Resources Inc. Common Stock</t>
  </si>
  <si>
    <t>Repligen Corporation Common Stock</t>
  </si>
  <si>
    <t>The Real Good Food Company Inc. Class A Common Stock</t>
  </si>
  <si>
    <t>Royal Gold Inc. Common Stock</t>
  </si>
  <si>
    <t>Regulus Therapeutics Inc. Common Stock</t>
  </si>
  <si>
    <t>REGENXBIO Inc. Common Stock</t>
  </si>
  <si>
    <t>Resources Connection Inc. Common Stock</t>
  </si>
  <si>
    <t>Sturm Ruger &amp; Company Inc. Common Stock</t>
  </si>
  <si>
    <t>Regis Corporation Common Stock</t>
  </si>
  <si>
    <t>Royce Global Value Trust Inc. Common Stock</t>
  </si>
  <si>
    <t>Rigetti Computing Inc. Common Stock</t>
  </si>
  <si>
    <t>Rigetti Computing Inc. Warrants</t>
  </si>
  <si>
    <t>RH Common Stock</t>
  </si>
  <si>
    <t>Regional Health Properties Inc. Common Stock</t>
  </si>
  <si>
    <t>Regional Health Properties Inc. 10.875% Series A Cumulative Redeemable Preferred Stock</t>
  </si>
  <si>
    <t>Robert Half Inc. Common Stock</t>
  </si>
  <si>
    <t>Ryman Hospitality Properties Inc. (REIT)</t>
  </si>
  <si>
    <t>RCI Hospitality Holdings Inc. Common Stock</t>
  </si>
  <si>
    <t>Transocean Ltd (Switzerland) Common Stock</t>
  </si>
  <si>
    <t>Rigel Pharmaceuticals Inc. Common Stock</t>
  </si>
  <si>
    <t>B. Riley Financial Inc. Common Stock</t>
  </si>
  <si>
    <t>B. Riley Financial Inc. 5.00% Senior Notes due 2026</t>
  </si>
  <si>
    <t>B. Riley Financial Inc. 5.50% Senior Notes Due 2026</t>
  </si>
  <si>
    <t>B. Riley Financial Inc. Depositary Shares each representing 1/1000th in a share of 7.375% Series B Cumulative Perpetual Preferred Stock par value $0.0001</t>
  </si>
  <si>
    <t>B. Riley Financial Inc. 6.375% Senior Notes due 2025</t>
  </si>
  <si>
    <t>B. Riley Financial Inc. 6.50% Senior Notes Due 2026</t>
  </si>
  <si>
    <t>B. Riley Financial Inc. 6.75% Senior Notes due 2024</t>
  </si>
  <si>
    <t>B. Riley Financial Inc. Depositary Shares each representing a 1/1000th fractional interest in a share of Series A Cumulative Perpetual Preferred Stock</t>
  </si>
  <si>
    <t>B. Riley Financial Inc. 6.00% Senior Notes Due 2028</t>
  </si>
  <si>
    <t>B. Riley Financial Inc. 5.25% Senior Notes due 2028</t>
  </si>
  <si>
    <t>Rio Tinto Plc Common Stock</t>
  </si>
  <si>
    <t xml:space="preserve">Riot Platforms Inc. Common Stock </t>
  </si>
  <si>
    <t>Rithm Capital Corp. Common Stock</t>
  </si>
  <si>
    <t>Rithm Capital Corp. 7.50% Series A Fixed-to-Floating Rate Cumulative Redeemable Preferred Stock</t>
  </si>
  <si>
    <t>Rithm Capital Corp. 7.125% Series B Fixed-to-Floating Rate Cumulative Redeemable Preferred Stock</t>
  </si>
  <si>
    <t>Rithm Capital Corp. 6.375% Series C Fixed-to-Floating Rate Cumulative Redeemable Preferred Stock</t>
  </si>
  <si>
    <t>Rithm Capital Corp. 7.00% Fixed-Rate Reset Series D Cumulative Redeemable Preferred Stock</t>
  </si>
  <si>
    <t>RiverNorth Opportunities Fund Inc. Common Stock</t>
  </si>
  <si>
    <t>RiverNorth Opportunities Fund Inc. 6.00% Series A Perpetual Preferred Stock</t>
  </si>
  <si>
    <t>Rivian Automotive Inc. Class A Common Stock</t>
  </si>
  <si>
    <t>Raymond James Financial Inc. Common Stock</t>
  </si>
  <si>
    <t>Raymond James Financial Inc. Depositary Shares each representing a 1/40th interest in a share of 6.375% Fixed-to-Floating Rate Series B Non-Cumulative Perpetual Preferred Stock</t>
  </si>
  <si>
    <t>Arcadia Biosciences Inc. Common Stock</t>
  </si>
  <si>
    <t>Rocket Lab USA Inc. Common Stock</t>
  </si>
  <si>
    <t>Rocket Companies Inc. Class A Common Stock</t>
  </si>
  <si>
    <t>Ralph Lauren Corporation Common Stock</t>
  </si>
  <si>
    <t>Relay Therapeutics Inc. Common Stock</t>
  </si>
  <si>
    <t>Radiant Logistics Inc. Common Stock</t>
  </si>
  <si>
    <t>RLI Corp. Common Stock (DE)</t>
  </si>
  <si>
    <t>RLJ Lodging Trust Common Shares of Beneficial Interest $0.01 par value</t>
  </si>
  <si>
    <t>RLJ Lodging Trust $1.95 Series A Cumulative Convertible  Preferred Shares</t>
  </si>
  <si>
    <t>Relmada Therapeutics Inc. Common Stock</t>
  </si>
  <si>
    <t>Cohen &amp; Steers Real Estate Opportunities and Income Fund Common Shares of Beneficial Interest</t>
  </si>
  <si>
    <t>RLX Technology Inc. American Depositary Shares each representing the right to receive one (1) Class A ordinary share</t>
  </si>
  <si>
    <t>Rallybio Corporation Common Stock</t>
  </si>
  <si>
    <t>Regional Management Corp. Common Stock</t>
  </si>
  <si>
    <t>RE/MAX Holdings Inc. Class A Common Stock</t>
  </si>
  <si>
    <t>Richmond Mutual Bancorporation Inc. Common Stock</t>
  </si>
  <si>
    <t>RumbleOn Inc. Class B Common Stock</t>
  </si>
  <si>
    <t>Rambus Inc. Common Stock</t>
  </si>
  <si>
    <t>Rocky Mountain Chocolate Factory Inc. Common Stock</t>
  </si>
  <si>
    <t>Royalty Management Holding Corporation Class A Common Stock</t>
  </si>
  <si>
    <t>Royalty Management Holding Corporation Warrant</t>
  </si>
  <si>
    <t>ResMed Inc. Common Stock</t>
  </si>
  <si>
    <t>RMG Acquisition Corp. III Class A Ordinary Shares</t>
  </si>
  <si>
    <t>RMG Acquisition Corp. III Unit</t>
  </si>
  <si>
    <t>RiverNorth Opportunistic Municipal Income Fund Inc. Common Stock</t>
  </si>
  <si>
    <t>RiverNorth Managed Duration Municipal Income Fund Inc. Common Stock</t>
  </si>
  <si>
    <t>RiverNorth Managed Duration Municipal Income Fund II Inc. Common Stock</t>
  </si>
  <si>
    <t>Rimini Street Inc. (DE) Common Stock</t>
  </si>
  <si>
    <t>RiverNorth Capital and Income Fund 5.875%% Series A Term Preferred Stock $0.0001 par value per share</t>
  </si>
  <si>
    <t>The RMR Group Inc. Class A Common Stock</t>
  </si>
  <si>
    <t>Royce Micro-Cap Trust Inc. Common Stock</t>
  </si>
  <si>
    <t>Rockwell Medical Inc. Common Stock</t>
  </si>
  <si>
    <t>Avidity Biosciences Inc. Common Stock</t>
  </si>
  <si>
    <t>Cartesian Therapeutics Inc. Common Stock</t>
  </si>
  <si>
    <t>TransCode Therapeutics Inc. Common Stock</t>
  </si>
  <si>
    <t>RingCentral Inc. Class A Common Stock</t>
  </si>
  <si>
    <t>Ranger Energy Services Inc. Class A Common Stock</t>
  </si>
  <si>
    <t>Renalytix plc American Depositary Shares</t>
  </si>
  <si>
    <t>Cohen &amp; Steers REIT and Preferred and Income Fund Inc. Common Shares</t>
  </si>
  <si>
    <t>RenaissanceRe Holdings Ltd. Common Stock</t>
  </si>
  <si>
    <t>RenaissanceRe Holdings Ltd. Depositary Shares each Representing a 1/1000th Interest in a 5.750% Series F Preference Share</t>
  </si>
  <si>
    <t>RenaissanceRe Holdings Ltd. Depositary Shares each representing a 1/1000th interest in a share of 4.20% Series G Preference Shares</t>
  </si>
  <si>
    <t>Renasant Corporation Common Stock</t>
  </si>
  <si>
    <t>ReNew Energy Global plc Class A Ordinary Shares</t>
  </si>
  <si>
    <t>ReNew Energy Global plc Warrant</t>
  </si>
  <si>
    <t>RenovoRx Inc. Common Stock</t>
  </si>
  <si>
    <t>Construction Partners Inc. Class A Common Stock</t>
  </si>
  <si>
    <t>Gibraltar Industries Inc. Common Stock</t>
  </si>
  <si>
    <t>Roth CH Acquisition V Co. Common Stock</t>
  </si>
  <si>
    <t>Roth CH Acquisition V Co. Warrant</t>
  </si>
  <si>
    <t>Rogers Corporation Common Stock</t>
  </si>
  <si>
    <t>RiskOn International Inc. Common Stock</t>
  </si>
  <si>
    <t>Retail Opportunity Investments Corp. Common Stock (MD)</t>
  </si>
  <si>
    <t>Roivant Sciences Ltd. Common Shares</t>
  </si>
  <si>
    <t>Rockwell Automation Inc. Common Stock</t>
  </si>
  <si>
    <t>Roku Inc. Class A Common Stock</t>
  </si>
  <si>
    <t>Rollins Inc. Common Stock</t>
  </si>
  <si>
    <t>Root Inc. Class A Common Stock</t>
  </si>
  <si>
    <t>Roper Technologies Inc. Common Stock</t>
  </si>
  <si>
    <t>Ross Acquisition Corp II Class A Ordinary Shares</t>
  </si>
  <si>
    <t>Ross Stores Inc. Common Stock</t>
  </si>
  <si>
    <t>Rover Group Inc. Class A Common Stock</t>
  </si>
  <si>
    <t>Repay Holdings Corporation Class A Common Stock</t>
  </si>
  <si>
    <t>Rapid7 Inc. Common Stock</t>
  </si>
  <si>
    <t>Reneo Pharmaceuticals Inc. Common Stock</t>
  </si>
  <si>
    <t>Rapid Micro Biosystems Inc. Class A Common Stock</t>
  </si>
  <si>
    <t>RPM International Inc. Common Stock</t>
  </si>
  <si>
    <t xml:space="preserve">Royalty Pharma plc Class A Ordinary Shares </t>
  </si>
  <si>
    <t>Repare Therapeutics Inc. Common Shares</t>
  </si>
  <si>
    <t>Cohen &amp; Steers Quality Income Realty Fund Inc Common Shares</t>
  </si>
  <si>
    <t>Richtech Robotics Inc. Class B Common Stock</t>
  </si>
  <si>
    <t>Rigel Resource Acquisition Corp. Class A Ordinary Shares</t>
  </si>
  <si>
    <t>Red River Bancshares Inc. Common Stock</t>
  </si>
  <si>
    <t>Range Resources Corporation Common Stock</t>
  </si>
  <si>
    <t>Red Robin Gourmet Burgers Inc. Common Stock</t>
  </si>
  <si>
    <t>Red Rock Resorts Inc. Class A Common Stock</t>
  </si>
  <si>
    <t>Regal Rexnord Corporation Common Stock</t>
  </si>
  <si>
    <t>Reliance Steel &amp; Aluminum Co. Common Stock (DE)</t>
  </si>
  <si>
    <t>RiverNorth Capital and Income Fund Common Stock</t>
  </si>
  <si>
    <t>Republic Services Inc. Common Stock</t>
  </si>
  <si>
    <t>Rush Street Interactive Inc. Class A Common Stock</t>
  </si>
  <si>
    <t>Riskified Ltd. Class A Ordinary Shares</t>
  </si>
  <si>
    <t>ReShape Lifesciences Inc. Common Stock</t>
  </si>
  <si>
    <t>Research Solutions Inc Common Stock</t>
  </si>
  <si>
    <t>Reservoir Media Inc. Common Stock</t>
  </si>
  <si>
    <t>Reservoir Media Inc. Warrant</t>
  </si>
  <si>
    <t>Baijiayun Group Ltd. Class A Ordinary Shares</t>
  </si>
  <si>
    <t>Rentokil Initial plc American Depositary Shares (each representing five (5) Ordinary Shares)</t>
  </si>
  <si>
    <t>RTX Corporation Common Stock</t>
  </si>
  <si>
    <t>Rumble Inc. Class A Common Stock</t>
  </si>
  <si>
    <t>Rumble Inc. Warrant</t>
  </si>
  <si>
    <t>Sunrun Inc. Common Stock</t>
  </si>
  <si>
    <t>Rush Enterprises Inc. Common Stock Cl A</t>
  </si>
  <si>
    <t>Rush Enterprises Inc. Class B</t>
  </si>
  <si>
    <t>Revolve Group Inc. Class A Common Stock</t>
  </si>
  <si>
    <t>Revolution Medicines Inc. Common Stock</t>
  </si>
  <si>
    <t>Revolution Medicines Inc. Warrant</t>
  </si>
  <si>
    <t>Revance Therapeutics Inc. Common Stock</t>
  </si>
  <si>
    <t>Retractable Technologies Inc. Common Stock</t>
  </si>
  <si>
    <t xml:space="preserve">Reviva Pharmaceuticals Holdings Inc. Common Stock </t>
  </si>
  <si>
    <t>Reviva Pharmaceuticals Holdings Inc. Warrants</t>
  </si>
  <si>
    <t>Riverview Bancorp Inc Common Stock</t>
  </si>
  <si>
    <t>Rail Vision Ltd. Ordinary Share</t>
  </si>
  <si>
    <t>Rail Vision Ltd. Warrant</t>
  </si>
  <si>
    <t>Royce Value Trust Inc. Common Stock</t>
  </si>
  <si>
    <t>Revvity Inc. Common Stock</t>
  </si>
  <si>
    <t>Ryvyl Inc. Common Stock</t>
  </si>
  <si>
    <t>Runway Growth Finance Corp. Common Stock</t>
  </si>
  <si>
    <t>Runway Growth Finance Corp. 7.50% Notes due 2027</t>
  </si>
  <si>
    <t>Runway Growth Finance Corp. 8.00% Notes due 2027</t>
  </si>
  <si>
    <t>ReWalk Robotics Ltd. Ordinary Shares</t>
  </si>
  <si>
    <t>Redwoods Acquisition Corp. Common Stock</t>
  </si>
  <si>
    <t>Redwood Trust Inc. Common Stock</t>
  </si>
  <si>
    <t>Redwood Trust Inc. 10.00% Series A Fixed-Rate Reset Cumulative Redeemable Preferred Stock</t>
  </si>
  <si>
    <t>RXO Inc. Common Stock</t>
  </si>
  <si>
    <t>Recursion Pharmaceuticals Inc. Class A Common Stock</t>
  </si>
  <si>
    <t>RxSight Inc. Common Stock</t>
  </si>
  <si>
    <t>Rackspace Technology Inc. Common Stock</t>
  </si>
  <si>
    <t>Royal Bank Of Canada Common Stock</t>
  </si>
  <si>
    <t>Ryanair Holdings plc American Depositary Shares</t>
  </si>
  <si>
    <t>Rayonier Advanced Materials Inc. Common Stock</t>
  </si>
  <si>
    <t>Ryan Specialty Holdings Inc. Class A Common Stock</t>
  </si>
  <si>
    <t>Ryerson Holding Corporation Common Stock</t>
  </si>
  <si>
    <t>Rayonier Inc. REIT Common Stock</t>
  </si>
  <si>
    <t>Rhythm Pharmaceuticals Inc. Common Stock</t>
  </si>
  <si>
    <t>RayzeBio Inc. Common Stock</t>
  </si>
  <si>
    <t>Reinsurance Group of America Incorporated 5.75% Fixed-To-Floating Rate Subordinated Debentures due 2056</t>
  </si>
  <si>
    <t>Reinsurance Group of America Incorporated 7.125% Fixed-Rate Reset Subordinated Debentures due 2052</t>
  </si>
  <si>
    <t>Rezolute Inc. Common Stock (NV)</t>
  </si>
  <si>
    <t>SentinelOne Inc. Class A Common Stock</t>
  </si>
  <si>
    <t>Seabridge Gold Inc. Ordinary Shares (Canada)</t>
  </si>
  <si>
    <t>Saba Capital Income &amp; Opportunities Fund II Shares of Beneficial Interest</t>
  </si>
  <si>
    <t>Sabre Corporation Common Stock</t>
  </si>
  <si>
    <t>SAB Biotherapeutics Inc. Common Stock</t>
  </si>
  <si>
    <t>SAB Biotherapeutics Inc. Warrant</t>
  </si>
  <si>
    <t>Sachem Capital Corp. 6.875% Notes due 2024</t>
  </si>
  <si>
    <t>Sachem Capital Corp. Common Shares</t>
  </si>
  <si>
    <t>Sachem Capital Corp. 7.75% Series A Cumulative Redeemable Preferred Stock</t>
  </si>
  <si>
    <t xml:space="preserve">Safehold Inc. New Common Stock </t>
  </si>
  <si>
    <t>Safety Insurance Group Inc. Common Stock</t>
  </si>
  <si>
    <t>Sagaliam Acquisition Corp. Class A Common Stock</t>
  </si>
  <si>
    <t>Sagaliam Acquisition Corp. Rights</t>
  </si>
  <si>
    <t>Sage Therapeutics Inc. Common Stock</t>
  </si>
  <si>
    <t>Sonic Automotive Inc. Common Stock</t>
  </si>
  <si>
    <t>SAI.TECH Global Corporation Class A Ordinary Shares</t>
  </si>
  <si>
    <t>Saia Inc. Common Stock</t>
  </si>
  <si>
    <t>SCIENCE APPLICATIONS INTERNATIONAL CORPORATION Common Stock</t>
  </si>
  <si>
    <t>SAI.TECH Global Corporation Warrant</t>
  </si>
  <si>
    <t>Saratoga Investment Corp 8.00% Notes due 2027</t>
  </si>
  <si>
    <t>Salem Media Group Inc. Class A Common Stock</t>
  </si>
  <si>
    <t>Boston Beer Company Inc. (The) Common Stock</t>
  </si>
  <si>
    <t>Silvercrest Asset Management Group Inc. Class A Common Stock</t>
  </si>
  <si>
    <t>Banco Santander S.A. Sponsored ADR (Spain)</t>
  </si>
  <si>
    <t>Sana Biotechnology Inc. Common Stock</t>
  </si>
  <si>
    <t>Sandstorm Gold Ltd. Ordinary Shares (Canada)</t>
  </si>
  <si>
    <t>Sangoma Technologies Corporation Common Shares</t>
  </si>
  <si>
    <t>Sanmina Corporation Common Stock</t>
  </si>
  <si>
    <t>S&amp;W Seed Company Common Stock (NV)</t>
  </si>
  <si>
    <t>SAP  SE ADS</t>
  </si>
  <si>
    <t>Saratoga Investment Corp New</t>
  </si>
  <si>
    <t>Sigma Additive Solutions Inc. Common Stock</t>
  </si>
  <si>
    <t>Sandy Spring Bancorp Inc. Common Stock</t>
  </si>
  <si>
    <t>Saratoga Investment Corp 6.00% Notes due 2027</t>
  </si>
  <si>
    <t>Satellogic Inc. Class A Ordinary Shares</t>
  </si>
  <si>
    <t>Satellogic Inc. Warrant</t>
  </si>
  <si>
    <t>EchoStar  Corporation Common Stock</t>
  </si>
  <si>
    <t>SatixFy Communications Ltd. Ordinary Share</t>
  </si>
  <si>
    <t>Cassava Sciences Inc. Common Stock</t>
  </si>
  <si>
    <t>Cassava Sciences Inc. Warrant</t>
  </si>
  <si>
    <t>Spirit Airlines Inc. Common Stock</t>
  </si>
  <si>
    <t>Saratoga Investment Corp 8.125% Notes due 2027</t>
  </si>
  <si>
    <t>Saratoga Investment Corp 8.50% Notes due 2028</t>
  </si>
  <si>
    <t>Safe Bulkers Inc Common Stock ($0.001 par value)</t>
  </si>
  <si>
    <t>Safe Bulkers Inc Cumulative Redeemable Perpetual Preferred Series C (Marshall Islands)</t>
  </si>
  <si>
    <t>Safe Bulkers Inc Perpetual Preferred Series D (Marshall Islands)</t>
  </si>
  <si>
    <t>SBA Communications Corporation Class A Common Stock</t>
  </si>
  <si>
    <t>Scorpio Tankers Inc. 7.00% Senior Notes due 2025</t>
  </si>
  <si>
    <t>Seacoast Banking Corporation of Florida Common Stock</t>
  </si>
  <si>
    <t>SharpLink Gaming Ltd. Ordinary Shares</t>
  </si>
  <si>
    <t>Splash Beverage Group Inc. (NV) Common Stock</t>
  </si>
  <si>
    <t>SB Financial Group Inc. Common Stock</t>
  </si>
  <si>
    <t>Sunshine Biopharma Inc. Common Stock</t>
  </si>
  <si>
    <t>Sinclair Inc. Class A Common Stock</t>
  </si>
  <si>
    <t>Sally Beauty Holdings Inc. (Name to be changed from Sally Holdings Inc.) Common Stock</t>
  </si>
  <si>
    <t>Western Asset Intermediate Muni Fund Inc Common Stock</t>
  </si>
  <si>
    <t>Star Bulk Carriers Corp. Common Shares</t>
  </si>
  <si>
    <t>SilverBow Resorces Inc. Common Stock</t>
  </si>
  <si>
    <t>Sabine Royalty Trust Common Stock</t>
  </si>
  <si>
    <t>Sabra Health Care REIT Inc. Common Stock</t>
  </si>
  <si>
    <t>Companhia de saneamento Basico Do Estado De Sao Paulo - Sabesp American Depositary Shares (Each repstg 250 Common Shares)</t>
  </si>
  <si>
    <t>Southside Bancshares Inc. Common Stock</t>
  </si>
  <si>
    <t>D/B/A Sibanye-Stillwater Limited ADS</t>
  </si>
  <si>
    <t>Sterling Bancorp Inc. Common Stock</t>
  </si>
  <si>
    <t>Starbucks Corporation Common Stock</t>
  </si>
  <si>
    <t>SilverBox Corp III Class A Common Stock</t>
  </si>
  <si>
    <t>Sachem Capital Corp. 7.125% Notes due 2024</t>
  </si>
  <si>
    <t>Sachem Capital Corp. 7.75% Notes due 2025</t>
  </si>
  <si>
    <t>Sachem Capital Corp. 6.00% Notes due 2026</t>
  </si>
  <si>
    <t>Sachem Capital Corp. 6.00% Notes due 2027</t>
  </si>
  <si>
    <t>Sachem Capital Corp. 7.125% Notes due 2027</t>
  </si>
  <si>
    <t>Sachem Capital Corp. 8.00% Notes due 2027</t>
  </si>
  <si>
    <t>Southern Copper Corporation Common Stock</t>
  </si>
  <si>
    <t>LMP Capital and Income Fund Inc. Common Stock</t>
  </si>
  <si>
    <t>SCE Trust II Trust Preferred Securities</t>
  </si>
  <si>
    <t>SCE Trust III Fixed/Floating Rate Trust Preference Securities</t>
  </si>
  <si>
    <t>Southern California Edison Company 5.375% Fixed-to-Floating Rate Trust Preference Securities</t>
  </si>
  <si>
    <t>Southern California Edison Company 5.45% Fixed-to-Floating Rate Trust Preference Securities</t>
  </si>
  <si>
    <t>SCE TRUST VI</t>
  </si>
  <si>
    <t>SCE Trust VII 7.50% Trust Preference Securities</t>
  </si>
  <si>
    <t>Scholastic Corporation Common Stock</t>
  </si>
  <si>
    <t>Charles Schwab Corporation (The) Common Stock</t>
  </si>
  <si>
    <t>The Charles Schwab Corporation Depositary Shares each representing 1/40th interest in a share of 5.95% Non-Cumulative Perpetual Preferred Stock Series D</t>
  </si>
  <si>
    <t>The Charles Schwab Corporation Depositary Shares Each Representing a 1/40th Interest in a Share of 4.450% Non-Cumulative Perpetual Preferred Stock Series J</t>
  </si>
  <si>
    <t>Service Corporation International Common Stock</t>
  </si>
  <si>
    <t>Socket Mobile Inc. Common Stock</t>
  </si>
  <si>
    <t>Stepan Company Common Stock</t>
  </si>
  <si>
    <t>Scilex Holding Company Common Stock</t>
  </si>
  <si>
    <t>Scilex Holding Company Warrant</t>
  </si>
  <si>
    <t>Stellus Capital Investment Corporation Common Stock</t>
  </si>
  <si>
    <t>Scinai Immunotherapeutics Ltd. American Depositary Shares</t>
  </si>
  <si>
    <t>comScore Inc. Common Stock</t>
  </si>
  <si>
    <t>scPharmaceuticals Inc. Common Stock</t>
  </si>
  <si>
    <t>Screaming Eagle Acquisition Corp. Class A Ordinary Shares</t>
  </si>
  <si>
    <t>Screaming Eagle Acquisition Corp. Unit</t>
  </si>
  <si>
    <t>Screaming Eagle Acquisition Corp. Warrant</t>
  </si>
  <si>
    <t>Steelcase Inc. Common Stock</t>
  </si>
  <si>
    <t>ScanSource Inc. Common Stock</t>
  </si>
  <si>
    <t>Societal CDMO Inc. Common Stock</t>
  </si>
  <si>
    <t>Shoe Carnival Inc. Common Stock</t>
  </si>
  <si>
    <t>374Water Inc. Common Stock</t>
  </si>
  <si>
    <t>SecureWorks Corp. Class A Common Stock</t>
  </si>
  <si>
    <t>L.S. Starrett Company (The) Common Stock</t>
  </si>
  <si>
    <t>SCYNEXIS Inc. Common Stock</t>
  </si>
  <si>
    <t>SandRidge Energy Inc. Common Stock</t>
  </si>
  <si>
    <t>SunCar Technology Group Inc. Class A Ordinary Shares</t>
  </si>
  <si>
    <t>SunCar Technology Group Inc. Warrant</t>
  </si>
  <si>
    <t>Schrodinger Inc. Common Stock</t>
  </si>
  <si>
    <t>PGIM Short Duration High Yield Opportunities Fund Common Shares</t>
  </si>
  <si>
    <t>Stronghold Digital Mining Inc. Class A Common Stock</t>
  </si>
  <si>
    <t>Sadot Group Inc. Common Stock</t>
  </si>
  <si>
    <t>Superior Drilling Products Inc. Common Stock</t>
  </si>
  <si>
    <t>Seadrill Limited Common Shares</t>
  </si>
  <si>
    <t>Sea Limited American Depositary Shares each representing one Class A Ordinary Share</t>
  </si>
  <si>
    <t>Seapeak LLC 9.00% Series A Cumulative Redeemable Perpetual Preferred Units</t>
  </si>
  <si>
    <t>Seapeak LLC 8.50% Series B Fixed-to-Floating Rate Cumulative Redeemable Perpetual Preferred Units</t>
  </si>
  <si>
    <t>SeaWorld Entertainment Inc. Common Stock</t>
  </si>
  <si>
    <t>Vivid Seats Inc. Class A Common Stock</t>
  </si>
  <si>
    <t>Vivid Seats Inc. Warrant</t>
  </si>
  <si>
    <t>Seaboard Corporation Common Stock</t>
  </si>
  <si>
    <t>Secoo Holding Limited ADS</t>
  </si>
  <si>
    <t>SDCL EDGE Acquisition Corporation Class A Ordinary Shares</t>
  </si>
  <si>
    <t>SolarEdge Technologies Inc. Common Stock</t>
  </si>
  <si>
    <t>Sealed Air Corporation Common Stock</t>
  </si>
  <si>
    <t>Origin Agritech Limited Common Stock</t>
  </si>
  <si>
    <t>Seelos Therapeutics Inc. Common Stock</t>
  </si>
  <si>
    <t>Seer Inc. Class A Common Stock</t>
  </si>
  <si>
    <t>SEI Investments Company Common Stock</t>
  </si>
  <si>
    <t>Global Self Storage Inc. Common Stock</t>
  </si>
  <si>
    <t>Select Medical Holdings Corporation Common Stock</t>
  </si>
  <si>
    <t>SEMrush Holdings Inc. Class A Common Stock</t>
  </si>
  <si>
    <t>Seneca Foods Corp. Class A Common Stock</t>
  </si>
  <si>
    <t>Seneca Foods Corp. Class B Common Stock</t>
  </si>
  <si>
    <t>Senseonics Holdings Inc. Common Stock</t>
  </si>
  <si>
    <t>SEP Acquisition Corp Class A Common Stock</t>
  </si>
  <si>
    <t>SEP Acquisition Corp Warrants</t>
  </si>
  <si>
    <t>Sera Prognostics Inc. Class A Common Stock</t>
  </si>
  <si>
    <t>SES AI Corporation Class A Common Stock</t>
  </si>
  <si>
    <t>Seven Hills Realty Trust Common Stock</t>
  </si>
  <si>
    <t>Sezzle Inc. Common Stock</t>
  </si>
  <si>
    <t>Stifel Financial Corporation Common Stock</t>
  </si>
  <si>
    <t>Stifel Financial Corporation Depositary Shares Each Representing 1/1000th  Interest in a Share of 6.25% Non-Cumulative  Preferred Stock Series B</t>
  </si>
  <si>
    <t>Stifel Financial Corporation Depositary Shares Each Representing 1/1000th Interest in a Share of 6.125% Non Cumulative Preferred Stock Series C</t>
  </si>
  <si>
    <t>Stifel Financial Corporation Depositary Shares Each Representing 1/1000th Interest in a Share of 4.50% Non-Cumulative Preferred Stock Series D</t>
  </si>
  <si>
    <t>Stifel Financial Corporation 5.20% Senior Notes due 2047</t>
  </si>
  <si>
    <t>Sound Financial Bancorp Inc. Common Stock</t>
  </si>
  <si>
    <t>ServisFirst Bancshares Inc. Common Stock</t>
  </si>
  <si>
    <t>Safeguard Scientifics Inc. Common Stock</t>
  </si>
  <si>
    <t>Stitch Fix Inc. Class A Common Stock</t>
  </si>
  <si>
    <t>SFL Corporation Ltd</t>
  </si>
  <si>
    <t>Sprouts Farmers Market Inc. Common Stock</t>
  </si>
  <si>
    <t>Simmons First National Corporation Class A Common Stock</t>
  </si>
  <si>
    <t>Southern First Bancshares Inc. Common Stock</t>
  </si>
  <si>
    <t>Shengfeng Development Limited Class A Ordinary Shares</t>
  </si>
  <si>
    <t>Sweetgreen Inc. Class A Common Stock</t>
  </si>
  <si>
    <t>Saga Communications Inc. Class A Common Stock (FL)</t>
  </si>
  <si>
    <t>Safe &amp; Green Holdings Corp. Common Stock</t>
  </si>
  <si>
    <t>Superior Group of Companies Inc. Common Stock</t>
  </si>
  <si>
    <t>Safe and Green Development Corporation Common Stock</t>
  </si>
  <si>
    <t>Strong Global Entertainment Inc. Class A Common Voting Shares</t>
  </si>
  <si>
    <t>SMART Global Holdings Inc. Ordinary Shares</t>
  </si>
  <si>
    <t>Super Group (SGHC) Limited Ordinary Shares</t>
  </si>
  <si>
    <t>Sight Sciences Inc. Common Stock</t>
  </si>
  <si>
    <t>Singularity Future Technology Ltd. Common Stock</t>
  </si>
  <si>
    <t>SigmaTron International Inc. Common Stock</t>
  </si>
  <si>
    <t>Sigma Lithium Corporation Common Shares</t>
  </si>
  <si>
    <t>Sangamo Therapeutics Inc. Common Stock</t>
  </si>
  <si>
    <t>Sagimet Biosciences Inc. Series A Common Stock</t>
  </si>
  <si>
    <t>Signing Day Sports Inc. Common Stock</t>
  </si>
  <si>
    <t>SPAR Group Inc. Common Stock</t>
  </si>
  <si>
    <t>Surgery Partners Inc. Common Stock</t>
  </si>
  <si>
    <t>Star Group L.P. Common Stock</t>
  </si>
  <si>
    <t>Shake Shack Inc. Class A Common Stock</t>
  </si>
  <si>
    <t>Spree Acquisition Corp. 1 Limited Class A Ordinary Shares</t>
  </si>
  <si>
    <t>Shore Bancshares Inc Common Stock</t>
  </si>
  <si>
    <t>Sotera Health Company Common Stock</t>
  </si>
  <si>
    <t>Soho House &amp; Co Inc. Class A Common Stock</t>
  </si>
  <si>
    <t>Sharecare Inc. Class A Common Stock</t>
  </si>
  <si>
    <t xml:space="preserve">Shell PLC American Depositary Shares (each representing two (2) Ordinary Shares) </t>
  </si>
  <si>
    <t>Shenandoah Telecommunications Co Common Stock</t>
  </si>
  <si>
    <t>SHF Holdings Inc. Class A Common Stock</t>
  </si>
  <si>
    <t>SHF Holdings Inc. Warrants</t>
  </si>
  <si>
    <t>Shinhan Financial Group Co Ltd American Depositary Shares</t>
  </si>
  <si>
    <t>Shimmick Corporation Common Stock</t>
  </si>
  <si>
    <t>Seanergy Maritime Holdings Corp. Common Stock</t>
  </si>
  <si>
    <t>Shoals Technologies Group Inc. Class A Common Stock</t>
  </si>
  <si>
    <t>SHL Telemedicine Ltd American Depositary Shares</t>
  </si>
  <si>
    <t>Sunstone Hotel Investors Inc. Sunstone Hotel Investors Inc. Common Shares</t>
  </si>
  <si>
    <t>Sunstone Hotel Investors Inc. 6.125% Series H Cumulative Redeemable Preferred Stock</t>
  </si>
  <si>
    <t>Sunstone Hotel Investors Inc. 5.70% Series I Cumulative Redeemable Preferred Stock</t>
  </si>
  <si>
    <t>Steven Madden Ltd. Common Stock</t>
  </si>
  <si>
    <t>Shopify Inc. Class A Subordinate Voting Shares</t>
  </si>
  <si>
    <t>Safety Shot Inc. Common Stock</t>
  </si>
  <si>
    <t>Safety Shot Inc. Warrant</t>
  </si>
  <si>
    <t>Shuttle Pharmaceuticals Holdings Inc. Common Stock</t>
  </si>
  <si>
    <t>Shapeways Holdings Inc. Common Stock</t>
  </si>
  <si>
    <t>Shapeways Holdings Inc. Warrants</t>
  </si>
  <si>
    <t>Sherwin-Williams Company (The) Common Stock</t>
  </si>
  <si>
    <t>The Shyft Group Inc. Common Stock</t>
  </si>
  <si>
    <t>SI-BONE Inc. Common Stock</t>
  </si>
  <si>
    <t>Companhia Siderurgica Nacional S.A. Common Stock</t>
  </si>
  <si>
    <t>Sidus Space Inc. Class A Common Stock</t>
  </si>
  <si>
    <t>Siebert Financial Corp. Common Stock</t>
  </si>
  <si>
    <t>Sientra Inc. Common Stock</t>
  </si>
  <si>
    <t>SIFCO Industries Inc. Common Stock</t>
  </si>
  <si>
    <t>Sify Technologies Limited American Depositary Shares</t>
  </si>
  <si>
    <t>Signet Jewelers Limited Common Shares</t>
  </si>
  <si>
    <t>SIGA Technologies Inc. Common Stock</t>
  </si>
  <si>
    <t>Selective Insurance Group Inc. Common Stock</t>
  </si>
  <si>
    <t>Selective Insurance Group Inc. Depositary Shares each representing a 1/1000th interest in a share of 4.60% Non-Cumulative Preferred Stock Series B</t>
  </si>
  <si>
    <t>Sprott Inc. Common Shares</t>
  </si>
  <si>
    <t>Silicom Ltd Ordinary Shares</t>
  </si>
  <si>
    <t>Silk Road Medical Inc. Common Stock</t>
  </si>
  <si>
    <t>Silo Pharma Inc. Common Stock</t>
  </si>
  <si>
    <t>SilverCrest Metals Inc. Common Shares</t>
  </si>
  <si>
    <t>Grupo Simec S.A.B. de C.V. American Depositary Shares</t>
  </si>
  <si>
    <t>Silicon Motion Technology Corporation American Depositary Shares</t>
  </si>
  <si>
    <t>SinglePoint Inc. Common Stock</t>
  </si>
  <si>
    <t>SiNtx Technologies Inc. Common Stock</t>
  </si>
  <si>
    <t>Sirius XM Holdings Inc. Common Stock</t>
  </si>
  <si>
    <t>Shineco Inc. Common Stock</t>
  </si>
  <si>
    <t>SITE Centers Corp. Common Stock</t>
  </si>
  <si>
    <t>SITE Centers Corp. 6.375% Class A Preferred Shares</t>
  </si>
  <si>
    <t>SiteOne Landscape Supply Inc. Common Stock</t>
  </si>
  <si>
    <t>SiTime Corporation Common Stock</t>
  </si>
  <si>
    <t>Six Flags Entertainment Corporation New Common Stock</t>
  </si>
  <si>
    <t xml:space="preserve">Scienjoy Holding Corporation Class A Ordinary Shares </t>
  </si>
  <si>
    <t>The J.M. Smucker Company Common Stock</t>
  </si>
  <si>
    <t>San Juan Basin Royalty Trust Common Stock</t>
  </si>
  <si>
    <t>SJW Group Common Stock (DE)</t>
  </si>
  <si>
    <t>Skeena Resources Limited Common Shares</t>
  </si>
  <si>
    <t>SK Growth Opportunities Corporation Class A Common Stock</t>
  </si>
  <si>
    <t>SK Growth Opportunities Corporation Unit</t>
  </si>
  <si>
    <t>SK Growth Opportunities Corporation Warrant</t>
  </si>
  <si>
    <t>Skillsoft Corp. Class A Common Stock</t>
  </si>
  <si>
    <t>The Beauty Health Company Class A Common Stock</t>
  </si>
  <si>
    <t>Skillz Inc. Class A Common Stock</t>
  </si>
  <si>
    <t>SK Telecom Co. Ltd. Common Stock</t>
  </si>
  <si>
    <t>Tanger Inc. Common Stock</t>
  </si>
  <si>
    <t>Skyward Specialty Insurance Group Inc. Common Stock</t>
  </si>
  <si>
    <t>Skechers U.S.A. Inc. Common Stock</t>
  </si>
  <si>
    <t>Skyline Champion Corporation Common Stock</t>
  </si>
  <si>
    <t>Sky Harbour Group Corporation Class A Common Stock</t>
  </si>
  <si>
    <t>SkyWater Technology Inc. Common Stock</t>
  </si>
  <si>
    <t>SkyWest Inc. Common Stock</t>
  </si>
  <si>
    <t>SKYX Platforms Corp. Common Stock</t>
  </si>
  <si>
    <t>Silicon Laboratories Inc. Common Stock</t>
  </si>
  <si>
    <t>Social Leverage Acquisition Corp I Class A Common Stock</t>
  </si>
  <si>
    <t>Slam Corp. Class A Ordinary Share</t>
  </si>
  <si>
    <t>Slam Corp. Unit</t>
  </si>
  <si>
    <t>Slam Corp. warrant</t>
  </si>
  <si>
    <t>Schlumberger N.V. Common Stock</t>
  </si>
  <si>
    <t>U.S. Silica Holdings Inc. Common Stock</t>
  </si>
  <si>
    <t>Solid Biosciences Inc. Common Stock</t>
  </si>
  <si>
    <t>Solid Power Inc. Class A Common Stock</t>
  </si>
  <si>
    <t>Solid Power Inc. Warrant</t>
  </si>
  <si>
    <t>Super League Enterprise Inc. Common Stock</t>
  </si>
  <si>
    <t>Sun Life Financial Inc. Common Stock</t>
  </si>
  <si>
    <t>SL Green Realty Corp Common Stock</t>
  </si>
  <si>
    <t>SL Green Realty Corporation Preferred Series I</t>
  </si>
  <si>
    <t>SomaLogic Inc. Class A Common Stock</t>
  </si>
  <si>
    <t>SomaLogic Inc. Warrant</t>
  </si>
  <si>
    <t>Sol-Gel Technologies Ltd. Ordinary Shares</t>
  </si>
  <si>
    <t>Silgan Holdings Inc. Common Stock</t>
  </si>
  <si>
    <t>Standard Lithium Ltd. Common Shares</t>
  </si>
  <si>
    <t>SLM Corporation Common Stock</t>
  </si>
  <si>
    <t>SLM Corporation Floating Rate Non-Cumulative Preferred Stock Series B</t>
  </si>
  <si>
    <t>Silence Therapeutics Plc American Depository Share</t>
  </si>
  <si>
    <t>Selina Hospitality PLC Ordinary Shares</t>
  </si>
  <si>
    <t>Selina Hospitality PLC Warrant</t>
  </si>
  <si>
    <t>Southland Holdings Inc. Common Stock</t>
  </si>
  <si>
    <t>Stabilis Solutions Inc. Common Stock</t>
  </si>
  <si>
    <t>Soluna Holdings Inc. Common Stock</t>
  </si>
  <si>
    <t xml:space="preserve">Soluna Holdings Inc 9.0% Series A Cumulative Perpetual Preferred Stock </t>
  </si>
  <si>
    <t>Soleno Therapeutics Inc. Common Stock</t>
  </si>
  <si>
    <t>Simulations Plus Inc. Common Stock</t>
  </si>
  <si>
    <t>SelectQuote Inc. Common Stock</t>
  </si>
  <si>
    <t>SLR Investment Corp. Common Stock</t>
  </si>
  <si>
    <t>ACELYRIN INC. Common Stock</t>
  </si>
  <si>
    <t>Salarius Pharmaceuticals Inc. Common Stock</t>
  </si>
  <si>
    <t>SELLAS Life Sciences Group Inc. Common Stock</t>
  </si>
  <si>
    <t>Sylvamo Corporation Common Stock</t>
  </si>
  <si>
    <t>SM Energy Company Common Stock</t>
  </si>
  <si>
    <t>Smartsheet Inc. Class A Common Stock</t>
  </si>
  <si>
    <t>Southern Missouri Bancorp Inc. Common Stock</t>
  </si>
  <si>
    <t>SmartFinancial Inc. Common Stock</t>
  </si>
  <si>
    <t>Super Micro Computer Inc. Common Stock</t>
  </si>
  <si>
    <t>Sumitomo Mitsui Financial Group Inc Unsponsored American Depositary Shares (Japan)</t>
  </si>
  <si>
    <t xml:space="preserve">Smart for Life Inc. Common Stock </t>
  </si>
  <si>
    <t>Scotts Miracle-Gro Company (The) Common Stock</t>
  </si>
  <si>
    <t xml:space="preserve">SEACOR Marine Holdings Inc. Common Stock </t>
  </si>
  <si>
    <t>Smith-Midland Corporation Common Stock</t>
  </si>
  <si>
    <t>Summit Midstream Partners LP Common Units Representing Limited Partner Interests</t>
  </si>
  <si>
    <t>Semler Scientific Inc. Common Stock</t>
  </si>
  <si>
    <t>Summit Financial Group Inc. Common Stock</t>
  </si>
  <si>
    <t xml:space="preserve">Summit Therapeutics Inc. Common Stock </t>
  </si>
  <si>
    <t>Standard Motor Products Inc. Common Stock</t>
  </si>
  <si>
    <t>The Simply Good Foods Company Common Stock</t>
  </si>
  <si>
    <t>NuScale Power Corporation Class A Common Stock</t>
  </si>
  <si>
    <t>SmartRent Inc. Class A Common Stock</t>
  </si>
  <si>
    <t>Smith Micro Software Inc. Common Stock</t>
  </si>
  <si>
    <t>Semtech Corporation Common Stock</t>
  </si>
  <si>
    <t>Sanara MedTech Inc. Common Stock</t>
  </si>
  <si>
    <t>Similarweb Ltd. Ordinary Shares</t>
  </si>
  <si>
    <t>SMX (Security Matters) Public Limited Company Class A Ordinary Shares</t>
  </si>
  <si>
    <t>SMX (Security Matters) Public Limited Company Warrant</t>
  </si>
  <si>
    <t>SharkNinja Inc. Ordinary Shares</t>
  </si>
  <si>
    <t>Snap-On Incorporated Common Stock</t>
  </si>
  <si>
    <t>Snail Inc. Class A Common Stock</t>
  </si>
  <si>
    <t>Snap Inc. Class A Common Stock</t>
  </si>
  <si>
    <t>Stryve Foods Inc. Class A Common Stock</t>
  </si>
  <si>
    <t>Stryve Foods Inc. Warrant</t>
  </si>
  <si>
    <t>Sleep Number Corporation Common Stock</t>
  </si>
  <si>
    <t>Science 37 Holdings Inc. Common Stock</t>
  </si>
  <si>
    <t>Synchronoss Technologies Inc. Common Stock</t>
  </si>
  <si>
    <t>Synchronoss Technologies Inc. 8.375% Senior Notes due 2026</t>
  </si>
  <si>
    <t>Sun Country Airlines Holdings Inc. Common Stock</t>
  </si>
  <si>
    <t>Smart Sand Inc. Common Stock</t>
  </si>
  <si>
    <t>Sonida Senior Living Inc. Common Stock</t>
  </si>
  <si>
    <t>SNDL Inc. Common Shares</t>
  </si>
  <si>
    <t>Schneider National Inc. Common Stock</t>
  </si>
  <si>
    <t>Syndax Pharmaceuticals Inc. Common Stock</t>
  </si>
  <si>
    <t>SenesTech Inc. Common Stock</t>
  </si>
  <si>
    <t>StoneX Group Inc. Common Stock</t>
  </si>
  <si>
    <t>Security National Financial Corporation Class A Common Stock</t>
  </si>
  <si>
    <t>Soligenix Inc. Common Stock</t>
  </si>
  <si>
    <t>Evolve Transition Infrastructure LP Common Units representing Class B Limited Liability Company Interests</t>
  </si>
  <si>
    <t>Smith &amp; Nephew SNATS Inc. Common Stock</t>
  </si>
  <si>
    <t>Sonoma Pharmaceuticals Inc. Common Stock</t>
  </si>
  <si>
    <t>Snowflake Inc. Class A Common Stock</t>
  </si>
  <si>
    <t>Snap One Holdings Corp. Common Stock</t>
  </si>
  <si>
    <t>Synopsys Inc. Common Stock</t>
  </si>
  <si>
    <t>Synaptogenix Inc. Common Stock</t>
  </si>
  <si>
    <t>Sensei Biotherapeutics Inc. Common Stock</t>
  </si>
  <si>
    <t>Senstar Technologies Ltd. Ordinary Shares</t>
  </si>
  <si>
    <t>Sentage Holdings Inc. Class A Ordinary Shares</t>
  </si>
  <si>
    <t>Senti Biosciences Inc. Common Stock</t>
  </si>
  <si>
    <t>Synovus Financial Corp. Common Stock</t>
  </si>
  <si>
    <t>Synovus Financial Corp. Fixed-to-Floating Rate Non-Cumulative Perpetual Preferred Stock Series D Liquation Preference $25.00 per Share</t>
  </si>
  <si>
    <t>Synovus Financial Corp. 5.875% Fixed-Rate Reset Non-Cumulative Perpetual Preferred Stock Series E</t>
  </si>
  <si>
    <t>TD SYNNEX Corporation Common Stock</t>
  </si>
  <si>
    <t>Sanofi ADS</t>
  </si>
  <si>
    <t>Southern Company (The) Common Stock</t>
  </si>
  <si>
    <t>Volato Group Inc. Class A Common Stock</t>
  </si>
  <si>
    <t>SOBR Safe Inc. Common Stock</t>
  </si>
  <si>
    <t xml:space="preserve">SoFi Technologies Inc. Common Stock  </t>
  </si>
  <si>
    <t>Sotherly Hotels Inc. Common Stock</t>
  </si>
  <si>
    <t>Sotherly Hotels Inc. 8.0% Series B Cumulative Redeemable Perpetual Preferred Stock</t>
  </si>
  <si>
    <t>Sotherly Hotels Inc. 8.25% Series D Cumulative Redeemable Perpetual Preferred Stock</t>
  </si>
  <si>
    <t>Sotherly Hotels Inc. 7.875% Series C Cumulative Redeemable Perpetual Preferred Stock</t>
  </si>
  <si>
    <t>Sohu.com Limited American Depositary Shares</t>
  </si>
  <si>
    <t>Solaris Oilfield Infrastructure Inc. Class A Common Stock</t>
  </si>
  <si>
    <t>Southern Company (The) Series 2017B 5.25% Junior Subordinated Notes due December 1 2077</t>
  </si>
  <si>
    <t>Southern Company (The) Series 2020A 4.95% Junior Subordinated Notes due January 30 2080</t>
  </si>
  <si>
    <t>Southern Company (The) Series 2020C 4.20% Junior Subordinated Notes due October 15 2060</t>
  </si>
  <si>
    <t>Emeren Group Ltd American Depositary Shares each representing 10 shares</t>
  </si>
  <si>
    <t>Electrameccanica Vehicles Corp. Ltd. Common Stock</t>
  </si>
  <si>
    <t>Sonoco Products Company Common Stock</t>
  </si>
  <si>
    <t>Sonder Holdings Inc. Class A Common Stock</t>
  </si>
  <si>
    <t>Sonder Holdings Inc. Warrants</t>
  </si>
  <si>
    <t>Sonim Technologies Inc. Common Stock</t>
  </si>
  <si>
    <t>Sonnet BioTherapeutics Holdings Inc. Common Stock</t>
  </si>
  <si>
    <t>Sonos Inc. Common Stock</t>
  </si>
  <si>
    <t xml:space="preserve">Sony Group Corporation American Depositary Shares </t>
  </si>
  <si>
    <t>Society Pass Incorporated Common Stock</t>
  </si>
  <si>
    <t>SOPHiA GENETICS SA Ordinary Shares</t>
  </si>
  <si>
    <t>Source Capital Inc. Common Stock</t>
  </si>
  <si>
    <t>SOS Limited American Depositary Shares</t>
  </si>
  <si>
    <t>Sono-Tek Corporation Common Stock</t>
  </si>
  <si>
    <t>SoundHound AI Inc Class A Common Stock</t>
  </si>
  <si>
    <t>SoundHound AI Inc. Warrant</t>
  </si>
  <si>
    <t>Sovos Brands Inc. Common Stock</t>
  </si>
  <si>
    <t>SP Plus Corporation Common Stock</t>
  </si>
  <si>
    <t>Spectrum Brands Holdings Inc. Common Stock</t>
  </si>
  <si>
    <t>SuperCom Ltd. Ordinary Shares (Israel)</t>
  </si>
  <si>
    <t>Virgin Galactic Holdings Inc. Common Stock</t>
  </si>
  <si>
    <t>Special Opportunities Fund Inc Common Stock</t>
  </si>
  <si>
    <t>Special Opportunities Fund Inc. 2.75% Convertible Preferred Stock Series C</t>
  </si>
  <si>
    <t>Spectaire Holdings Inc. Common Stock</t>
  </si>
  <si>
    <t>Spectaire Holdings Inc. Warrant</t>
  </si>
  <si>
    <t>South Plains Financial Inc. Common Stock</t>
  </si>
  <si>
    <t>Simon Property Group Inc. Common Stock</t>
  </si>
  <si>
    <t>Simon Property Group Inc. Simon Property Group 8 3/8% Series J Cumulative Redeemable Preferred Stock</t>
  </si>
  <si>
    <t>Sacks Parente Golf Inc. Common Stock</t>
  </si>
  <si>
    <t>S&amp;P Global Inc. Common Stock</t>
  </si>
  <si>
    <t>Suburban Propane Partners L.P. Common Stock</t>
  </si>
  <si>
    <t>Sphere Entertainment Co. Class A Common Stock</t>
  </si>
  <si>
    <t>SPI Energy Co. Ltd. Ordinary Shares</t>
  </si>
  <si>
    <t>Spire Global Inc. Class A Common Stock</t>
  </si>
  <si>
    <t>Spark I Acquisition Corp. Class A Ordinary Share</t>
  </si>
  <si>
    <t>Spark I Acquisition Corp. Unit</t>
  </si>
  <si>
    <t>Splunk Inc. Common Stock</t>
  </si>
  <si>
    <t>Steel Partners Holdings LP LTD PARTNERSHIP UNIT</t>
  </si>
  <si>
    <t>Steel Partners Holdings LP 6.0% Series A Preferred Units no par value</t>
  </si>
  <si>
    <t>Sapiens International Corporation N.V. Common Shares (Cayman Islands)</t>
  </si>
  <si>
    <t>SiriusPoint Ltd. Common Shares</t>
  </si>
  <si>
    <t>SiriusPoint Ltd. 8.00% Resettable Fixed Rate Preference Shares Series B $25.00 liquidation preference per share</t>
  </si>
  <si>
    <t>Spok Holdings Inc. Common Stock</t>
  </si>
  <si>
    <t>Spotify Technology S.A. Ordinary Shares</t>
  </si>
  <si>
    <t>SIMPPLE LTD. Ordinary Shares</t>
  </si>
  <si>
    <t>Spirit Aerosystems Holdings Inc. Common Stock</t>
  </si>
  <si>
    <t>Spruce Biosciences Inc. Common Stock</t>
  </si>
  <si>
    <t>SciSparc Ltd. Ordinary Shares</t>
  </si>
  <si>
    <t>Spero Therapeutics Inc. Common Stock</t>
  </si>
  <si>
    <t>Spruce Power Holding Corporation Class A Common Stock</t>
  </si>
  <si>
    <t>ARS Pharmaceuticals Inc. Common Stock</t>
  </si>
  <si>
    <t>SPS Commerce Inc. Common Stock</t>
  </si>
  <si>
    <t>Sprout Social Inc Class A Common Stock</t>
  </si>
  <si>
    <t>SpartanNash Company Common Stock</t>
  </si>
  <si>
    <t>Sportsman's Warehouse Holdings Inc. Common Stock</t>
  </si>
  <si>
    <t>SunPower Corporation Common Stock</t>
  </si>
  <si>
    <t>SPX Technologies Inc. Common Stock</t>
  </si>
  <si>
    <t>Nuveen S&amp;P 500 Dynamic Overwrite Fund</t>
  </si>
  <si>
    <t>Block Inc. Class A Common Stock</t>
  </si>
  <si>
    <t>Presidio Property Trust Inc. Class A Common Stock</t>
  </si>
  <si>
    <t>Presidio Property Trust Inc. 9.375% Series D Cumulative Redeemable Perpetual Preferred Stock $0.01 par value per share</t>
  </si>
  <si>
    <t>Presidio Property Trust Inc. Series A Common Stock Purchase Warrants</t>
  </si>
  <si>
    <t>Sociedad Quimica y Minera S.A. Common Stock</t>
  </si>
  <si>
    <t>Sequans Communications S.A. American Depositary Shares</t>
  </si>
  <si>
    <t>Squarespace Inc. Class A Common Stock</t>
  </si>
  <si>
    <t>Spire Inc. Common Stock</t>
  </si>
  <si>
    <t>Spire Inc. Depositary Shares each representing a 1/1000th interest in a share of 5.90% Series A Cumulative Redeemable Perpetual Preferred Stock</t>
  </si>
  <si>
    <t>Sportradar Group AG Class A Ordinary Shares</t>
  </si>
  <si>
    <t>SR Bancorp Inc. Common stock</t>
  </si>
  <si>
    <t>Spirit Realty Capital Inc. Common Stock</t>
  </si>
  <si>
    <t>Spirit Realty Capital Inc. 6.000% Series A Cumulative Redeemable Preferred Stock</t>
  </si>
  <si>
    <t>1st Source Corporation Common Stock</t>
  </si>
  <si>
    <t>Stericycle Inc. Common Stock</t>
  </si>
  <si>
    <t>Surmodics Inc. Common Stock</t>
  </si>
  <si>
    <t>DBA Sempra Common Stock</t>
  </si>
  <si>
    <t>DBA Sempra 5.750% Junior Subordinated Notes due 2079</t>
  </si>
  <si>
    <t>Surf Air Mobility Inc. Common Stock</t>
  </si>
  <si>
    <t>Seritage Growth Properties Class A Common Stock</t>
  </si>
  <si>
    <t>Seritage Growth Properties 7.00% Series A Cumulative Redeemable Preferred Shares of Beneficial Interest</t>
  </si>
  <si>
    <t>Stoneridge Inc. Common Stock</t>
  </si>
  <si>
    <t>Scully Royalty Ltd.</t>
  </si>
  <si>
    <t>SRM Entertainment Inc. Common Stock</t>
  </si>
  <si>
    <t>Sarepta Therapeutics Inc. Common Stock (DE)</t>
  </si>
  <si>
    <t>Scholar Rock Holding Corporation Common Stock</t>
  </si>
  <si>
    <t>Sensus Healthcare Inc. Common Stock</t>
  </si>
  <si>
    <t>NXG Cushing Midstream Energy Fund Common Shares of Beneficial Interest</t>
  </si>
  <si>
    <t>Surrozen Inc. Common Stock</t>
  </si>
  <si>
    <t>Surrozen Inc. Warrant</t>
  </si>
  <si>
    <t>SouthState Corporation Common Stock</t>
  </si>
  <si>
    <t>Summit State Bank Common Stock</t>
  </si>
  <si>
    <t>Southern States Bancshares Inc. Common Stock</t>
  </si>
  <si>
    <t>Simpson Manufacturing Company Inc. Common Stock</t>
  </si>
  <si>
    <t>Silver Spike Investment Corp. Common Stock</t>
  </si>
  <si>
    <t>Strata Skin Sciences Inc. Common Stock</t>
  </si>
  <si>
    <t>Sasol Ltd. American Depositary Shares</t>
  </si>
  <si>
    <t>SS&amp;C Technologies Holdings Inc. Common Stock</t>
  </si>
  <si>
    <t>SilverSun Technologies Inc. Common Stock</t>
  </si>
  <si>
    <t>E.W. Scripps Company (The) Class A Common Stock</t>
  </si>
  <si>
    <t>SSR Mining Inc. Common Stock</t>
  </si>
  <si>
    <t>SuRo Capital Corp. Common Stock</t>
  </si>
  <si>
    <t>SuRo Capital Corp. 6.00% Notes due 2026</t>
  </si>
  <si>
    <t>System1 Inc. Class A Common Stock</t>
  </si>
  <si>
    <t>SoundThinking Inc. Common Stock</t>
  </si>
  <si>
    <t>Shutterstock Inc. Common Stock</t>
  </si>
  <si>
    <t>SunLink Health Systems Inc. Common Stock</t>
  </si>
  <si>
    <t>Stratasys Ltd. Ordinary Shares (Israel)</t>
  </si>
  <si>
    <t>Sensata Technologies Holding plc Ordinary Shares</t>
  </si>
  <si>
    <t>STAAR Surgical Company Common Stock</t>
  </si>
  <si>
    <t>Staffing 360 Solutions Inc. Common Stock (DE)</t>
  </si>
  <si>
    <t>Stag Industrial Inc. Common Stock</t>
  </si>
  <si>
    <t>S&amp;T Bancorp Inc. Common Stock</t>
  </si>
  <si>
    <t>Starbox Group Holdings Ltd. Ordinary Shares</t>
  </si>
  <si>
    <t>Stewart Information Services Corporation Common Stock</t>
  </si>
  <si>
    <t>Steel Connect Inc. Common Stock</t>
  </si>
  <si>
    <t>STERIS plc (Ireland) Ordinary Shares</t>
  </si>
  <si>
    <t>Stellar Bancorp Inc. Common Stock</t>
  </si>
  <si>
    <t>Stem Inc. Class A Common Stock</t>
  </si>
  <si>
    <t>StepStone Group Inc. Class A Common Stock</t>
  </si>
  <si>
    <t>Sterling Check Corp. Common Stock</t>
  </si>
  <si>
    <t>SRH Total Return Fund Inc. Common Stock</t>
  </si>
  <si>
    <t>Sunlands Technology Group American Depositary Shares representing Class A ordinary shares</t>
  </si>
  <si>
    <t>Stagwell Inc. Class A Common Stock</t>
  </si>
  <si>
    <t>Star Holdings Shares of Beneficial Interest</t>
  </si>
  <si>
    <t>Neuronetics Inc. Common Stock</t>
  </si>
  <si>
    <t>Semantix Inc. Class A Ordinary Shares</t>
  </si>
  <si>
    <t>Semantix Inc. Warrant</t>
  </si>
  <si>
    <t>Columbia Seligman Premium Technology Growth Fund Inc</t>
  </si>
  <si>
    <t>Steakholder Foods Ltd. American Depositary Shares</t>
  </si>
  <si>
    <t>SunOpta Inc. Common Stock</t>
  </si>
  <si>
    <t>The ONE Group Hospitality Inc. Common Stock</t>
  </si>
  <si>
    <t>Stellantis N.V. Common Shares</t>
  </si>
  <si>
    <t>Steel Dynamics Inc.</t>
  </si>
  <si>
    <t>STMicroelectronics N.V. Common Stock</t>
  </si>
  <si>
    <t>Stantec Inc Common Stock</t>
  </si>
  <si>
    <t>StoneCo Ltd. Class A Common Shares</t>
  </si>
  <si>
    <t>Scorpio Tankers Inc. Common Shares</t>
  </si>
  <si>
    <t>Stoke Therapeutics Inc. Common Stock</t>
  </si>
  <si>
    <t>Sitio Royalties Corp. Class A Common Stock</t>
  </si>
  <si>
    <t>Strategic Education Inc. Common Stock</t>
  </si>
  <si>
    <t>Sarcos Technology and Robotics Corporation Common Stock</t>
  </si>
  <si>
    <t>Sarcos Technology and Robotics Corporation Warrants</t>
  </si>
  <si>
    <t>Sterling Infrastructure Inc. Common Stock</t>
  </si>
  <si>
    <t>Streamline Health Solutions Inc. Common Stock</t>
  </si>
  <si>
    <t>Sutro Biopharma Inc. Common Stock</t>
  </si>
  <si>
    <t>Star Equity Holdings Inc. Common Stock</t>
  </si>
  <si>
    <t>Star Equity Holdings Inc. Series A Cumulative Perpetual Preferred Stock</t>
  </si>
  <si>
    <t>Stratus Properties Inc. Common Stock</t>
  </si>
  <si>
    <t>STRATTEC SECURITY CORPORATION Common Stock</t>
  </si>
  <si>
    <t>Strawberry Fields REIT Inc. Common Stock</t>
  </si>
  <si>
    <t>Sharps Technology Inc. Common Stock</t>
  </si>
  <si>
    <t>Sharps Technology Inc. Warrant</t>
  </si>
  <si>
    <t>State Street Corporation Common Stock</t>
  </si>
  <si>
    <t>State Street Corporation Depositary Shares representing 1/4000th Perpetual Preferred Series D</t>
  </si>
  <si>
    <t>State Street Corporation Depositary shares each representing a 1/4000th ownership interest in a share of Fixed-to-Floating Rate Non-Cumulative</t>
  </si>
  <si>
    <t>Shattuck Labs Inc. Common Stock</t>
  </si>
  <si>
    <t>Stevanato Group S.p.A. Ordinary Shares</t>
  </si>
  <si>
    <t>STARWOOD PROPERTY TRUST INC. Starwood Property Trust Inc.</t>
  </si>
  <si>
    <t>Seagate Technology Holdings PLC Ordinary Shares (Ireland)</t>
  </si>
  <si>
    <t>Stereotaxis Inc. Common Stock</t>
  </si>
  <si>
    <t>Constellation Brands Inc. Common Stock</t>
  </si>
  <si>
    <t>Suncor Energy  Inc. Common Stock</t>
  </si>
  <si>
    <t>Sun Communities Inc. Common Stock</t>
  </si>
  <si>
    <t>Summit Materials Inc. Class A Common Stock</t>
  </si>
  <si>
    <t>Sunoco LP Common Units representing limited partner interests</t>
  </si>
  <si>
    <t>Sunworks Inc. Common Stock</t>
  </si>
  <si>
    <t>Superior Industries International Inc. Common Stock (DE)</t>
  </si>
  <si>
    <t>Supernus Pharmaceuticals Inc. Common Stock</t>
  </si>
  <si>
    <t>Grupo Supervielle S.A. American Depositary Shares each Representing five Class B shares</t>
  </si>
  <si>
    <t>SurgePays Inc. Common Stock</t>
  </si>
  <si>
    <t>SurgePays Inc. Warrant</t>
  </si>
  <si>
    <t>Suzano S.A. American Depositary Shares (each representing One Ordinary Share)</t>
  </si>
  <si>
    <t>Service Properties Trust Common Stock</t>
  </si>
  <si>
    <t>Save Foods Inc. Common Stock</t>
  </si>
  <si>
    <t>Spring Valley Acquisition Corp. II Class A Ordinary Shares</t>
  </si>
  <si>
    <t>Spring Valley Acquisition Corp. II Rights</t>
  </si>
  <si>
    <t>Spring Valley Acquisition Corp. II Warrant</t>
  </si>
  <si>
    <t>Silvercorp Metals Inc. Common Shares</t>
  </si>
  <si>
    <t>SRIVARU Holding Limited Ordinary Shares</t>
  </si>
  <si>
    <t>SRIVARU Holding Limited Warrant</t>
  </si>
  <si>
    <t>Savara Inc. Common Stock</t>
  </si>
  <si>
    <t>SaverOne 2014 Ltd. American Depositary Shares</t>
  </si>
  <si>
    <t>Servotronics Inc. Common Stock</t>
  </si>
  <si>
    <t>Savers Value Village Inc. Common Stock</t>
  </si>
  <si>
    <t>Stran &amp; Company Inc. Common Stock</t>
  </si>
  <si>
    <t>Stran &amp; Company Inc. Warrant</t>
  </si>
  <si>
    <t>ShockWave Medical Inc. Common Stock</t>
  </si>
  <si>
    <t>Smith &amp; Wesson Brands Inc. Common Stock</t>
  </si>
  <si>
    <t>SolarWinds Corporation Common Stock</t>
  </si>
  <si>
    <t>Latham Group Inc. Common Stock</t>
  </si>
  <si>
    <t>Solowin Holdings Ordinary Share</t>
  </si>
  <si>
    <t>Stanley Black &amp; Decker Inc. Common Stock</t>
  </si>
  <si>
    <t>SWK Holdings Corporation Common Stock</t>
  </si>
  <si>
    <t>SWK Holdings Corporation 9.00% Senior Notes due 2027</t>
  </si>
  <si>
    <t>Skyworks Solutions Inc. Common Stock</t>
  </si>
  <si>
    <t>Southwestern Energy Company Common Stock</t>
  </si>
  <si>
    <t>Clean Energy Special Situations Corp. Common stock</t>
  </si>
  <si>
    <t>SpringWorks Therapeutics Inc. Common Stock</t>
  </si>
  <si>
    <t>Swvl Holdings Corp Class A Common Shares</t>
  </si>
  <si>
    <t>Swvl Holdings Corp Warrant</t>
  </si>
  <si>
    <t>Southwest Gas Holdings Inc. Common Stock (DE)</t>
  </si>
  <si>
    <t>Swiss Helvetia Fund Inc. (The) Common Stock</t>
  </si>
  <si>
    <t>SunCoke Energy Inc. Common Stock</t>
  </si>
  <si>
    <t>Standex International Corporation Common Stock</t>
  </si>
  <si>
    <t>Sensient Technologies Corporation Common Stock</t>
  </si>
  <si>
    <t>China SXT Pharmaceuticals Inc. Ordinary Shares</t>
  </si>
  <si>
    <t>60 Degrees Pharmaceuticals Inc. Common Stock</t>
  </si>
  <si>
    <t>60 Degrees Pharmaceuticals Inc. Warrant</t>
  </si>
  <si>
    <t>So-Young International Inc. American Depository Shares</t>
  </si>
  <si>
    <t>Stock Yards Bancorp Inc. Common Stock</t>
  </si>
  <si>
    <t>Synlogic Inc. Common Stock</t>
  </si>
  <si>
    <t>Synchrony Financial Common Stock</t>
  </si>
  <si>
    <t>Synchrony Financial Depositary Shares each Representing a 1/40th Interest in a Share of 5.625% Fixed Rate Non-Cumulative Perpetual Preferred Stock Series A</t>
  </si>
  <si>
    <t>Stryker Corporation Common Stock</t>
  </si>
  <si>
    <t>Symbotic Inc. Class A Common Stock</t>
  </si>
  <si>
    <t>Synaptics Incorporated Common Stock $0.001 Par Value</t>
  </si>
  <si>
    <t>Sypris Solutions Inc. Common Stock</t>
  </si>
  <si>
    <t>Syra Health Corp. Class A Common Stock</t>
  </si>
  <si>
    <t>Spyre Therapeutics Inc. Common Stock</t>
  </si>
  <si>
    <t>Syros Pharmaceuticals Inc. Common Stock</t>
  </si>
  <si>
    <t>SYLA Technologies Co. Ltd. American Depositary Shares</t>
  </si>
  <si>
    <t>Siyata Mobile Inc. Common Shares</t>
  </si>
  <si>
    <t>Siyata Mobile Inc. Warrant</t>
  </si>
  <si>
    <t>Sysco Corporation Common Stock</t>
  </si>
  <si>
    <t>Sizzle Acquisition Corp. Common stock</t>
  </si>
  <si>
    <t>Sizzle Acquisition Corp. Warrant</t>
  </si>
  <si>
    <t>AT&amp;T Inc.</t>
  </si>
  <si>
    <t>AT&amp;T Inc. Depositary Shares each representing a 1/1000th interest in a share of 5.000% Perpetual Preferred Stock Series A</t>
  </si>
  <si>
    <t>AT&amp;T Inc. Depositary Shares each representing a 1/1000th interest in a share of 4.750% Perpetual Preferred Stock Series C</t>
  </si>
  <si>
    <t>TransAlta Corporation Ordinary Shares</t>
  </si>
  <si>
    <t>TransAct Technologies Incorporated Common Stock</t>
  </si>
  <si>
    <t>Taitron Components Incorporated Class A Common Stock</t>
  </si>
  <si>
    <t>Takeda Pharmaceutical Company Limited American Depositary Shares (each representing 1/2 of a share of Common Stock)</t>
  </si>
  <si>
    <t>TAL Education Group American Depositary Shares</t>
  </si>
  <si>
    <t>Talkspace Inc. Common Stock</t>
  </si>
  <si>
    <t>Talkspace Inc. Warrant</t>
  </si>
  <si>
    <t>Talos Energy Inc. Common Stock</t>
  </si>
  <si>
    <t>Tantech Holdings Ltd. Common Shares</t>
  </si>
  <si>
    <t xml:space="preserve">Taoping Inc. Ordinary Shares </t>
  </si>
  <si>
    <t>Molson Coors Beverage Company Class B Common Stock</t>
  </si>
  <si>
    <t>Protara Therapeutics Inc.  Common Stock</t>
  </si>
  <si>
    <t>Taro Pharmaceutical Industries Ltd. Ordinary Shares</t>
  </si>
  <si>
    <t>Tarsus Pharmaceuticals Inc. Common Stock</t>
  </si>
  <si>
    <t>TaskUs Inc. Class A Common Stock</t>
  </si>
  <si>
    <t>Carrols Restaurant Group Inc. Common Stock</t>
  </si>
  <si>
    <t>TAT Technologies Ltd. Ordinary Shares</t>
  </si>
  <si>
    <t>Taylor Devices Inc. Common Stock</t>
  </si>
  <si>
    <t>AT&amp;T Inc. 5.350% Global Notes due 2066</t>
  </si>
  <si>
    <t>The Bancorp Inc Common Stock</t>
  </si>
  <si>
    <t>AT&amp;T Inc. 5.625% Global Notes due 2067</t>
  </si>
  <si>
    <t>TrueBlue Inc. Common Stock</t>
  </si>
  <si>
    <t>Telesis Bio Inc. Common Stock</t>
  </si>
  <si>
    <t>Taboola.com Ltd. Ordinary Shares</t>
  </si>
  <si>
    <t>Taboola.com Ltd. Warrant</t>
  </si>
  <si>
    <t>Thornburg Income Builder Opportunities Trust Common Stock</t>
  </si>
  <si>
    <t>ToughBuilt Industries Inc. Common Stock</t>
  </si>
  <si>
    <t>Trailblazer Merger Corporation I Class A Common Stock</t>
  </si>
  <si>
    <t>Trailblazer Merger Corporation I Rights</t>
  </si>
  <si>
    <t>Territorial Bancorp Inc. Common Stock</t>
  </si>
  <si>
    <t>Theravance Biopharma Inc. Ordinary Shares</t>
  </si>
  <si>
    <t>TuanChe Limited American Depositary Shares</t>
  </si>
  <si>
    <t>TC Bancshares Inc. Common Stock</t>
  </si>
  <si>
    <t>Texas Capital Bancshares Inc. Common Stock</t>
  </si>
  <si>
    <t>Texas Capital Bancshares Inc. Depositary Shares 5.75% Fixed Rate Non-Cumulative Perpetual Preferred Stock Series B</t>
  </si>
  <si>
    <t>TriCo Bancshares Common Stock</t>
  </si>
  <si>
    <t>TC BioPharm (Holdings) plc American Depositary Shares</t>
  </si>
  <si>
    <t>TC BioPharm (Holdings) plc Warrants</t>
  </si>
  <si>
    <t>Texas Community Bancshares Inc. Common Stock</t>
  </si>
  <si>
    <t>Third Coast Bancshares Inc. Common Stock</t>
  </si>
  <si>
    <t>Transcontinental Realty Investors Inc. Common Stock</t>
  </si>
  <si>
    <t>Top KingWin Ltd Class A Ordinary Shares</t>
  </si>
  <si>
    <t>Tactile Systems Technology Inc. Common Stock</t>
  </si>
  <si>
    <t>Tricon Residential Inc. Common Shares</t>
  </si>
  <si>
    <t>Zalatoris Acquisition Corp. Class A Common Stock</t>
  </si>
  <si>
    <t>Trip.com Group Limited American Depositary Shares</t>
  </si>
  <si>
    <t>TRACON Pharmaceuticals Inc. Common Stock</t>
  </si>
  <si>
    <t>BlackRock TCP Capital Corp. Common Stock</t>
  </si>
  <si>
    <t>Alaunos Therapeutics Inc. Common Stock</t>
  </si>
  <si>
    <t>TScan Therapeutics Inc. Common Stock</t>
  </si>
  <si>
    <t>Container Store (The) Common Stock</t>
  </si>
  <si>
    <t>Tucows Inc. Class A Common Stock</t>
  </si>
  <si>
    <t>Toronto Dominion Bank (The) Common Stock</t>
  </si>
  <si>
    <t>Teradata Corporation Common Stock</t>
  </si>
  <si>
    <t>TDCX Inc. American Depositary Shares each representing one Class A ordinary share</t>
  </si>
  <si>
    <t>Templeton Dragon Fund Inc. Common Stock</t>
  </si>
  <si>
    <t>Transdigm Group Incorporated Common Stock</t>
  </si>
  <si>
    <t>Teladoc Health Inc. Common Stock</t>
  </si>
  <si>
    <t>Telephone and Data Systems Inc. Common Shares</t>
  </si>
  <si>
    <t>Telephone and Data Systems Inc. Depositary Shares Each Representing a 1/1000th Interest in a 6.625% Series UU Cumulative Redeemable Perpetual Preferred Stock</t>
  </si>
  <si>
    <t>Telephone and Data Systems Inc. Depositary Shares Each Representing a 1/1000th Interest in a 6.000% Series VV Cumulative Redeemable Perpetual Preferred Stock</t>
  </si>
  <si>
    <t>ThredUp Inc. Class A Common Stock</t>
  </si>
  <si>
    <t>Tidewater Inc. Common Stock</t>
  </si>
  <si>
    <t>Teledyne Technologies Incorporated Common Stock</t>
  </si>
  <si>
    <t>Ecofin Sustainable and Social Impact Term Fund</t>
  </si>
  <si>
    <t>Atlassian Corporation Class A Common Stock</t>
  </si>
  <si>
    <t>Bio-Techne Corp Common Stock</t>
  </si>
  <si>
    <t>Teck Resources Ltd Ordinary Shares</t>
  </si>
  <si>
    <t>Tectonic Financial Inc. 9.00% Fixed-to-Floating Rate Series B Non-Cumulative Perpetual Preferred Stock</t>
  </si>
  <si>
    <t>Tarena International Inc. American Depositary Shares</t>
  </si>
  <si>
    <t>Telefonica SA Common Stock</t>
  </si>
  <si>
    <t>Templeton Emerging Markets Income Fund Inc. Common Stock</t>
  </si>
  <si>
    <t>TE Connectivity Ltd. New Switzerland Registered Shares</t>
  </si>
  <si>
    <t>TELA Bio Inc. Common Stock</t>
  </si>
  <si>
    <t>Tellurian Inc. Common Stock</t>
  </si>
  <si>
    <t>Tellurian Inc. 8.25% Senior Notes due 2028</t>
  </si>
  <si>
    <t>Tenable Holdings Inc. Common Stock</t>
  </si>
  <si>
    <t>TenX Keane Acquisition Ordinary Share</t>
  </si>
  <si>
    <t>TenX Keane Acquisition Right</t>
  </si>
  <si>
    <t>Tenax Therapeutics Inc. Common Stock</t>
  </si>
  <si>
    <t>Telecom Argentina SA</t>
  </si>
  <si>
    <t>Teradyne Inc. Common Stock</t>
  </si>
  <si>
    <t>Terns Pharmaceuticals Inc. Common Stock</t>
  </si>
  <si>
    <t>Technology &amp; Telecommunication Acquisition Corporation Class A Ordinary Shares</t>
  </si>
  <si>
    <t>Technology &amp; Telecommunication Acquisition Corporation Warrant</t>
  </si>
  <si>
    <t>Teva Pharmaceutical Industries Limited American Depositary Shares</t>
  </si>
  <si>
    <t>Terex Corporation Common Stock</t>
  </si>
  <si>
    <t>Truist Financial Corporation Common Stock</t>
  </si>
  <si>
    <t>Truist Financial Corporation Depositary Shares</t>
  </si>
  <si>
    <t>Truist Financial Corporation Depositary Shares Each Representing a 1/1000th Interest in a Share of Series O Non-Cumulative Perpetual Preferred Stock</t>
  </si>
  <si>
    <t>Truist Financial Corporation Depositary Shares each representing 1/1000th interest in a share of Series R Non-Cumulative Perpetual Preferred Stock</t>
  </si>
  <si>
    <t>TFF Pharmaceuticals Inc. Common Stock</t>
  </si>
  <si>
    <t>TFI International Inc. Common Shares</t>
  </si>
  <si>
    <t>Triumph Financial Inc. Common Stock</t>
  </si>
  <si>
    <t>Triumph Financial Inc. Depositary Shares Each Representing a 1/40th Interest in a Share of 7.125% Series C Fixed-Rate Non-Cumulative Perpetual Preferred Stock</t>
  </si>
  <si>
    <t>Triple Flag Precious Metals Corp. Common Shares</t>
  </si>
  <si>
    <t>Terra Income Fund 6 LLC 7.00% Notes due 2026</t>
  </si>
  <si>
    <t>TFS Financial Corporation Common Stock</t>
  </si>
  <si>
    <t>Teleflex Incorporated Common Stock</t>
  </si>
  <si>
    <t>Tredegar Corporation Common Stock</t>
  </si>
  <si>
    <t>Target Global Acquisition I Corp. Class A Ordinary Share</t>
  </si>
  <si>
    <t>Target Global Acquisition I Corp. Warrant</t>
  </si>
  <si>
    <t>Transphorm Inc. Common Stock</t>
  </si>
  <si>
    <t>Taseko Mines Ltd. Common Stock</t>
  </si>
  <si>
    <t>Textainer Group Holdings Limited Common Shares</t>
  </si>
  <si>
    <t>Textainer Group Holdings Limited Depositary Shares each representing a 1/1000th interest in a share of 7.000% Series A Cumulative Redeemable Perpetual Preference Shares</t>
  </si>
  <si>
    <t>Textainer Group Holdings Limited Depositary Shares each representing a 1/1000th interest in a share of 6.250% Series B Cumulative Redeemable Perpetual Preference Shares</t>
  </si>
  <si>
    <t>Triumph Group Inc. Common Stock</t>
  </si>
  <si>
    <t>Treasure Global Inc. Common Stock</t>
  </si>
  <si>
    <t>Tecnoglass Inc. Ordinary Shares</t>
  </si>
  <si>
    <t>TEGNA Inc</t>
  </si>
  <si>
    <t>Transportadora de Gas del Sur SA TGS Common Stock</t>
  </si>
  <si>
    <t>Target Corporation Common Stock</t>
  </si>
  <si>
    <t>TG Therapeutics Inc. Common Stock</t>
  </si>
  <si>
    <t>TG Venture Acquisition Corp. Class A Common Stock</t>
  </si>
  <si>
    <t>TG Venture Acquisition Corp. Warrants</t>
  </si>
  <si>
    <t>Target Hospitality Corp. Common Stock</t>
  </si>
  <si>
    <t>Tharimmune Inc. Common Stock</t>
  </si>
  <si>
    <t>Tenet Healthcare Corporation Common Stock</t>
  </si>
  <si>
    <t>TH International Limited Ordinary shares</t>
  </si>
  <si>
    <t>Thunder Bridge Capital Partners IV Inc. Class A Common Stock</t>
  </si>
  <si>
    <t>Thunder Bridge Capital Partners IV Inc. Unit</t>
  </si>
  <si>
    <t>First Financial Corporation Indiana Common Stock</t>
  </si>
  <si>
    <t>Hanover Insurance Group Inc</t>
  </si>
  <si>
    <t>International Tower Hill Mines Ltd. Ordinary Shares (Canada)</t>
  </si>
  <si>
    <t>ThermoGenesis Holdings Inc. Common Stock</t>
  </si>
  <si>
    <t>Thor Industries Inc. Common Stock</t>
  </si>
  <si>
    <t>abrdn Healthcare Opportunities Fund Shares of Beneficial Interest</t>
  </si>
  <si>
    <t>Thermon Group Holdings Inc. Common Stock</t>
  </si>
  <si>
    <t>Third Harmonic Bio Inc. Common Stock</t>
  </si>
  <si>
    <t>Gentherm Inc Common Stock</t>
  </si>
  <si>
    <t>Theseus Pharmaceuticals Inc. Common Stock</t>
  </si>
  <si>
    <t>Thryv Holdings Inc. Common Stock</t>
  </si>
  <si>
    <t>Treehouse Foods Inc. Common Stock</t>
  </si>
  <si>
    <t>Theratechnologies Inc. Common Shares</t>
  </si>
  <si>
    <t>abrdn World Healthcare Fund Shares of Beneficial Interest</t>
  </si>
  <si>
    <t>Target Hospitality Corp. Warrant expiring 3/15/2024</t>
  </si>
  <si>
    <t>Millicom International Cellular S.A. Common Stock</t>
  </si>
  <si>
    <t>UP Fintech Holding Ltd American Depositary Share representing fifteen Class A Ordinary Shares</t>
  </si>
  <si>
    <t>Instil Bio Inc. Common Stock</t>
  </si>
  <si>
    <t>Interface Inc. Common Stock</t>
  </si>
  <si>
    <t xml:space="preserve">TIM S.A. American Depositary Shares (Each representing 5 Common Shares) </t>
  </si>
  <si>
    <t>Tiptree Inc. Common Stock</t>
  </si>
  <si>
    <t>TIAN RUIXIANG Holdings Ltd Class A Ordinary Shares</t>
  </si>
  <si>
    <t>Team Inc. Common Stock</t>
  </si>
  <si>
    <t>Titan Machinery Inc. Common Stock</t>
  </si>
  <si>
    <t>Tivic Health Systems Inc. Common Stock</t>
  </si>
  <si>
    <t>TELUS International (Cda) Inc. Subordinate Voting Shares</t>
  </si>
  <si>
    <t>TJX Companies Inc. (The) Common Stock</t>
  </si>
  <si>
    <t>Teekay Corporation Common Stock</t>
  </si>
  <si>
    <t>Turkcell Iletisim Hizmetleri AS Common Stock</t>
  </si>
  <si>
    <t>Yoshitsu Co. Ltd American Depositary Shares</t>
  </si>
  <si>
    <t>Alpha Teknova Inc. Common Stock</t>
  </si>
  <si>
    <t>TKO Group Holdings Inc. Class A Common Stock</t>
  </si>
  <si>
    <t>Timken Company (The) Common Stock</t>
  </si>
  <si>
    <t>Tandy Leather Factory Inc. Common Stock</t>
  </si>
  <si>
    <t>TLGY Acquisition Corporation Class A Ordinary Share</t>
  </si>
  <si>
    <t>Talis Biomedical Corporation Common Stock</t>
  </si>
  <si>
    <t>PT Telekomunikasi Indonesia Tbk</t>
  </si>
  <si>
    <t xml:space="preserve">Tilray Brands Inc. Common Stock </t>
  </si>
  <si>
    <t>Telos Corporation Common Stock</t>
  </si>
  <si>
    <t>Tiziana Life Sciences Ltd. Common Shares</t>
  </si>
  <si>
    <t>TriSalus Life Sciences Inc. Common Stock</t>
  </si>
  <si>
    <t>TriSalus Life Sciences Inc. Warrant</t>
  </si>
  <si>
    <t>Tilly's Inc. Common Stock</t>
  </si>
  <si>
    <t>Toyota Motor Corporation Common Stock</t>
  </si>
  <si>
    <t>TMC the metals company Inc. Common Stock</t>
  </si>
  <si>
    <t>Treace Medical Concepts Inc. Common Stock</t>
  </si>
  <si>
    <t>TMC the metals company Inc. Warrants</t>
  </si>
  <si>
    <t>TransMedics Group Inc. Common Stock</t>
  </si>
  <si>
    <t>Tencent Music Entertainment Group American Depositary Shares each representing two Class A Ordinary Shares</t>
  </si>
  <si>
    <t>Taylor Morrison Home Corporation Common Stock</t>
  </si>
  <si>
    <t>Thermo Fisher Scientific Inc Common Stock</t>
  </si>
  <si>
    <t>Tompkins Financial Corporation Common Stock</t>
  </si>
  <si>
    <t>Trilogy Metals Inc. Common Stock</t>
  </si>
  <si>
    <t>TimkenSteel Corporation Common Shares</t>
  </si>
  <si>
    <t>TMT Acquisition Corp Ordinary Shares</t>
  </si>
  <si>
    <t>TMT Acquisition Corp Rights</t>
  </si>
  <si>
    <t>T-Mobile US Inc. Common Stock</t>
  </si>
  <si>
    <t>Tennant Company Common Stock</t>
  </si>
  <si>
    <t>Tandem Diabetes Care Inc. Common Stock</t>
  </si>
  <si>
    <t>TriNet Group Inc. Common Stock</t>
  </si>
  <si>
    <t>Tango Therapeutics Inc.</t>
  </si>
  <si>
    <t>Teekay Tankers Ltd.</t>
  </si>
  <si>
    <t>Travel   Leisure Co. Common  Stock</t>
  </si>
  <si>
    <t>Tenon Medical Inc. Common Stock</t>
  </si>
  <si>
    <t>Tsakos Energy Navigation Ltd Common Shares</t>
  </si>
  <si>
    <t>Tsakos Energy Navigation Ltd Series E Fixed-to-Floating Rate Cumulative Redeemable Perpetual Preferred Shares par value $1.00</t>
  </si>
  <si>
    <t>Tsakos Energy Navigation Ltd Series F Fixed-to-Floating Rate Cumulative Redeemable Perpetual Preferred Shares par value $1.00</t>
  </si>
  <si>
    <t>Tonix Pharmaceuticals Holding Corp. Common Stock</t>
  </si>
  <si>
    <t>Tenaya Therapeutics Inc. Common Stock</t>
  </si>
  <si>
    <t>The Oncology Institute Inc. Common Stock</t>
  </si>
  <si>
    <t>Toll Brothers Inc. Common Stock</t>
  </si>
  <si>
    <t>TOMI Environmental Solutions Inc. Common Stock</t>
  </si>
  <si>
    <t>Kartoon Studios Inc. Common Stock</t>
  </si>
  <si>
    <t>TOP Financial Group Limited Ordinary Shares</t>
  </si>
  <si>
    <t>TOP Ships Inc. Common Stock</t>
  </si>
  <si>
    <t>Toro Corp. Common Stock</t>
  </si>
  <si>
    <t>Toast Inc. Class A Common Stock</t>
  </si>
  <si>
    <t>Tuniu Corporation American Depositary Shares</t>
  </si>
  <si>
    <t>Theriva Biologics Inc. Common Stock</t>
  </si>
  <si>
    <t>TowneBank Common Stock</t>
  </si>
  <si>
    <t>Turning Point Brands Inc. Common Stock</t>
  </si>
  <si>
    <t>Tutor Perini Corporation Common Stock</t>
  </si>
  <si>
    <t>TechPrecision Corporation Common stock</t>
  </si>
  <si>
    <t>Trio Petroleum Corp. Common Stock</t>
  </si>
  <si>
    <t>TPG Inc. Class A Common Stock</t>
  </si>
  <si>
    <t>Tri Pointe Homes Inc. Common Stock</t>
  </si>
  <si>
    <t>Trinity Place Holdings Inc. Common Stock</t>
  </si>
  <si>
    <t>TPI Composites Inc. Common Stock</t>
  </si>
  <si>
    <t>Texas Pacific Land Corporation Common Stock</t>
  </si>
  <si>
    <t>Tapestry Inc. Common Stock</t>
  </si>
  <si>
    <t>Tempest Therapeutics Inc. Common Stock</t>
  </si>
  <si>
    <t>Terra Property Trust Inc. 6.00% Notes due 2026</t>
  </si>
  <si>
    <t>TriplePoint Venture Growth BDC Corp. Common Stock</t>
  </si>
  <si>
    <t>Tempur Sealy International Inc. Common Stock</t>
  </si>
  <si>
    <t>Tortoise Power and Energy Infrastructure Fund Inc Common Stock</t>
  </si>
  <si>
    <t>Tootsie Roll Industries Inc. Common Stock</t>
  </si>
  <si>
    <t>ReposiTrak Inc. Common Stock</t>
  </si>
  <si>
    <t>Tejon Ranch Co Common Stock</t>
  </si>
  <si>
    <t>Entrada Therapeutics Inc. Common Stock</t>
  </si>
  <si>
    <t>LendingTree Inc. Common Stock</t>
  </si>
  <si>
    <t>Trex Company Inc. Common Stock</t>
  </si>
  <si>
    <t>Targa Resources Inc. Common Stock</t>
  </si>
  <si>
    <t>Thomson Reuters Corp Common Shares</t>
  </si>
  <si>
    <t>Trinity Biotech plc American Depositary Shares</t>
  </si>
  <si>
    <t>Trinity Capital Inc. Common Stock</t>
  </si>
  <si>
    <t>Trinity Capital Inc. 7.00% Notes Due 2025</t>
  </si>
  <si>
    <t>TripAdvisor Inc. Common Stock</t>
  </si>
  <si>
    <t>Tristar Acquisition I Corp. Class A Ordinary Shares</t>
  </si>
  <si>
    <t>Trimble Inc. Common Stock</t>
  </si>
  <si>
    <t>TORM plc Class A Common Stock</t>
  </si>
  <si>
    <t>Trustmark Corporation Common Stock</t>
  </si>
  <si>
    <t>Tourmaline Bio Inc. Common Stock</t>
  </si>
  <si>
    <t>Tremor International Ltd. American Depository Shares</t>
  </si>
  <si>
    <t>Trinity Industries Inc. Common Stock</t>
  </si>
  <si>
    <t>Terreno Realty Corporation Common Stock</t>
  </si>
  <si>
    <t>Interactive Strength Inc. Common Stock</t>
  </si>
  <si>
    <t>Transcat Inc. Common Stock</t>
  </si>
  <si>
    <t>Corner Growth Acquisition Corp. 2 Class A Ordinary Share</t>
  </si>
  <si>
    <t>Corner Growth Acquisition Corp. 2 Warrants</t>
  </si>
  <si>
    <t xml:space="preserve">TROOPS Inc. Ordinary Shares </t>
  </si>
  <si>
    <t>T. Rowe Price Group Inc. Common Stock</t>
  </si>
  <si>
    <t>Tronox Holdings plc Ordinary Shares (UK)</t>
  </si>
  <si>
    <t>TC Energy Corporation Common Stock</t>
  </si>
  <si>
    <t>TriMas Corporation Common Stock</t>
  </si>
  <si>
    <t>TrustCo Bank Corp NY Common Stock</t>
  </si>
  <si>
    <t>Trio-Tech International Common Stock</t>
  </si>
  <si>
    <t>TortoiseEcofin Acquisition Corp. III Class A Ordinary Shares</t>
  </si>
  <si>
    <t>Triton International Limited 8.50% Series A Cumulative Redeemable Perpetual  Preference Shares</t>
  </si>
  <si>
    <t>Triton International Limited 8.00% Series B Cumulative Redeemable Perpetual Preference Shares</t>
  </si>
  <si>
    <t>Triton International Limited 7.375% Series C Cumulative Redeemable Perpetual Preference Shares</t>
  </si>
  <si>
    <t>Triton International Limited 6.875% Series D Cumulative Redeemable Perpetual Preference Shares</t>
  </si>
  <si>
    <t>Triton International Limited 5.75% Series E Cumulative Redeemable Perpetual Preference Shares</t>
  </si>
  <si>
    <t>TPG RE Finance Trust Inc. Common Stock</t>
  </si>
  <si>
    <t>TPG RE Finance Trust Inc. 6.25% Series C Cumulative Redeemable Preferred Stock $0.001 par value per share</t>
  </si>
  <si>
    <t>TransUnion Common Stock</t>
  </si>
  <si>
    <t>TrueCar Inc. Common Stock</t>
  </si>
  <si>
    <t>Trupanion Inc. Common Stock</t>
  </si>
  <si>
    <t>The Travelers Companies Inc. Common Stock</t>
  </si>
  <si>
    <t>trivago N.V. American Depositary Shares</t>
  </si>
  <si>
    <t>Trevi Therapeutics Inc. Common Stock</t>
  </si>
  <si>
    <t>Trevena Inc. Common Stock</t>
  </si>
  <si>
    <t>TRX Gold Corporation Common Stock</t>
  </si>
  <si>
    <t>Tenaris S.A. American Depositary Shares</t>
  </si>
  <si>
    <t xml:space="preserve">Telesat Corporation Class A Common Shares and Class B Variable Voting Shares </t>
  </si>
  <si>
    <t>Timberland Bancorp Inc. Common Stock</t>
  </si>
  <si>
    <t>Turnstone Biologics Corp. Common Stock</t>
  </si>
  <si>
    <t>Tractor Supply Company Common Stock</t>
  </si>
  <si>
    <t xml:space="preserve">Trinseo PLC Ordinary Shares </t>
  </si>
  <si>
    <t>Tower Semiconductor Ltd. Ordinary Shares</t>
  </si>
  <si>
    <t>Taysha Gene Therapies Inc. Common Stock</t>
  </si>
  <si>
    <t>TCW Strategic Income Fund Inc. Common Stock</t>
  </si>
  <si>
    <t>Tesla Inc. Common Stock</t>
  </si>
  <si>
    <t>Sixth Street Specialty Lending Inc. Common Stock</t>
  </si>
  <si>
    <t>Taiwan Semiconductor Manufacturing Company Ltd.</t>
  </si>
  <si>
    <t>Tyson Foods Inc. Common Stock</t>
  </si>
  <si>
    <t>TuSimple Holdings Inc. Class A Common Stock</t>
  </si>
  <si>
    <t>Townsquare Media Inc. Class A Common Stock</t>
  </si>
  <si>
    <t>TSR Inc. Common Stock</t>
  </si>
  <si>
    <t xml:space="preserve">2seventy bio Inc. Common Stock </t>
  </si>
  <si>
    <t>Trane Technologies plc</t>
  </si>
  <si>
    <t>Toro Company (The) Common Stock</t>
  </si>
  <si>
    <t>The Trade Desk Inc. Class A Common Stock</t>
  </si>
  <si>
    <t>TotalEnergies SE</t>
  </si>
  <si>
    <t>TTEC Holdings Inc. Common Stock</t>
  </si>
  <si>
    <t>Tetra Tech Inc. Common Stock</t>
  </si>
  <si>
    <t>TechTarget Inc. Common Stock</t>
  </si>
  <si>
    <t>Tetra Technologies Inc. Common Stock</t>
  </si>
  <si>
    <t>TTM Technologies Inc. Common Stock</t>
  </si>
  <si>
    <t>Titan Pharmaceuticals Inc. Common Stock</t>
  </si>
  <si>
    <t>T2 Biosystems Inc. Common Stock</t>
  </si>
  <si>
    <t>Tortoise Pipeline &amp; Energy Fund Inc. Common Stock</t>
  </si>
  <si>
    <t>Tile Shop Holdings Inc. Common Stock</t>
  </si>
  <si>
    <t>Take-Two Interactive Software Inc. Common Stock</t>
  </si>
  <si>
    <t>Telus Corporation Ordinary Shares</t>
  </si>
  <si>
    <t>Tupperware Brands Corporation Common Stock</t>
  </si>
  <si>
    <t>Turbo Energy S.A. American Depositary Shares</t>
  </si>
  <si>
    <t>180 Degree Capital Corp. Common Stock</t>
  </si>
  <si>
    <t>Mammoth Energy Services Inc. Common Stock</t>
  </si>
  <si>
    <t>Tuya Inc. American Depositary Shares each representing one Class A Ordinary Share</t>
  </si>
  <si>
    <t>Grupo Televisa S.A. Common Stock</t>
  </si>
  <si>
    <t>Tennessee Valley Authority Common Stock</t>
  </si>
  <si>
    <t>Tennessee Valley Authority</t>
  </si>
  <si>
    <t>Travere Therapeutics Inc. Common Stock</t>
  </si>
  <si>
    <t>Tradeweb Markets Inc. Class A Common Stock</t>
  </si>
  <si>
    <t>Titan International Inc. (DE) Common Stock</t>
  </si>
  <si>
    <t>Twin Disc Incorporated Common Stock</t>
  </si>
  <si>
    <t>Thoughtworks Holding Inc. Common Stock</t>
  </si>
  <si>
    <t>Twilio Inc. Class A Common Stock</t>
  </si>
  <si>
    <t>Twelve Seas Investment Company II Class A Common Stock</t>
  </si>
  <si>
    <t>Twelve Seas Investment Company II Warrant</t>
  </si>
  <si>
    <t>Taiwan Fund Inc. (The) Common Stock</t>
  </si>
  <si>
    <t>Two Harbors Investment Corp</t>
  </si>
  <si>
    <t>Two Harbors Investments Corp 8.125% Series A Fixed-to-Floating Rate Cumulative Redeemable Preferred Stock ($25.00 liquidation preference per share)</t>
  </si>
  <si>
    <t>Two Harbors Investments Corp 7.625% Series B Fixed-to-Floating Rate Cumulative Redeemable Preferred Stock</t>
  </si>
  <si>
    <t>Two Harbors Investments Corp 7.25% Series C Fixed-to-Floating Rate Cumulative Redeemable Preferred Stock</t>
  </si>
  <si>
    <t>two Class A Ordinary Shares</t>
  </si>
  <si>
    <t>2U Inc. Common Stock</t>
  </si>
  <si>
    <t>Twist Bioscience Corporation Common Stock</t>
  </si>
  <si>
    <t>Ternium S.A. Ternium S.A. American Depositary Shares (each representing ten shares USD1.00 par value)</t>
  </si>
  <si>
    <t>10x Genomics Inc. Class A Common Stock</t>
  </si>
  <si>
    <t>TherapeuticsMD Inc. Common Stock</t>
  </si>
  <si>
    <t>Texas Instruments Incorporated Common Stock</t>
  </si>
  <si>
    <t>TXO Partners L.P. Common Units Representing Limited Partner Interests</t>
  </si>
  <si>
    <t>Texas Roadhouse Inc. Common Stock</t>
  </si>
  <si>
    <t>Textron Inc. Common Stock</t>
  </si>
  <si>
    <t>Tri Continental Corporation Common Stock</t>
  </si>
  <si>
    <t>Tri Continental Corporation Preferred Stock</t>
  </si>
  <si>
    <t>Tortoise Energy Infrastructure Corporation Common Stock</t>
  </si>
  <si>
    <t>Tigo Energy Inc. Common Stock</t>
  </si>
  <si>
    <t>Tyler Technologies Inc. Common Stock</t>
  </si>
  <si>
    <t>Tyra Biosciences Inc. Common Stock</t>
  </si>
  <si>
    <t>Travelzoo Common Stock</t>
  </si>
  <si>
    <t>Unity Software Inc. Common Stock</t>
  </si>
  <si>
    <t>Under Armour Inc. Class C Common Stock</t>
  </si>
  <si>
    <t>Under Armour Inc. Class A Common Stock</t>
  </si>
  <si>
    <t>United Airlines Holdings Inc. Common Stock</t>
  </si>
  <si>
    <t>United States Antimony Corporation Common Stock</t>
  </si>
  <si>
    <t>CVR Partners LP Common Units representing Limited Partner Interests</t>
  </si>
  <si>
    <t>AgEagle Aerial Systems Inc. Common Stock</t>
  </si>
  <si>
    <t>United Bancorp Inc. Common Stock</t>
  </si>
  <si>
    <t>Uber Technologies Inc. Common Stock</t>
  </si>
  <si>
    <t>United Security Bancshares Common Stock</t>
  </si>
  <si>
    <t>UBS Group AG Registered Ordinary Shares</t>
  </si>
  <si>
    <t>United Bankshares Inc. Common Stock</t>
  </si>
  <si>
    <t>Unity Biotechnology Inc. Common Stock</t>
  </si>
  <si>
    <t>U Power Limited Ordinary Shares</t>
  </si>
  <si>
    <t>United Community Banks Inc. Common Stock</t>
  </si>
  <si>
    <t>United Community Banks Inc. Depositary Shares each representing 1/1000th interest in a share of Series I Non-CumulativePreferred Stock</t>
  </si>
  <si>
    <t>uCloudlink Group Inc. American Depositary Shares</t>
  </si>
  <si>
    <t>Ultra Clean Holdings Inc. Common Stock</t>
  </si>
  <si>
    <t>Udemy Inc. Common Stock</t>
  </si>
  <si>
    <t>UDR Inc. Common Stock</t>
  </si>
  <si>
    <t>Urban Edge Properties Common Shares of Beneficial Interest</t>
  </si>
  <si>
    <t>Uranium Energy Corp. Common Stock</t>
  </si>
  <si>
    <t>Universal Electronics Inc. Common Stock</t>
  </si>
  <si>
    <t>United Fire Group Inc. Common Stock</t>
  </si>
  <si>
    <t>Unifi Inc. New Common Stock</t>
  </si>
  <si>
    <t>UFP Industries Inc. Common Stock</t>
  </si>
  <si>
    <t>UFP Technologies Inc. Common Stock</t>
  </si>
  <si>
    <t>United-Guardian Inc. Common Stock</t>
  </si>
  <si>
    <t>UGI Corporation Common Stock</t>
  </si>
  <si>
    <t>UGI Corporation Corporate Units</t>
  </si>
  <si>
    <t>Ultrapar Participacoes S.A. (New) American Depositary Shares (Each representing one Common Share)</t>
  </si>
  <si>
    <t>urban-gro Inc. Common Stock</t>
  </si>
  <si>
    <t>U-Haul Holding Company Common Stock</t>
  </si>
  <si>
    <t>United Homes Group Inc Class A Common Stock</t>
  </si>
  <si>
    <t>United Homes Group Inc. Warrant</t>
  </si>
  <si>
    <t>Universal Health Services Inc. Common Stock</t>
  </si>
  <si>
    <t>Universal Health Realty Income Trust Common Stock</t>
  </si>
  <si>
    <t>Ubiquiti Inc. Common Stock</t>
  </si>
  <si>
    <t>Unisys Corporation New Common Stock</t>
  </si>
  <si>
    <t>Ucommune International Ltd Ordinary Shares</t>
  </si>
  <si>
    <t>Ucommune International Ltd Warrant expiring 11/17/2025</t>
  </si>
  <si>
    <t>Unilever PLC Common Stock</t>
  </si>
  <si>
    <t>Ultralife Corporation Common Stock</t>
  </si>
  <si>
    <t>Frontier Group Holdings Inc. Common Stock</t>
  </si>
  <si>
    <t>Universal Logistics Holdings Inc. Common Stock</t>
  </si>
  <si>
    <t>Ulta Beauty Inc. Common Stock</t>
  </si>
  <si>
    <t>Urgent.ly Inc. Common Stock</t>
  </si>
  <si>
    <t>UMB Financial Corporation Common Stock</t>
  </si>
  <si>
    <t>United Microelectronics Corporation (NEW) Common Stock</t>
  </si>
  <si>
    <t>UMH Properties Inc. Common Stock</t>
  </si>
  <si>
    <t>UMH Properties Inc. 6.375% Series D Cumulative Redeemable Preferred Stock Liquidation Preference $25 per share</t>
  </si>
  <si>
    <t>Union Bankshares Inc. Common Stock</t>
  </si>
  <si>
    <t>Unicycive Therapeutics Inc. Common Stock</t>
  </si>
  <si>
    <t>Unifirst Corporation Common Stock</t>
  </si>
  <si>
    <t>United Natural Foods Inc. Common Stock</t>
  </si>
  <si>
    <t>UnitedHealth Group Incorporated Common Stock (DE)</t>
  </si>
  <si>
    <t>Uniti Group Inc. Common Stock</t>
  </si>
  <si>
    <t>Unum Group Common Stock</t>
  </si>
  <si>
    <t>Unum Group 6.250% Junior Subordinated Notes due 2058</t>
  </si>
  <si>
    <t>Union Pacific Corporation Common Stock</t>
  </si>
  <si>
    <t>Unity Bancorp Inc. Common Stock</t>
  </si>
  <si>
    <t>Urban One Inc. Class A Common Stock</t>
  </si>
  <si>
    <t>Urban One Inc. Class D Common Stock</t>
  </si>
  <si>
    <t>Wheels Up Experience Inc. Class A Common Stock</t>
  </si>
  <si>
    <t>Upbound Group Inc. Common Stock</t>
  </si>
  <si>
    <t>Universe Pharmaceuticals Inc. Ordinary Shares</t>
  </si>
  <si>
    <t>Upland Software Inc. Common Stock</t>
  </si>
  <si>
    <t>United Parcel Service Inc. Common Stock</t>
  </si>
  <si>
    <t>Upstart Holdings Inc. Common stock</t>
  </si>
  <si>
    <t>Upwork Inc. Common Stock</t>
  </si>
  <si>
    <t>Upexi Inc. Common Stock</t>
  </si>
  <si>
    <t>Urban Outfitters Inc. Common Stock</t>
  </si>
  <si>
    <t>Ur Energy Inc Common Shares (Canada)</t>
  </si>
  <si>
    <t>UroGen Pharma Ltd. Ordinary Shares</t>
  </si>
  <si>
    <t>United Rentals Inc. Common Stock</t>
  </si>
  <si>
    <t>Uranium Royalty Corp. Common Stock</t>
  </si>
  <si>
    <t>Liberty All-Star Equity Fund Common Stock</t>
  </si>
  <si>
    <t>USA Compression Partners LP Common Units Representing Limited Partner Interests</t>
  </si>
  <si>
    <t>Universal Stainless &amp; Alloy Products Inc. Common Stock</t>
  </si>
  <si>
    <t>Americas Gold and Silver Corporation Common Shares no par value</t>
  </si>
  <si>
    <t>U.S. Gold Corp. Common Stock</t>
  </si>
  <si>
    <t>U.S. Bancorp Common Stock</t>
  </si>
  <si>
    <t>U.S. Bancorp Depositary Shares Each representing a 1/100th interest in a share of Series A Non-CumulativePerpetual Pfd Stock</t>
  </si>
  <si>
    <t>U.S. Bancorp Depositary Shares repstg 1/1000th Pfd Ser B</t>
  </si>
  <si>
    <t>U.S. Bancorp Depositary Shares each representing a 1/1000th interest in a share of Series K Non-Cumulative Perpetual Preferred Stock</t>
  </si>
  <si>
    <t>U.S. Bancorp Depositary Shares Each Representing a 1/1000th Interest in a Share of Series L Non-Cumulative Perpetual Preferred Stock</t>
  </si>
  <si>
    <t>U.S. Bancorp Depositary Shares Each Representing a 1/1000th Interest in a Share of Series M Non-Cumulative Perpetual Preferred Stock</t>
  </si>
  <si>
    <t>U.S. Bancorp Depositary Shares each representing a 1/1000th interest in a share of Series O Non-Cumulative Perpetual Preferred Stock</t>
  </si>
  <si>
    <t>USCB Financial Holdings Inc. Class A Common Stock</t>
  </si>
  <si>
    <t>Roth CH Acquisition Co. Class A Ordinary Shares</t>
  </si>
  <si>
    <t>United Maritime Corporation Common Stock</t>
  </si>
  <si>
    <t>U.S. Energy Corp. Common Stock (DE)</t>
  </si>
  <si>
    <t>US Foods Holding Corp. Common Stock</t>
  </si>
  <si>
    <t>U.S. GoldMining Inc. Common stock</t>
  </si>
  <si>
    <t>U.S. GoldMining Inc. Warrant</t>
  </si>
  <si>
    <t>Usio Inc. Common Stock</t>
  </si>
  <si>
    <t>United States Lime &amp; Minerals Inc. Common Stock</t>
  </si>
  <si>
    <t>United States Cellular Corporation Common Stock</t>
  </si>
  <si>
    <t>USANA Health Sciences Inc. Common Stock</t>
  </si>
  <si>
    <t>U.S. Physical Therapy Inc. Common Stock</t>
  </si>
  <si>
    <t>Cohen &amp; Steers Infrastructure Fund Inc Common Stock</t>
  </si>
  <si>
    <t>Reaves Utility Income Fund Common Shares of Beneficial Interest</t>
  </si>
  <si>
    <t>United Therapeutics Corporation Common Stock</t>
  </si>
  <si>
    <t>Universal Technical Institute Inc Common Stock</t>
  </si>
  <si>
    <t>UNITIL Corporation Common Stock</t>
  </si>
  <si>
    <t>Utah Medical Products Inc. Common Stock</t>
  </si>
  <si>
    <t>UTStarcom Holdings Corp. Ordinary Shares</t>
  </si>
  <si>
    <t xml:space="preserve">Utz Brands Inc Class A Common Stock </t>
  </si>
  <si>
    <t>Universal Security Instruments Inc. Common Stock</t>
  </si>
  <si>
    <t>Energy Fuels Inc Ordinary Shares (Canada)</t>
  </si>
  <si>
    <t>UNIVERSAL INSURANCE HOLDINGS INC Common Stock</t>
  </si>
  <si>
    <t>Univest Financial Corporation Common Stock</t>
  </si>
  <si>
    <t>Universal Corporation Common Stock</t>
  </si>
  <si>
    <t>UWM Holdings Corporation Class A Common Stock</t>
  </si>
  <si>
    <t>Uxin Limited ADS</t>
  </si>
  <si>
    <t>United States Cellular Corporation 6.250% Senior Notes due 2069</t>
  </si>
  <si>
    <t>United States Cellular Corporation 5.500% Senior Notes due 2070</t>
  </si>
  <si>
    <t>Visa Inc.</t>
  </si>
  <si>
    <t>Virginia National Bankshares Corporation Common Stock</t>
  </si>
  <si>
    <t>Marriott Vacations Worldwide Corporation Common Stock</t>
  </si>
  <si>
    <t>Valaris Limited Common Shares</t>
  </si>
  <si>
    <t>VALE S.A.  American Depositary Shares Each Representing one common share</t>
  </si>
  <si>
    <t>Valneva SE American Depositary Shares</t>
  </si>
  <si>
    <t>Value Line Inc. Common Stock</t>
  </si>
  <si>
    <t>Vivani Medical Inc. Common Stock (DE)</t>
  </si>
  <si>
    <t>Vector Acquisition Corporation II Class A Ordinary Shares</t>
  </si>
  <si>
    <t>INNOVATE Corp. Common Stock</t>
  </si>
  <si>
    <t>Vaxxinity Inc. Class A Common Stock</t>
  </si>
  <si>
    <t>Invesco Bond Fund Common Stock</t>
  </si>
  <si>
    <t>Village Bank and Trust Financial Corp. Common Stock</t>
  </si>
  <si>
    <t>VBI Vaccines Inc. New Common Stock (Canada)</t>
  </si>
  <si>
    <t>VersaBank Common Shares</t>
  </si>
  <si>
    <t>Veritex Holdings Inc. Common Stock</t>
  </si>
  <si>
    <t>Visteon Corporation Common Stock</t>
  </si>
  <si>
    <t>Vericel Corporation Common Stock</t>
  </si>
  <si>
    <t>VCI Global Limited Ordinary Share</t>
  </si>
  <si>
    <t>Vaccinex Inc. Common Stock</t>
  </si>
  <si>
    <t>Vacasa Inc. Class A Common Stock</t>
  </si>
  <si>
    <t>Victory Capital Holdings Inc. Class A Common Stock</t>
  </si>
  <si>
    <t>Invesco California Value Municipal Income Trust Common Stock</t>
  </si>
  <si>
    <t>10X Capital Venture Acquisition Corp. III Class A Ordinary Shares</t>
  </si>
  <si>
    <t>Veracyte Inc. Common Stock</t>
  </si>
  <si>
    <t>Veeco Instruments Inc. Common Stock</t>
  </si>
  <si>
    <t>Twin Vee PowerCats Co. Common Stock</t>
  </si>
  <si>
    <t>Veeva Systems Inc. Class A Common Stock</t>
  </si>
  <si>
    <t>Velocity Financial Inc. Common Stock</t>
  </si>
  <si>
    <t>VEON Ltd. ADS</t>
  </si>
  <si>
    <t>Vera Therapeutics Inc. Class A Common Stock</t>
  </si>
  <si>
    <t>Verb Technology Company Inc. Common Stock</t>
  </si>
  <si>
    <t>Verb Technology Company Inc. Warrant</t>
  </si>
  <si>
    <t>Veritone Inc. Common Stock</t>
  </si>
  <si>
    <t>Venus Concept Inc. Common Stock</t>
  </si>
  <si>
    <t>Veru Inc. Common Stock</t>
  </si>
  <si>
    <t>Verve Therapeutics Inc. Common Stock</t>
  </si>
  <si>
    <t>Vertex Inc. Class A Common Stock</t>
  </si>
  <si>
    <t>Vericity Inc. Common Stock</t>
  </si>
  <si>
    <t>Vermilion Energy Inc. Common (Canada)</t>
  </si>
  <si>
    <t>Vicinity Motor Corp. Common Stock</t>
  </si>
  <si>
    <t>V.F. Corporation Common Stock</t>
  </si>
  <si>
    <t>Village Farms International Inc. Common Shares</t>
  </si>
  <si>
    <t>abrdn National Municipal Income Fund Common Stock</t>
  </si>
  <si>
    <t>VinFast Auto Ltd. Ordinary Shares</t>
  </si>
  <si>
    <t>VinFast Auto Ltd. Warrant</t>
  </si>
  <si>
    <t>Verde Clean Fuels Inc. Class A Common Stock</t>
  </si>
  <si>
    <t>Verde Clean Fuels Inc. Warrant</t>
  </si>
  <si>
    <t>Virtus Global Multi-Sector Income Fund Common Shares of Beneficial Interest</t>
  </si>
  <si>
    <t>Invesco Trust for Investment Grade Municipals Common Stock (DE)</t>
  </si>
  <si>
    <t>Vector Group Ltd. Common Stock</t>
  </si>
  <si>
    <t>Vista Gold Corp Common Stock</t>
  </si>
  <si>
    <t>Viveon Health Acquisition Corp. Common Stock</t>
  </si>
  <si>
    <t>VirnetX Holding Corp Common Stock</t>
  </si>
  <si>
    <t>Valhi Inc. Common Stock</t>
  </si>
  <si>
    <t>Via Renewables Inc. Class A Common Stock</t>
  </si>
  <si>
    <t>VIA optronics AG American Depositary Shares each representing one-fifth of an Ordinary Share</t>
  </si>
  <si>
    <t>Via Renewables Inc. 8.75% Series A Fixed-to-Floating Rate Cumulative Redeemable Perpetual Preferred Stock</t>
  </si>
  <si>
    <t>Viavi Solutions Inc. Common Stock</t>
  </si>
  <si>
    <t>VICI Properties Inc. Common Stock</t>
  </si>
  <si>
    <t>Vicor Corporation Common Stock</t>
  </si>
  <si>
    <t>View Inc. Class A Common Stock</t>
  </si>
  <si>
    <t>View Inc. Warrant</t>
  </si>
  <si>
    <t>Vigil Neuroscience Inc. Common Stock</t>
  </si>
  <si>
    <t>Vincerx Pharma Inc. Common Stock</t>
  </si>
  <si>
    <t>Fresh Vine Wine Inc. Common Stock</t>
  </si>
  <si>
    <t>Gaucho Group Holdings Inc. Common Stock</t>
  </si>
  <si>
    <t>Vinci Partners Investments Ltd. Class A Common Shares</t>
  </si>
  <si>
    <t>Viomi Technology Co. Ltd American Depositary Shares</t>
  </si>
  <si>
    <t>Vipshop Holdings Limited American Depositary Shares each representing two ordinary shares</t>
  </si>
  <si>
    <t>Vir Biotechnology Inc. Common Stock</t>
  </si>
  <si>
    <t>Virco Manufacturing Corporation Common Stock</t>
  </si>
  <si>
    <t>Virios Therapeutics Inc. Common Stock</t>
  </si>
  <si>
    <t>Virtu Financial Inc. Class A Common Stock</t>
  </si>
  <si>
    <t>Viracta Therapeutics Inc. Common Stock</t>
  </si>
  <si>
    <t>Vislink Technologies Inc. Common Stock</t>
  </si>
  <si>
    <t>Vista Energy S.A.B. de C.V. American Depositary Shares each representing one series A share with no par value</t>
  </si>
  <si>
    <t>Vital Farms Inc. Common Stock</t>
  </si>
  <si>
    <t>Telefonica Brasil S.A. American Depositary Shares (Each representing One Common Share)</t>
  </si>
  <si>
    <t>Vivakor Inc. Common Stock</t>
  </si>
  <si>
    <t>voxeljet AG American Depositary Shares</t>
  </si>
  <si>
    <t>Invesco Advantage Municipal Income Trust II Common Shares of Beneficial Interest (DE)</t>
  </si>
  <si>
    <t>Invesco Municipal Trust Common Stock</t>
  </si>
  <si>
    <t>Viking Therapeutics Inc. Common Stock</t>
  </si>
  <si>
    <t>Volcon Inc. Common stock</t>
  </si>
  <si>
    <t>Velo3D Inc. Common Stock</t>
  </si>
  <si>
    <t>Village Super Market Inc. Class A Common Stock</t>
  </si>
  <si>
    <t>Valens Semiconductor Ltd. Ordinary Shares</t>
  </si>
  <si>
    <t>Valero Energy Corporation Common Stock</t>
  </si>
  <si>
    <t>Controladora Vuela Compania de Aviacion S.A.B. de C.V. American Depositary Shares each representing ten (10) Ordinary Participation Certificates</t>
  </si>
  <si>
    <t>Invesco High Income Trust II</t>
  </si>
  <si>
    <t xml:space="preserve">Veralto Corp Common Stock </t>
  </si>
  <si>
    <t>Valley National Bancorp Common Stock</t>
  </si>
  <si>
    <t>Valley National Bancorp 5.50% Fixed-to-Floating Rate Non-Cumulative Perpetual Preferred Stock Series B</t>
  </si>
  <si>
    <t>Valley National Bancorp 6.25% Fixed-to-Floating Rate Non-Cumulative Perpetual Preferred Stock Series A</t>
  </si>
  <si>
    <t>Vision Marine Technologies Inc. Common Shares</t>
  </si>
  <si>
    <t>Vulcan Materials Company (Holding Company) Common Stock</t>
  </si>
  <si>
    <t>Valuence Merger Corp. I Class A Ordinary Shares</t>
  </si>
  <si>
    <t>Viemed Healthcare Inc. Common Shares</t>
  </si>
  <si>
    <t>Vimeo Inc. Common Stock</t>
  </si>
  <si>
    <t>Valmont Industries Inc. Common Stock</t>
  </si>
  <si>
    <t>Invesco Municipal Opportunity Trust Common Stock</t>
  </si>
  <si>
    <t>Vince Holding Corp. Common Stock</t>
  </si>
  <si>
    <t>Vanda Pharmaceuticals Inc. Common Stock</t>
  </si>
  <si>
    <t>VNET Group Inc. American Depositary Shares</t>
  </si>
  <si>
    <t>Vornado Realty Trust Common Stock</t>
  </si>
  <si>
    <t>Vornado Realty Trust Pfd Ser L %</t>
  </si>
  <si>
    <t>Vornado Realty Trust 5.25% Series M Cumulative Redeemable Preferred Shares of Beneficial Interest liquidation preference $25.00 per share no par value per share</t>
  </si>
  <si>
    <t>Vornado Realty Trust 5.25% Series N Cumulative Redeemable Preferred Shares of Beneficial Interest liquidation preference $25.00 per share</t>
  </si>
  <si>
    <t>Vornado Realty Trust 4.45% Series O Cumulative Redeemable Preferred Shares Liquidation Preference $25.00 Per Share</t>
  </si>
  <si>
    <t>Viper Energy Inc. Class A Common Stock</t>
  </si>
  <si>
    <t>VolitionRX Limited Common Stock</t>
  </si>
  <si>
    <t xml:space="preserve">Vontier Corporation Common Stock </t>
  </si>
  <si>
    <t>VOC Energy Trust Units of Beneficial Interest</t>
  </si>
  <si>
    <t>Vodafone Group Plc American Depositary Shares</t>
  </si>
  <si>
    <t>Vor Biopharma Inc. Common Stock</t>
  </si>
  <si>
    <t>Vox Royalty Corp. Common Stock</t>
  </si>
  <si>
    <t>VOXX International Corporation Class A Common Stock</t>
  </si>
  <si>
    <t>Voya Financial Inc. Common Stock</t>
  </si>
  <si>
    <t>Voya Financial Inc. Depositary Shares each representing a 1/40th interest in a share of 5.35% Fixed-Rate Reset Non-Cumulative Preferred Stock Series B</t>
  </si>
  <si>
    <t>Vishay Precision Group Inc. Common Stock</t>
  </si>
  <si>
    <t>Invesco Pennsylvania Value Municipal Income Trust Common Stock (DE)</t>
  </si>
  <si>
    <t>Vera Bradley Inc. Common Stock</t>
  </si>
  <si>
    <t>The Glimpse Group Inc. Common Stock</t>
  </si>
  <si>
    <t>Virax Biolabs Group Limited Ordinary Shares</t>
  </si>
  <si>
    <t>Verrica Pharmaceuticals Inc. Common Stock</t>
  </si>
  <si>
    <t>Viridian Therapeutics Inc. Common Stock</t>
  </si>
  <si>
    <t>Veris Residential Inc. Common Stock</t>
  </si>
  <si>
    <t>Varex Imaging Corporation Common Stock</t>
  </si>
  <si>
    <t>Vroom Inc. Common Stock</t>
  </si>
  <si>
    <t>VerifyMe Inc. Common Stock</t>
  </si>
  <si>
    <t>VerifyMe Inc. Warrant</t>
  </si>
  <si>
    <t>Verona Pharma plc American Depositary Share</t>
  </si>
  <si>
    <t>Varonis Systems Inc. Common Stock</t>
  </si>
  <si>
    <t>Verint Systems Inc. Common Stock</t>
  </si>
  <si>
    <t>Virpax Pharmaceuticals Inc. Common Stock</t>
  </si>
  <si>
    <t>Verra Mobility Corporation Class A Common Stock</t>
  </si>
  <si>
    <t>Verisk Analytics Inc. Common Stock</t>
  </si>
  <si>
    <t>VeriSign Inc. Common Stock</t>
  </si>
  <si>
    <t>Vertiv Holdings LLC Class A Common Stock</t>
  </si>
  <si>
    <t>Virtus Investment Partners Inc. Common Stock</t>
  </si>
  <si>
    <t>Vertex Pharmaceuticals Incorporated Common Stock</t>
  </si>
  <si>
    <t>Versus Systems Inc. Common Shares</t>
  </si>
  <si>
    <t>Vision Sensing Acquisition Corp. Class A Common Stock</t>
  </si>
  <si>
    <t>Vision Sensing Acquisition Corp. Warrants</t>
  </si>
  <si>
    <t>ViaSat Inc. Common Stock</t>
  </si>
  <si>
    <t xml:space="preserve">Victorias Secret &amp; Co. Common Stock </t>
  </si>
  <si>
    <t>VSE Corporation Common Stock</t>
  </si>
  <si>
    <t>Vishay Intertechnology Inc. Common Stock</t>
  </si>
  <si>
    <t>VS Media Holdings Limited Class A Ordinary Shares</t>
  </si>
  <si>
    <t>Versus Systems Inc. Class A Warrants</t>
  </si>
  <si>
    <t>Vistra Corp. Common Stock</t>
  </si>
  <si>
    <t>Vasta Platform Limited Class A Ordinary Shares</t>
  </si>
  <si>
    <t>Vast Renewables Limited Ordinary Shares</t>
  </si>
  <si>
    <t>Vast Renewables Limited Warrants</t>
  </si>
  <si>
    <t>Verastem Inc. Common Stock</t>
  </si>
  <si>
    <t>Vista Outdoor Inc. Common Stock</t>
  </si>
  <si>
    <t>Vestis Corporation Common Stock</t>
  </si>
  <si>
    <t>Catheter Precision Inc. Common Stock</t>
  </si>
  <si>
    <t>VTEX Class A Common Shares</t>
  </si>
  <si>
    <t>VistaGen Therapeutics Inc. Common Stock</t>
  </si>
  <si>
    <t>Vital Energy Inc. Common Stock par value $0.01 per share</t>
  </si>
  <si>
    <t>Corporacion Inmobiliaria Vesta S.A.B de C.V. American Depositary Shares each representing ten (10) Common Shares</t>
  </si>
  <si>
    <t>Invesco Trust for Investment Grade New York Municipals Common Stock</t>
  </si>
  <si>
    <t>Vertex Energy Inc Common Stock</t>
  </si>
  <si>
    <t>Bristow Group Inc. Common Stock</t>
  </si>
  <si>
    <t>Ventas Inc. Common Stock</t>
  </si>
  <si>
    <t>Viatris Inc. Common Stock</t>
  </si>
  <si>
    <t>Vitru Limited Common Shares</t>
  </si>
  <si>
    <t>Vitesse Energy Inc. Common Stock</t>
  </si>
  <si>
    <t>VirTra Inc. Common Stock</t>
  </si>
  <si>
    <t>vTv Therapeutics Inc. Class A Common Stock</t>
  </si>
  <si>
    <t>Ventyx Biosciences Inc. Common Stock</t>
  </si>
  <si>
    <t>Vuzix Corporation Common Stock</t>
  </si>
  <si>
    <t>Viad Corp Common Stock</t>
  </si>
  <si>
    <t>Vivos Therapeutics Inc. Common Stock</t>
  </si>
  <si>
    <t>VivoPower International PLC Ordinary Shares</t>
  </si>
  <si>
    <t>Invesco Senior Income Trust Common Stock (DE)</t>
  </si>
  <si>
    <t>Valvoline Inc. Common Stock</t>
  </si>
  <si>
    <t>V2X Inc. Common Stock</t>
  </si>
  <si>
    <t>Vintage Wine Estates Inc. Common Stock</t>
  </si>
  <si>
    <t>Vintage Wine Estates Inc. Warrants</t>
  </si>
  <si>
    <t>Vaxart Inc Common Stock</t>
  </si>
  <si>
    <t>Voyager Therapeutics Inc. Common Stock</t>
  </si>
  <si>
    <t>VYNE Therapeutics Inc. Common Stock</t>
  </si>
  <si>
    <t>NCR Voyix Corporation Common Stock</t>
  </si>
  <si>
    <t>Verizon Communications Inc. Common Stock</t>
  </si>
  <si>
    <t>VIZIO Holding Corp. Class A Common Stock</t>
  </si>
  <si>
    <t>Vizsla Silver Corp. Common Shares</t>
  </si>
  <si>
    <t>Wayfair Inc. Class A Common Stock</t>
  </si>
  <si>
    <t>Westinghouse Air Brake Technologies Corporation Common Stock</t>
  </si>
  <si>
    <t>Westamerica Bancorporation Common Stock</t>
  </si>
  <si>
    <t>WaFd Inc. Common Stock</t>
  </si>
  <si>
    <t>WaFd Inc. Depositary Shares</t>
  </si>
  <si>
    <t>Wah Fu Education Group Limited Ordinary Shares</t>
  </si>
  <si>
    <t>Western Alliance Bancorporation Common Stock (DE)</t>
  </si>
  <si>
    <t>Western Alliance Bancorporation Depositary Shares Each Representing a 1/400th Interest in a Share of 4.250% Fixed-Rate Non-Cumulative Perpetual Preferred Stock Series A</t>
  </si>
  <si>
    <t>Waldencast plc Class A Ordinary Share</t>
  </si>
  <si>
    <t>Washington Trust Bancorp Inc. Common Stock</t>
  </si>
  <si>
    <t>Waters Corporation Common Stock</t>
  </si>
  <si>
    <t>Energous Corporation Common Stock</t>
  </si>
  <si>
    <t>WaveDancer Inc. Common Stock</t>
  </si>
  <si>
    <t>Eco Wave Power Global AB (publ) American Depositary Shares</t>
  </si>
  <si>
    <t>Western Acquisition Ventures Corp. Common Stock</t>
  </si>
  <si>
    <t>Western Acquisition Ventures Corp. Unit</t>
  </si>
  <si>
    <t>Western Acquisition Ventures Corp. Warrant</t>
  </si>
  <si>
    <t>Weibo Corporation American Depositary Share</t>
  </si>
  <si>
    <t>Walgreens Boots Alliance Inc. Common Stock</t>
  </si>
  <si>
    <t xml:space="preserve">Warner Bros. Discovery Inc. Series A Common Stock </t>
  </si>
  <si>
    <t>Webster Financial Corporation Common Stock</t>
  </si>
  <si>
    <t>Webster Financial Corporation Depositary Shares Each Representing 1/1000th Interest in a Share of 5.25% Series F Non-Cumulative Perpetual Preferred Stock</t>
  </si>
  <si>
    <t>Webster Financial Corporation Depositary Shares each representing a 1/40th interest in a share of 6.50% Series G non-cumulative perpetual preferred stock</t>
  </si>
  <si>
    <t>WEBUY GLOBAL LTD. Ordinary Shares</t>
  </si>
  <si>
    <t>Wallbox N.V. Class A Ordinary Shares</t>
  </si>
  <si>
    <t>WESCO International Inc. Common Stock</t>
  </si>
  <si>
    <t>WESCO International Inc. Depositary Shares each representing 1/1000th interest in a share of Series A Fixed-Rate Reset Cumulative Perpetual Preferred Stock</t>
  </si>
  <si>
    <t>Waste Connections Inc. Common Shares</t>
  </si>
  <si>
    <t>Walker &amp; Dunlop Inc Common Stock</t>
  </si>
  <si>
    <t>Workday Inc. Class A Common Stock</t>
  </si>
  <si>
    <t>Western Digital Corporation Common Stock</t>
  </si>
  <si>
    <t>WD-40 Company Common Stock</t>
  </si>
  <si>
    <t>Waterdrop Inc. American Depositary Shares (each representing the right to receive 10 Class A Ordinary Shares)</t>
  </si>
  <si>
    <t>Western Asset Diversified Income Fund Common Shares of Beneficial Interest</t>
  </si>
  <si>
    <t>Woodside Energy Group Limited American Depositary Shares each representing one Ordinary Share</t>
  </si>
  <si>
    <t>Western Asset Bond Fund Share of Beneficial Interest</t>
  </si>
  <si>
    <t>Weave Communications Inc. Common Stock</t>
  </si>
  <si>
    <t>WEC Energy Group Inc. Common Stock</t>
  </si>
  <si>
    <t>Integrated Wellness Acquisition Corp Class A Ordinary Shares</t>
  </si>
  <si>
    <t>Welltower Inc. Common Stock</t>
  </si>
  <si>
    <t>Wendy's Company (The) Common Stock</t>
  </si>
  <si>
    <t>Werner Enterprises Inc. Common Stock</t>
  </si>
  <si>
    <t>Western Midstream Partners LP Common Units Representing Limited Partner Interests</t>
  </si>
  <si>
    <t>Westrock Coffee Company Common Stock</t>
  </si>
  <si>
    <t>Westrock Coffee Company Warrants</t>
  </si>
  <si>
    <t>WeTrade Group Inc. Ordinary Shares</t>
  </si>
  <si>
    <t>WEX Inc. common stock</t>
  </si>
  <si>
    <t>Weyco Group Inc. Common Stock</t>
  </si>
  <si>
    <t>Woori Financial Group Inc. American Depositary Shares (each representing three (3) shares of Common Stock)</t>
  </si>
  <si>
    <t>Wells Fargo &amp; Company Common Stock</t>
  </si>
  <si>
    <t>Wells Fargo &amp; Company Depositary Shares each representing a 1/1000th interest in a share of Non-Cumulative Perpetual Class A Preferred Stock Series AA</t>
  </si>
  <si>
    <t>Wells Fargo &amp; Company Depositary Shares each representing a 1/1000th interest in a share of Non-Cumulative Perpetual Class A Preferred Stock Series CC</t>
  </si>
  <si>
    <t>Wells Fargo &amp; Company Depositary Shares each representing a 1/1000th interest in  a share of Non-Cumulative Perpetual Class A Preferred Stock Series DD</t>
  </si>
  <si>
    <t>Wells Fargo &amp; Company 7.50% Non-Cumulative Perpetual Convertible Class A Preferred Stock Series L</t>
  </si>
  <si>
    <t>Wells Fargo &amp; Company Dep Shs Repstg 1/1000th Int Perp Pfd Cl A (Ser R Fixed To Flltg)</t>
  </si>
  <si>
    <t>Wells Fargo &amp; Company Depositary Shares each representing a 1/1000th interest in a share of Non-Cumulative Perpetual Class A Preferred Stock Series Y</t>
  </si>
  <si>
    <t>Wells Fargo &amp; Company Depositary Shares each representing a 1/1000th interest in a share of Non-Cumulative Perpetual Class A Preferred Stock Series Z</t>
  </si>
  <si>
    <t>Where Food Comes From Inc. Common Stock</t>
  </si>
  <si>
    <t>West Fraser Timber Co. Ltd Common stock</t>
  </si>
  <si>
    <t>Weatherford International plc Ordinary Shares</t>
  </si>
  <si>
    <t>Winnebago Industries Inc. Common Stock</t>
  </si>
  <si>
    <t>GeneDx Holdings Corp. Class A Common Stock</t>
  </si>
  <si>
    <t>GeneDx Holdings Corp. Warrant</t>
  </si>
  <si>
    <t xml:space="preserve">Wyndham Hotels &amp; Resorts Inc. Common Stock </t>
  </si>
  <si>
    <t>Cactus Inc. Class A Common Stock</t>
  </si>
  <si>
    <t>WhiteHorse Finance Inc. Common Stock</t>
  </si>
  <si>
    <t>WhiteHorse Finance Inc. 7.875% Notes due 2028</t>
  </si>
  <si>
    <t>Westwood Holdings Group Inc Common Stock</t>
  </si>
  <si>
    <t>Wilhelmina International Inc. Common Stock</t>
  </si>
  <si>
    <t>Wheeler Real Estate Investment Trust Inc. Common Stock</t>
  </si>
  <si>
    <t>Wheeler Real Estate Investment Trust Inc. Series D Cumulative Preferred Stock</t>
  </si>
  <si>
    <t>Wheeler Real Estate Investment Trust Inc. Class B Preferred Stock</t>
  </si>
  <si>
    <t>Whirlpool Corporation Common Stock</t>
  </si>
  <si>
    <t>Western Asset Inflation-Linked Income Fund</t>
  </si>
  <si>
    <t>G. Willi-Food International  Ltd. Ordinary Shares</t>
  </si>
  <si>
    <t>WiMi Hologram Cloud Inc. American Depositary Share</t>
  </si>
  <si>
    <t>Winmark Corporation Common Stock</t>
  </si>
  <si>
    <t>Wingstop Inc. Common Stock</t>
  </si>
  <si>
    <t>Windtree Therapeutics Inc. Common Stock</t>
  </si>
  <si>
    <t>WinVest Acquisition Corp. Common Stock</t>
  </si>
  <si>
    <t>WinVest Acquisition Corp. Right</t>
  </si>
  <si>
    <t>WinVest Acquisition Corp. Unit</t>
  </si>
  <si>
    <t>WinVest Acquisition Corp. Warrant</t>
  </si>
  <si>
    <t>Encore Wire Corporation Common Stock</t>
  </si>
  <si>
    <t>WiSA Technologies Inc. Common Stock</t>
  </si>
  <si>
    <t>ContextLogic Inc. Class A Common Stock</t>
  </si>
  <si>
    <t>Wipro Limited Common Stock</t>
  </si>
  <si>
    <t>Western Asset Inflation-Linked Opportunities &amp; Income Fund</t>
  </si>
  <si>
    <t>Wix.com Ltd. Ordinary Shares</t>
  </si>
  <si>
    <t>Workiva Inc. Class A Common Stock</t>
  </si>
  <si>
    <t>World Kinect Corporation Common Stock</t>
  </si>
  <si>
    <t>WISeKey International Holding Ltd American Depositary Shares</t>
  </si>
  <si>
    <t>Workhorse Group Inc. Common Stock</t>
  </si>
  <si>
    <t>WalkMe Ltd. Ordinary Shares</t>
  </si>
  <si>
    <t>Worksport Ltd. Common Stock</t>
  </si>
  <si>
    <t>Worksport Ltd. Warrant</t>
  </si>
  <si>
    <t>Willdan Group Inc. Common Stock</t>
  </si>
  <si>
    <t>Wearable Devices Ltd. Ordinary Share</t>
  </si>
  <si>
    <t>Wearable Devices Ltd. Warrant</t>
  </si>
  <si>
    <t>Willis Lease Finance Corporation Common Stock</t>
  </si>
  <si>
    <t>Wang &amp; Lee Group Inc. Ordinary Shares</t>
  </si>
  <si>
    <t>Westlake Corporation Common Stock</t>
  </si>
  <si>
    <t>Westlake Chemical Partners LP Common Units representing limited partner interests</t>
  </si>
  <si>
    <t>John Wiley &amp; Sons Inc. Common Stock</t>
  </si>
  <si>
    <t>Waste Management Inc. Common Stock</t>
  </si>
  <si>
    <t>Williams Companies Inc. (The) Common Stock</t>
  </si>
  <si>
    <t>Warner Music Group Corp. Class A Common Stock</t>
  </si>
  <si>
    <t>Weis Markets Inc. Common Stock</t>
  </si>
  <si>
    <t>William Penn Bancorporation Common Stock</t>
  </si>
  <si>
    <t>Advanced Drainage Systems Inc. Common Stock</t>
  </si>
  <si>
    <t>Walmart Inc. Common Stock</t>
  </si>
  <si>
    <t>Wabash National Corporation Common Stock</t>
  </si>
  <si>
    <t>Western New England Bancorp Inc. Common Stock</t>
  </si>
  <si>
    <t>Andretti Acquisition Corp. Class A Ordinary Shares</t>
  </si>
  <si>
    <t>WNS (Holdings) Limited Sponsored ADR (Jersey)</t>
  </si>
  <si>
    <t>Meiwu Technology Company Limited Ordinary Shares</t>
  </si>
  <si>
    <t>Wolfspeed Inc. Common Stock</t>
  </si>
  <si>
    <t>Petco Health and Wellness Company Inc. Class A Common Stock</t>
  </si>
  <si>
    <t>Worthington Enterprises Inc. Common Shares</t>
  </si>
  <si>
    <t>SCWorx Corp. Common Stock</t>
  </si>
  <si>
    <t>WideOpenWest Inc. Common Stock</t>
  </si>
  <si>
    <t>W. P. Carey Inc. REIT</t>
  </si>
  <si>
    <t>Wheaton Precious Metals Corp Common Shares (Canada)</t>
  </si>
  <si>
    <t>WPP plc American Depositary Shares</t>
  </si>
  <si>
    <t>Westport Fuel Systems Inc Common Shares</t>
  </si>
  <si>
    <t>Williams Rowland Acquisition Corp. Common Stock</t>
  </si>
  <si>
    <t>Wrap Technologies Inc. Common Stock</t>
  </si>
  <si>
    <t>W.R. Berkley Corporation Common Stock</t>
  </si>
  <si>
    <t>W.R. Berkley Corporation 5.70% Subordinated Debentures due 2058</t>
  </si>
  <si>
    <t>W.R. Berkley Corporation 5.10% Subordinated Debentures due 2059</t>
  </si>
  <si>
    <t>W.R. Berkley Corporation 4.25% Subordinated Debentures due 2060</t>
  </si>
  <si>
    <t>W.R. Berkley Corporation 4.125% Subordinated Debentures due 2061</t>
  </si>
  <si>
    <t>Warby Parker Inc. Class A Common Stock</t>
  </si>
  <si>
    <t>Westrock Company Common Stock</t>
  </si>
  <si>
    <t>World Acceptance Corporation Common Stock</t>
  </si>
  <si>
    <t>Western Copper and Gold Corporation Common Stock</t>
  </si>
  <si>
    <t>Warrantee Inc. American Depositary Shares</t>
  </si>
  <si>
    <t>Worthington Steel Inc. Common Shares</t>
  </si>
  <si>
    <t>WesBanco Inc. Common Stock</t>
  </si>
  <si>
    <t>WesBanco Inc. Depositary Shares Each Representing a 1/40th Interest in a Share of 6.75% Fixed-Rate Reset Non-Cumulative Perpetual Preferred Stock Series A</t>
  </si>
  <si>
    <t>Waterstone Financial Inc. Common Stock (MD)</t>
  </si>
  <si>
    <t>WillScot Mobile Mini Holdings Corp. Class A Common Stock</t>
  </si>
  <si>
    <t>WSFS Financial Corporation Common Stock</t>
  </si>
  <si>
    <t>Williams-Sonoma Inc. Common Stock (DE)</t>
  </si>
  <si>
    <t>Watsco Inc. Common Stock</t>
  </si>
  <si>
    <t>Watsco Inc.</t>
  </si>
  <si>
    <t>Whitestone REIT Common Shares</t>
  </si>
  <si>
    <t>West Pharmaceutical Services Inc. Common Stock</t>
  </si>
  <si>
    <t>WisdomTree Inc. Common Stock</t>
  </si>
  <si>
    <t>West Bancorporation Common Stock</t>
  </si>
  <si>
    <t>The Alkaline Water Company Inc. Common Stock</t>
  </si>
  <si>
    <t>Wintrust Financial Corporation Common Stock</t>
  </si>
  <si>
    <t>Wintrust Financial Corporation Fixed-to-Floating Rate Non-Cumulative Perpetual Preferred Stock Series D</t>
  </si>
  <si>
    <t>Wintrust Financial Corporation Depositary Shares Each Representing a 1/1000th Interest in a Share of 6.875% Fixed-Rate Reset Non-Cumulative Perpetual Preferred Stock Series E</t>
  </si>
  <si>
    <t>W&amp;T Offshore Inc. Common Stock</t>
  </si>
  <si>
    <t>White Mountains Insurance Group Ltd. Common Stock</t>
  </si>
  <si>
    <t>Welsbach Technology Metals Acquisition Corp. Common Stock</t>
  </si>
  <si>
    <t>Welsbach Technology Metals Acquisition Corp. one right to receive 1/10th of a share of common stock</t>
  </si>
  <si>
    <t>UTime Limited Ordinary Shares</t>
  </si>
  <si>
    <t>Essential Utilities Inc. Common Stock</t>
  </si>
  <si>
    <t>Watts Water Technologies Inc. Class A Common Stock</t>
  </si>
  <si>
    <t>Select Water Solutions Inc. Class A common stock</t>
  </si>
  <si>
    <t>Willis Towers Watson Public Limited Company Ordinary Shares</t>
  </si>
  <si>
    <t>Western Union Company (The) Common Stock</t>
  </si>
  <si>
    <t>TeraWulf Inc. Common Stock</t>
  </si>
  <si>
    <t>Wave Life Sciences Ltd. Ordinary Shares</t>
  </si>
  <si>
    <t>Willamette Valley Vineyards Inc. Common Stock</t>
  </si>
  <si>
    <t>Willamette Valley Vineyards Inc. Series A Redeemable Preferred Stock</t>
  </si>
  <si>
    <t>WW International Inc. Common Stock</t>
  </si>
  <si>
    <t>Woodward Inc. Common Stock</t>
  </si>
  <si>
    <t>Westwater Resources Inc. Common Stock</t>
  </si>
  <si>
    <t>Wolverine World Wide Inc. Common Stock</t>
  </si>
  <si>
    <t>Weyerhaeuser Company Common Stock</t>
  </si>
  <si>
    <t>Wynn Resorts Limited Common stock</t>
  </si>
  <si>
    <t>WidePoint Corporation Common Stock</t>
  </si>
  <si>
    <t>United States Steel Corporation Common Stock</t>
  </si>
  <si>
    <t>Beyond Air Inc. Common Stock</t>
  </si>
  <si>
    <t>Xenetic Biosciences Inc. Common Stock</t>
  </si>
  <si>
    <t>Xenetic Biosciences Inc. Warrants</t>
  </si>
  <si>
    <t>XBiotech Inc. Common Stock</t>
  </si>
  <si>
    <t>XBP Europe Holdings Inc. Common Stock</t>
  </si>
  <si>
    <t>XBP Europe Holdings Inc. Warrant</t>
  </si>
  <si>
    <t>Exicure Inc. Common Stock</t>
  </si>
  <si>
    <t>Xcel Energy Inc. Common Stock</t>
  </si>
  <si>
    <t>Exela Technologies Inc. Common Stock</t>
  </si>
  <si>
    <t>Exela Technologies Inc. 6.00% Series B Cumulative Convertible Perpetual Preferred Stock</t>
  </si>
  <si>
    <t>Xcel Brands Inc. Common Stock</t>
  </si>
  <si>
    <t>Xenon Pharmaceuticals Inc. Common Shares</t>
  </si>
  <si>
    <t>Xeris Biopharma Holdings Inc. Common Stock</t>
  </si>
  <si>
    <t>ExcelFin Acquisition Corp Class A Common Stock</t>
  </si>
  <si>
    <t>XAI Octagon Floating Rate &amp; Alternative Income Term Trust Common Shares of Beneficial Interest</t>
  </si>
  <si>
    <t>XAI Octagon Floating Rate &amp; Alternative Income Term Trust 6.50% Series 2026 Term Preferred Shares (Liquidation Preference $25.00)</t>
  </si>
  <si>
    <t>X4 Pharmaceuticals Inc. Common Stock</t>
  </si>
  <si>
    <t>Exagen Inc. Common Stock</t>
  </si>
  <si>
    <t>Xenia Hotels &amp; Resorts Inc. Common Stock</t>
  </si>
  <si>
    <t>Xinyuan Real Estate Co Ltd American Depositary Shares</t>
  </si>
  <si>
    <t>Xilio Therapeutics Inc. Common Stock</t>
  </si>
  <si>
    <t>Xometry Inc. Class A Common Stock</t>
  </si>
  <si>
    <t>Xencor Inc. Common Stock</t>
  </si>
  <si>
    <t>Xunlei Limited American Depositary Shares</t>
  </si>
  <si>
    <t>Exxon Mobil Corporation Common Stock</t>
  </si>
  <si>
    <t>XOMA Corporation Common Stock</t>
  </si>
  <si>
    <t>XOMA Corporation Depositary Shares Rep Series B 8.375% Cumulative Preferred Stock</t>
  </si>
  <si>
    <t>XOMA Corporation 8.625% Series A Cumulative Perpetual Preferred Stock</t>
  </si>
  <si>
    <t>Xos Inc. Common Stock</t>
  </si>
  <si>
    <t>Xos Inc. Warrants</t>
  </si>
  <si>
    <t>XP Inc. Class A Common Stock</t>
  </si>
  <si>
    <t>Power &amp; Digital Infrastructure Acquisition II Corp. Class A Common Stock</t>
  </si>
  <si>
    <t>Power &amp; Digital Infrastructure Acquisition II Corp. Warrant</t>
  </si>
  <si>
    <t>XPEL Inc. Common Stock</t>
  </si>
  <si>
    <t xml:space="preserve">Xperi Inc. Common Stock </t>
  </si>
  <si>
    <t>XPeng Inc. American depositary shares each representing two Class A ordinary shares</t>
  </si>
  <si>
    <t>Solitario Resources Corp. Common Stock</t>
  </si>
  <si>
    <t>XPO Inc. Common Stock</t>
  </si>
  <si>
    <t>Xponential Fitness Inc. Class A Common Stock</t>
  </si>
  <si>
    <t>Expion360 Inc. Common Stock</t>
  </si>
  <si>
    <t>Expro Group Holdings N.V. Common Stock</t>
  </si>
  <si>
    <t>DENTSPLY SIRONA Inc. Common Stock</t>
  </si>
  <si>
    <t>XORTX Therapeutics Inc. Common Stock</t>
  </si>
  <si>
    <t>Xerox Holdings Corporation Common Stock</t>
  </si>
  <si>
    <t>XTL Biopharmaceuticals Ltd. American Depositary Shares</t>
  </si>
  <si>
    <t>Xtant Medical Holdings Inc. Common Stock</t>
  </si>
  <si>
    <t>XWELL Inc. Common Stock</t>
  </si>
  <si>
    <t>22nd Century Group Inc. Common Stock</t>
  </si>
  <si>
    <t>X Financial American Depositary Shares each representing six Class A Ordinary Shares</t>
  </si>
  <si>
    <t>Xylem Inc. Common Stock New</t>
  </si>
  <si>
    <t>Yalla Group Limited American Depositary Shares each representing one Class A Ordinary Share</t>
  </si>
  <si>
    <t>cbdMD Inc. Common Stock</t>
  </si>
  <si>
    <t>cbdMD Inc. 8.0% Series A Cumulative Convertible Preferred Stock</t>
  </si>
  <si>
    <t>Yelp Inc. Common Stock</t>
  </si>
  <si>
    <t>YETI Holdings Inc. Common Stock</t>
  </si>
  <si>
    <t>Yext Inc. Common Stock</t>
  </si>
  <si>
    <t>YanGuFang International Group Co. Ltd. Ordinary Shares</t>
  </si>
  <si>
    <t>MingZhu Logistics Holdings Limited Ordinary Shares</t>
  </si>
  <si>
    <t>Yunhong Green CTI Ltd. Common Stock</t>
  </si>
  <si>
    <t>111 Inc. American Depositary Shares</t>
  </si>
  <si>
    <t>Yunji Inc. American Depository Shares</t>
  </si>
  <si>
    <t>Y-mAbs Therapeutics Inc. Common Stock</t>
  </si>
  <si>
    <t>Full Truck Alliance Co. Ltd. American Depositary Shares (each representing 20 Class A Ordinary Shares)</t>
  </si>
  <si>
    <t>York Water Company (The) Common Stock</t>
  </si>
  <si>
    <t>Yoshiharu Global Co. Class A Common Stock</t>
  </si>
  <si>
    <t>Yotta Acquisition Corporation Common Stock</t>
  </si>
  <si>
    <t>Yotta Acquisition Corporation Right</t>
  </si>
  <si>
    <t>Yotta Acquisition Corporation Unit</t>
  </si>
  <si>
    <t>Yotta Acquisition Corporation Warrant</t>
  </si>
  <si>
    <t>Clear Secure Inc. Class A Common Stock</t>
  </si>
  <si>
    <t>YPF Sociedad Anonima Common Stock</t>
  </si>
  <si>
    <t>17 Education &amp; Technology Group Inc. American Depositary Shares</t>
  </si>
  <si>
    <t>Yiren Digital Ltd. American Depositary Shares each representing two ordinary shares</t>
  </si>
  <si>
    <t>YS Biopharma Co. Ltd. Ordinary Shares</t>
  </si>
  <si>
    <t>YS Biopharma Co. Ltd. Warrants</t>
  </si>
  <si>
    <t>Yatsen Holding Limited American Depositary Shares each representing four Class A ordinary shares</t>
  </si>
  <si>
    <t>Yield10 Bioscience Inc. Common Stock</t>
  </si>
  <si>
    <t>Yatra Online Inc. Ordinary Shares</t>
  </si>
  <si>
    <t>Yum! Brands Inc.</t>
  </si>
  <si>
    <t>Yum China Holdings Inc. Common Stock</t>
  </si>
  <si>
    <t>JOYY Inc. American Depositary Shares</t>
  </si>
  <si>
    <t>Zillow Group Inc. Class C Capital Stock</t>
  </si>
  <si>
    <t>Zapp Electric Vehicles Group Limited Ordinary Shares</t>
  </si>
  <si>
    <t>Zapp Electric Vehicles Group Limited Warrant</t>
  </si>
  <si>
    <t>Zimmer Biomet Holdings Inc. Common Stock</t>
  </si>
  <si>
    <t>Zebra Technologies Corporation Class A Common Stock</t>
  </si>
  <si>
    <t>Zoomcar Holdings Inc. Common Stock</t>
  </si>
  <si>
    <t>Zoomcar Holdings Inc. Warrants</t>
  </si>
  <si>
    <t>Zhongchao Inc. Class A Ordinary Shares</t>
  </si>
  <si>
    <t>Ziff Davis Inc. Common Stock</t>
  </si>
  <si>
    <t xml:space="preserve">Zedge Inc. Class B Common Stock </t>
  </si>
  <si>
    <t>Zenvia Inc. Class A Common Stock</t>
  </si>
  <si>
    <t>Zepp Health Corporation American Depositary Shares</t>
  </si>
  <si>
    <t>Zeta Global Holdings Corp. Class A Common Stock</t>
  </si>
  <si>
    <t>Olympic Steel Inc. Common Stock</t>
  </si>
  <si>
    <t>ZeroFox Holdings Inc. Common Stock</t>
  </si>
  <si>
    <t>ZeroFox Holdings Inc. Warrants</t>
  </si>
  <si>
    <t>Zillow Group Inc. Class A Common Stock</t>
  </si>
  <si>
    <t>Ermenegildo Zegna N.V. Ordinary Shares</t>
  </si>
  <si>
    <t>Zhihu Inc. American Depositary Shares (every two of each representing one Class A ordinary share)</t>
  </si>
  <si>
    <t>ZoomInfo Technologies Inc Common Stock</t>
  </si>
  <si>
    <t>ZIM Integrated Shipping Services Ltd. Ordinary Shares</t>
  </si>
  <si>
    <t>ZimVie Inc. Common Stock</t>
  </si>
  <si>
    <t>Zions Bancorporation N.A. Common Stock</t>
  </si>
  <si>
    <t>Zions Bancorporation 6.95% Fixed-to-Floating Rate Subordinated Notes</t>
  </si>
  <si>
    <t>Zions Bancorporation N.A. Dep Shs Repstg 1/40th Perp Pfd Ser G</t>
  </si>
  <si>
    <t>Zions Bancorporation N.A. Depositary Shares (Each representing 1/40th Interest in a Share of Series A Floating-Rate Non-Cumulative Perpetual Preferred Stock)</t>
  </si>
  <si>
    <t>ZipRecruiter Inc. Class A Common Stock</t>
  </si>
  <si>
    <t>JIN MEDICAL INTERNATIONAL LTD. Ordinary Shares</t>
  </si>
  <si>
    <t>ZKH Group Limited American Depositary Shares each representing thirty-five (35) Class A Ordinary Shares</t>
  </si>
  <si>
    <t>ZK International Group Co. Ltd Ordinary Share</t>
  </si>
  <si>
    <t>Zai Lab Limited American Depositary Shares</t>
  </si>
  <si>
    <t>Zalatoris II Acquisition Corp Class A Ordinary Shares</t>
  </si>
  <si>
    <t>Zoom Video Communications Inc. Class A Common Stock</t>
  </si>
  <si>
    <t>Zentalis Pharmaceuticals Inc. Common Stock</t>
  </si>
  <si>
    <t>Zomedica Corp. Common Shares</t>
  </si>
  <si>
    <t>Zscaler Inc. Common Stock</t>
  </si>
  <si>
    <t>Zentek Ltd. Common Stock</t>
  </si>
  <si>
    <t>ZTO Express (Cayman) Inc. American Depositary Shares each representing one Class A ordinary share.</t>
  </si>
  <si>
    <t>Virtus Total Return Fund Inc.</t>
  </si>
  <si>
    <t>Zoetis Inc. Class A Common Stock</t>
  </si>
  <si>
    <t>Zumiez Inc. Common Stock</t>
  </si>
  <si>
    <t>Zuora Inc. Class A Common Stock</t>
  </si>
  <si>
    <t>Zura Bio Limited Class A Ordinary Shares</t>
  </si>
  <si>
    <t>Zevia PBC Class A Common Stock</t>
  </si>
  <si>
    <t>Zevra Therapeutics Inc. Common Stock</t>
  </si>
  <si>
    <t>ZyVersa Therapeutics Inc. Common Stock</t>
  </si>
  <si>
    <t>Zurn Elkay Water Solutions Corporation Common Stock</t>
  </si>
  <si>
    <t>Zymeworks Inc. Common Stock</t>
  </si>
  <si>
    <t>Zynex Inc. Common Stock</t>
  </si>
  <si>
    <t>Row Labels</t>
  </si>
  <si>
    <t>Grand Total</t>
  </si>
  <si>
    <t>Average of Close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</si>
</sst>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_(* \(#,##0.00\);_(* &quot;-&quot;??_);_(@_)"/>
  </numFmts>
  <fonts count="8" x14ac:knownFonts="1">
    <font>
      <sz val="12"/>
      <color theme="1"/>
      <name val="Calibri"/>
      <family val="2"/>
      <scheme val="minor"/>
    </font>
    <font>
      <b/>
      <sz val="12"/>
      <color theme="1"/>
      <name val="Calibri"/>
      <family val="2"/>
      <scheme val="minor"/>
    </font>
    <font>
      <sz val="12"/>
      <color theme="1"/>
      <name val="Aptos"/>
      <family val="2"/>
    </font>
    <font>
      <sz val="22"/>
      <color theme="1"/>
      <name val="Aptos"/>
      <family val="2"/>
    </font>
    <font>
      <sz val="12"/>
      <color theme="1"/>
      <name val="Calibri"/>
      <family val="2"/>
      <scheme val="minor"/>
    </font>
    <font>
      <u/>
      <sz val="12"/>
      <color theme="10"/>
      <name val="Calibri"/>
      <family val="2"/>
      <scheme val="minor"/>
    </font>
    <font>
      <sz val="11"/>
      <color theme="1"/>
      <name val="Aptos"/>
      <family val="2"/>
    </font>
    <font>
      <b/>
      <sz val="12"/>
      <color theme="1"/>
      <name val="Aptos"/>
      <family val="2"/>
    </font>
  </fonts>
  <fills count="5">
    <fill>
      <patternFill patternType="none"/>
    </fill>
    <fill>
      <patternFill patternType="gray125"/>
    </fill>
    <fill>
      <patternFill patternType="solid">
        <fgColor theme="2"/>
        <bgColor indexed="64"/>
      </patternFill>
    </fill>
    <fill>
      <patternFill patternType="solid">
        <fgColor theme="9" tint="0.79998168889431442"/>
        <bgColor indexed="64"/>
      </patternFill>
    </fill>
    <fill>
      <patternFill patternType="solid">
        <fgColor theme="2" tint="-9.9978637043366805E-2"/>
        <bgColor indexed="64"/>
      </patternFill>
    </fill>
  </fills>
  <borders count="3">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s>
  <cellStyleXfs count="3">
    <xf numFmtId="0" fontId="0" fillId="0" borderId="0"/>
    <xf numFmtId="43" fontId="4" fillId="0" borderId="0" applyFont="0" applyFill="0" applyBorder="0" applyAlignment="0" applyProtection="0"/>
    <xf numFmtId="0" fontId="5" fillId="0" borderId="0" applyNumberFormat="0" applyFill="0" applyBorder="0" applyAlignment="0" applyProtection="0"/>
  </cellStyleXfs>
  <cellXfs count="24">
    <xf numFmtId="0" fontId="0" fillId="0" borderId="0" xfId="0"/>
    <xf numFmtId="0" fontId="0" fillId="0" borderId="0" xfId="0" applyAlignment="1">
      <alignment vertical="center"/>
    </xf>
    <xf numFmtId="0" fontId="1" fillId="0" borderId="0" xfId="0" applyFont="1" applyAlignment="1">
      <alignment vertical="center"/>
    </xf>
    <xf numFmtId="0" fontId="2" fillId="0" borderId="0" xfId="0" applyFont="1"/>
    <xf numFmtId="0" fontId="5" fillId="0" borderId="0" xfId="2"/>
    <xf numFmtId="0" fontId="2" fillId="0" borderId="0" xfId="0" applyFont="1" applyAlignment="1">
      <alignment horizontal="left" vertical="top" wrapText="1"/>
    </xf>
    <xf numFmtId="3" fontId="2" fillId="0" borderId="0" xfId="1" applyNumberFormat="1" applyFont="1" applyAlignment="1">
      <alignment horizontal="left"/>
    </xf>
    <xf numFmtId="1" fontId="2" fillId="2" borderId="0" xfId="0" applyNumberFormat="1" applyFont="1" applyFill="1"/>
    <xf numFmtId="0" fontId="2" fillId="2" borderId="0" xfId="0" applyFont="1" applyFill="1"/>
    <xf numFmtId="1" fontId="2" fillId="0" borderId="0" xfId="0" applyNumberFormat="1" applyFont="1"/>
    <xf numFmtId="14" fontId="2" fillId="0" borderId="0" xfId="0" applyNumberFormat="1" applyFont="1"/>
    <xf numFmtId="14" fontId="3" fillId="2" borderId="0" xfId="0" applyNumberFormat="1" applyFont="1" applyFill="1"/>
    <xf numFmtId="0" fontId="2" fillId="3" borderId="1" xfId="0" applyFont="1" applyFill="1" applyBorder="1"/>
    <xf numFmtId="14" fontId="2" fillId="0" borderId="0" xfId="0" applyNumberFormat="1" applyFont="1" applyAlignment="1">
      <alignment vertical="top" wrapText="1"/>
    </xf>
    <xf numFmtId="0" fontId="3" fillId="2" borderId="0" xfId="0" applyFont="1" applyFill="1"/>
    <xf numFmtId="14" fontId="6" fillId="2" borderId="0" xfId="0" applyNumberFormat="1" applyFont="1" applyFill="1" applyAlignment="1">
      <alignment horizontal="left"/>
    </xf>
    <xf numFmtId="0" fontId="6" fillId="2" borderId="0" xfId="0" applyFont="1" applyFill="1"/>
    <xf numFmtId="0" fontId="7" fillId="0" borderId="0" xfId="0" applyFont="1" applyAlignment="1">
      <alignment horizontal="right"/>
    </xf>
    <xf numFmtId="0" fontId="7" fillId="0" borderId="0" xfId="0" applyFont="1" applyAlignment="1">
      <alignment horizontal="right" vertical="top"/>
    </xf>
    <xf numFmtId="14" fontId="2" fillId="4" borderId="2" xfId="0" applyNumberFormat="1" applyFont="1" applyFill="1" applyBorder="1"/>
    <xf numFmtId="0" fontId="2" fillId="0" borderId="0" xfId="0" applyFont="1" applyAlignment="1">
      <alignment wrapText="1"/>
    </xf>
    <xf numFmtId="0" fontId="0" fillId="0" borderId="0" xfId="0" pivotButton="1"/>
    <xf numFmtId="4" fontId="0" fillId="0" borderId="0" xfId="0" applyNumberFormat="1"/>
    <xf numFmtId="14" fontId="0" fillId="0" borderId="0" xfId="0" applyNumberFormat="1" applyAlignment="1">
      <alignment horizontal="left"/>
    </xf>
  </cellXfs>
  <cellStyles count="3">
    <cellStyle name="Comma" xfId="1" builtinId="3"/>
    <cellStyle name="Hyperlink" xfId="2" builtinId="8"/>
    <cellStyle name="Normal" xfId="0" builtinId="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[stock_analysis3.xlsm]price_data!PivotTable1</c:name>
    <c:fmtId val="0"/>
  </c:pivotSource>
  <c:chart>
    <c:title>
      <c:tx>
        <c:strRef>
          <c:f>price_data!$B$1</c:f>
          <c:strCache>
            <c:ptCount val="1"/>
            <c:pt idx="0">
              <c:v>AllianceBernstein Holding L.P. - Historical Stock Data</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price_data!$B$1</c:f>
              <c:strCache>
                <c:ptCount val="1"/>
                <c:pt idx="0">
                  <c:v>Total</c:v>
                </c:pt>
              </c:strCache>
            </c:strRef>
          </c:tx>
          <c:spPr>
            <a:ln w="28575" cap="rnd">
              <a:solidFill>
                <a:schemeClr val="accent1"/>
              </a:solidFill>
              <a:round/>
            </a:ln>
            <a:effectLst/>
          </c:spPr>
          <c:marker>
            <c:symbol val="none"/>
          </c:marker>
          <c:cat>
            <c:strRef>
              <c:f>price_data!$B$1</c:f>
              <c:strCache>
                <c:ptCount val="2223"/>
                <c:pt idx="0">
                  <c:v>1/2/2015</c:v>
                </c:pt>
                <c:pt idx="1">
                  <c:v>1/5/2015</c:v>
                </c:pt>
                <c:pt idx="2">
                  <c:v>1/6/2015</c:v>
                </c:pt>
                <c:pt idx="3">
                  <c:v>1/7/2015</c:v>
                </c:pt>
                <c:pt idx="4">
                  <c:v>1/8/2015</c:v>
                </c:pt>
                <c:pt idx="5">
                  <c:v>1/9/2015</c:v>
                </c:pt>
                <c:pt idx="6">
                  <c:v>1/12/2015</c:v>
                </c:pt>
                <c:pt idx="7">
                  <c:v>1/13/2015</c:v>
                </c:pt>
                <c:pt idx="8">
                  <c:v>1/14/2015</c:v>
                </c:pt>
                <c:pt idx="9">
                  <c:v>1/15/2015</c:v>
                </c:pt>
                <c:pt idx="10">
                  <c:v>1/16/2015</c:v>
                </c:pt>
                <c:pt idx="11">
                  <c:v>1/20/2015</c:v>
                </c:pt>
                <c:pt idx="12">
                  <c:v>1/21/2015</c:v>
                </c:pt>
                <c:pt idx="13">
                  <c:v>1/22/2015</c:v>
                </c:pt>
                <c:pt idx="14">
                  <c:v>1/23/2015</c:v>
                </c:pt>
                <c:pt idx="15">
                  <c:v>1/26/2015</c:v>
                </c:pt>
                <c:pt idx="16">
                  <c:v>1/27/2015</c:v>
                </c:pt>
                <c:pt idx="17">
                  <c:v>1/28/2015</c:v>
                </c:pt>
                <c:pt idx="18">
                  <c:v>1/29/2015</c:v>
                </c:pt>
                <c:pt idx="19">
                  <c:v>1/30/2015</c:v>
                </c:pt>
                <c:pt idx="20">
                  <c:v>2/2/2015</c:v>
                </c:pt>
                <c:pt idx="21">
                  <c:v>2/3/2015</c:v>
                </c:pt>
                <c:pt idx="22">
                  <c:v>2/4/2015</c:v>
                </c:pt>
                <c:pt idx="23">
                  <c:v>2/5/2015</c:v>
                </c:pt>
                <c:pt idx="24">
                  <c:v>2/6/2015</c:v>
                </c:pt>
                <c:pt idx="25">
                  <c:v>2/9/2015</c:v>
                </c:pt>
                <c:pt idx="26">
                  <c:v>2/10/2015</c:v>
                </c:pt>
                <c:pt idx="27">
                  <c:v>2/11/2015</c:v>
                </c:pt>
                <c:pt idx="28">
                  <c:v>2/12/2015</c:v>
                </c:pt>
                <c:pt idx="29">
                  <c:v>2/13/2015</c:v>
                </c:pt>
                <c:pt idx="30">
                  <c:v>2/17/2015</c:v>
                </c:pt>
                <c:pt idx="31">
                  <c:v>2/18/2015</c:v>
                </c:pt>
                <c:pt idx="32">
                  <c:v>2/19/2015</c:v>
                </c:pt>
                <c:pt idx="33">
                  <c:v>2/20/2015</c:v>
                </c:pt>
                <c:pt idx="34">
                  <c:v>2/23/2015</c:v>
                </c:pt>
                <c:pt idx="35">
                  <c:v>2/24/2015</c:v>
                </c:pt>
                <c:pt idx="36">
                  <c:v>2/25/2015</c:v>
                </c:pt>
                <c:pt idx="37">
                  <c:v>2/26/2015</c:v>
                </c:pt>
                <c:pt idx="38">
                  <c:v>2/27/2015</c:v>
                </c:pt>
                <c:pt idx="39">
                  <c:v>3/2/2015</c:v>
                </c:pt>
                <c:pt idx="40">
                  <c:v>3/3/2015</c:v>
                </c:pt>
                <c:pt idx="41">
                  <c:v>3/4/2015</c:v>
                </c:pt>
                <c:pt idx="42">
                  <c:v>3/5/2015</c:v>
                </c:pt>
                <c:pt idx="43">
                  <c:v>3/6/2015</c:v>
                </c:pt>
                <c:pt idx="44">
                  <c:v>3/9/2015</c:v>
                </c:pt>
                <c:pt idx="45">
                  <c:v>3/10/2015</c:v>
                </c:pt>
                <c:pt idx="46">
                  <c:v>3/11/2015</c:v>
                </c:pt>
                <c:pt idx="47">
                  <c:v>3/12/2015</c:v>
                </c:pt>
                <c:pt idx="48">
                  <c:v>3/13/2015</c:v>
                </c:pt>
                <c:pt idx="49">
                  <c:v>3/16/2015</c:v>
                </c:pt>
                <c:pt idx="50">
                  <c:v>3/17/2015</c:v>
                </c:pt>
                <c:pt idx="51">
                  <c:v>3/18/2015</c:v>
                </c:pt>
                <c:pt idx="52">
                  <c:v>3/19/2015</c:v>
                </c:pt>
                <c:pt idx="53">
                  <c:v>3/20/2015</c:v>
                </c:pt>
                <c:pt idx="54">
                  <c:v>3/23/2015</c:v>
                </c:pt>
                <c:pt idx="55">
                  <c:v>3/24/2015</c:v>
                </c:pt>
                <c:pt idx="56">
                  <c:v>3/25/2015</c:v>
                </c:pt>
                <c:pt idx="57">
                  <c:v>3/26/2015</c:v>
                </c:pt>
                <c:pt idx="58">
                  <c:v>3/27/2015</c:v>
                </c:pt>
                <c:pt idx="59">
                  <c:v>3/30/2015</c:v>
                </c:pt>
                <c:pt idx="60">
                  <c:v>3/31/2015</c:v>
                </c:pt>
                <c:pt idx="61">
                  <c:v>4/1/2015</c:v>
                </c:pt>
                <c:pt idx="62">
                  <c:v>4/2/2015</c:v>
                </c:pt>
                <c:pt idx="63">
                  <c:v>4/6/2015</c:v>
                </c:pt>
                <c:pt idx="64">
                  <c:v>4/7/2015</c:v>
                </c:pt>
                <c:pt idx="65">
                  <c:v>4/8/2015</c:v>
                </c:pt>
                <c:pt idx="66">
                  <c:v>4/9/2015</c:v>
                </c:pt>
                <c:pt idx="67">
                  <c:v>4/10/2015</c:v>
                </c:pt>
                <c:pt idx="68">
                  <c:v>4/13/2015</c:v>
                </c:pt>
                <c:pt idx="69">
                  <c:v>4/14/2015</c:v>
                </c:pt>
                <c:pt idx="70">
                  <c:v>4/15/2015</c:v>
                </c:pt>
                <c:pt idx="71">
                  <c:v>4/16/2015</c:v>
                </c:pt>
                <c:pt idx="72">
                  <c:v>4/17/2015</c:v>
                </c:pt>
                <c:pt idx="73">
                  <c:v>4/20/2015</c:v>
                </c:pt>
                <c:pt idx="74">
                  <c:v>4/21/2015</c:v>
                </c:pt>
                <c:pt idx="75">
                  <c:v>4/22/2015</c:v>
                </c:pt>
                <c:pt idx="76">
                  <c:v>4/23/2015</c:v>
                </c:pt>
                <c:pt idx="77">
                  <c:v>4/24/2015</c:v>
                </c:pt>
                <c:pt idx="78">
                  <c:v>4/27/2015</c:v>
                </c:pt>
                <c:pt idx="79">
                  <c:v>4/28/2015</c:v>
                </c:pt>
                <c:pt idx="80">
                  <c:v>4/29/2015</c:v>
                </c:pt>
                <c:pt idx="81">
                  <c:v>4/30/2015</c:v>
                </c:pt>
                <c:pt idx="82">
                  <c:v>5/1/2015</c:v>
                </c:pt>
                <c:pt idx="83">
                  <c:v>5/4/2015</c:v>
                </c:pt>
                <c:pt idx="84">
                  <c:v>5/5/2015</c:v>
                </c:pt>
                <c:pt idx="85">
                  <c:v>5/6/2015</c:v>
                </c:pt>
                <c:pt idx="86">
                  <c:v>5/7/2015</c:v>
                </c:pt>
                <c:pt idx="87">
                  <c:v>5/8/2015</c:v>
                </c:pt>
                <c:pt idx="88">
                  <c:v>5/11/2015</c:v>
                </c:pt>
                <c:pt idx="89">
                  <c:v>5/12/2015</c:v>
                </c:pt>
                <c:pt idx="90">
                  <c:v>5/13/2015</c:v>
                </c:pt>
                <c:pt idx="91">
                  <c:v>5/14/2015</c:v>
                </c:pt>
                <c:pt idx="92">
                  <c:v>5/15/2015</c:v>
                </c:pt>
                <c:pt idx="93">
                  <c:v>5/18/2015</c:v>
                </c:pt>
                <c:pt idx="94">
                  <c:v>5/19/2015</c:v>
                </c:pt>
                <c:pt idx="95">
                  <c:v>5/20/2015</c:v>
                </c:pt>
                <c:pt idx="96">
                  <c:v>5/21/2015</c:v>
                </c:pt>
                <c:pt idx="97">
                  <c:v>5/22/2015</c:v>
                </c:pt>
                <c:pt idx="98">
                  <c:v>5/26/2015</c:v>
                </c:pt>
                <c:pt idx="99">
                  <c:v>5/27/2015</c:v>
                </c:pt>
                <c:pt idx="100">
                  <c:v>5/28/2015</c:v>
                </c:pt>
                <c:pt idx="101">
                  <c:v>5/29/2015</c:v>
                </c:pt>
                <c:pt idx="102">
                  <c:v>6/1/2015</c:v>
                </c:pt>
                <c:pt idx="103">
                  <c:v>6/2/2015</c:v>
                </c:pt>
                <c:pt idx="104">
                  <c:v>6/3/2015</c:v>
                </c:pt>
                <c:pt idx="105">
                  <c:v>6/4/2015</c:v>
                </c:pt>
                <c:pt idx="106">
                  <c:v>6/5/2015</c:v>
                </c:pt>
                <c:pt idx="107">
                  <c:v>6/8/2015</c:v>
                </c:pt>
                <c:pt idx="108">
                  <c:v>6/9/2015</c:v>
                </c:pt>
                <c:pt idx="109">
                  <c:v>6/10/2015</c:v>
                </c:pt>
                <c:pt idx="110">
                  <c:v>6/11/2015</c:v>
                </c:pt>
                <c:pt idx="111">
                  <c:v>6/12/2015</c:v>
                </c:pt>
                <c:pt idx="112">
                  <c:v>6/15/2015</c:v>
                </c:pt>
                <c:pt idx="113">
                  <c:v>6/16/2015</c:v>
                </c:pt>
                <c:pt idx="114">
                  <c:v>6/17/2015</c:v>
                </c:pt>
                <c:pt idx="115">
                  <c:v>6/18/2015</c:v>
                </c:pt>
                <c:pt idx="116">
                  <c:v>6/19/2015</c:v>
                </c:pt>
                <c:pt idx="117">
                  <c:v>6/22/2015</c:v>
                </c:pt>
                <c:pt idx="118">
                  <c:v>6/23/2015</c:v>
                </c:pt>
                <c:pt idx="119">
                  <c:v>6/24/2015</c:v>
                </c:pt>
                <c:pt idx="120">
                  <c:v>6/25/2015</c:v>
                </c:pt>
                <c:pt idx="121">
                  <c:v>6/26/2015</c:v>
                </c:pt>
                <c:pt idx="122">
                  <c:v>6/29/2015</c:v>
                </c:pt>
                <c:pt idx="123">
                  <c:v>6/30/2015</c:v>
                </c:pt>
                <c:pt idx="124">
                  <c:v>7/1/2015</c:v>
                </c:pt>
                <c:pt idx="125">
                  <c:v>7/2/2015</c:v>
                </c:pt>
                <c:pt idx="126">
                  <c:v>7/6/2015</c:v>
                </c:pt>
                <c:pt idx="127">
                  <c:v>7/7/2015</c:v>
                </c:pt>
                <c:pt idx="128">
                  <c:v>7/8/2015</c:v>
                </c:pt>
                <c:pt idx="129">
                  <c:v>7/9/2015</c:v>
                </c:pt>
                <c:pt idx="130">
                  <c:v>7/10/2015</c:v>
                </c:pt>
                <c:pt idx="131">
                  <c:v>7/13/2015</c:v>
                </c:pt>
                <c:pt idx="132">
                  <c:v>7/14/2015</c:v>
                </c:pt>
                <c:pt idx="133">
                  <c:v>7/15/2015</c:v>
                </c:pt>
                <c:pt idx="134">
                  <c:v>7/16/2015</c:v>
                </c:pt>
                <c:pt idx="135">
                  <c:v>7/17/2015</c:v>
                </c:pt>
                <c:pt idx="136">
                  <c:v>7/20/2015</c:v>
                </c:pt>
                <c:pt idx="137">
                  <c:v>7/21/2015</c:v>
                </c:pt>
                <c:pt idx="138">
                  <c:v>7/22/2015</c:v>
                </c:pt>
                <c:pt idx="139">
                  <c:v>7/23/2015</c:v>
                </c:pt>
                <c:pt idx="140">
                  <c:v>7/24/2015</c:v>
                </c:pt>
                <c:pt idx="141">
                  <c:v>7/27/2015</c:v>
                </c:pt>
                <c:pt idx="142">
                  <c:v>7/28/2015</c:v>
                </c:pt>
                <c:pt idx="143">
                  <c:v>7/29/2015</c:v>
                </c:pt>
                <c:pt idx="144">
                  <c:v>7/30/2015</c:v>
                </c:pt>
                <c:pt idx="145">
                  <c:v>7/31/2015</c:v>
                </c:pt>
                <c:pt idx="146">
                  <c:v>8/3/2015</c:v>
                </c:pt>
                <c:pt idx="147">
                  <c:v>8/4/2015</c:v>
                </c:pt>
                <c:pt idx="148">
                  <c:v>8/5/2015</c:v>
                </c:pt>
                <c:pt idx="149">
                  <c:v>8/6/2015</c:v>
                </c:pt>
                <c:pt idx="150">
                  <c:v>8/7/2015</c:v>
                </c:pt>
                <c:pt idx="151">
                  <c:v>8/10/2015</c:v>
                </c:pt>
                <c:pt idx="152">
                  <c:v>8/11/2015</c:v>
                </c:pt>
                <c:pt idx="153">
                  <c:v>8/12/2015</c:v>
                </c:pt>
                <c:pt idx="154">
                  <c:v>8/13/2015</c:v>
                </c:pt>
                <c:pt idx="155">
                  <c:v>8/14/2015</c:v>
                </c:pt>
                <c:pt idx="156">
                  <c:v>8/17/2015</c:v>
                </c:pt>
                <c:pt idx="157">
                  <c:v>8/18/2015</c:v>
                </c:pt>
                <c:pt idx="158">
                  <c:v>8/19/2015</c:v>
                </c:pt>
                <c:pt idx="159">
                  <c:v>8/20/2015</c:v>
                </c:pt>
                <c:pt idx="160">
                  <c:v>8/21/2015</c:v>
                </c:pt>
                <c:pt idx="161">
                  <c:v>8/24/2015</c:v>
                </c:pt>
                <c:pt idx="162">
                  <c:v>8/25/2015</c:v>
                </c:pt>
                <c:pt idx="163">
                  <c:v>8/26/2015</c:v>
                </c:pt>
                <c:pt idx="164">
                  <c:v>8/27/2015</c:v>
                </c:pt>
                <c:pt idx="165">
                  <c:v>8/28/2015</c:v>
                </c:pt>
                <c:pt idx="166">
                  <c:v>8/31/2015</c:v>
                </c:pt>
                <c:pt idx="167">
                  <c:v>9/1/2015</c:v>
                </c:pt>
                <c:pt idx="168">
                  <c:v>9/2/2015</c:v>
                </c:pt>
                <c:pt idx="169">
                  <c:v>9/3/2015</c:v>
                </c:pt>
                <c:pt idx="170">
                  <c:v>9/4/2015</c:v>
                </c:pt>
                <c:pt idx="171">
                  <c:v>9/8/2015</c:v>
                </c:pt>
                <c:pt idx="172">
                  <c:v>9/9/2015</c:v>
                </c:pt>
                <c:pt idx="173">
                  <c:v>9/10/2015</c:v>
                </c:pt>
                <c:pt idx="174">
                  <c:v>9/11/2015</c:v>
                </c:pt>
                <c:pt idx="175">
                  <c:v>9/14/2015</c:v>
                </c:pt>
                <c:pt idx="176">
                  <c:v>9/15/2015</c:v>
                </c:pt>
                <c:pt idx="177">
                  <c:v>9/16/2015</c:v>
                </c:pt>
                <c:pt idx="178">
                  <c:v>9/17/2015</c:v>
                </c:pt>
                <c:pt idx="179">
                  <c:v>9/18/2015</c:v>
                </c:pt>
                <c:pt idx="180">
                  <c:v>9/21/2015</c:v>
                </c:pt>
                <c:pt idx="181">
                  <c:v>9/22/2015</c:v>
                </c:pt>
                <c:pt idx="182">
                  <c:v>9/23/2015</c:v>
                </c:pt>
                <c:pt idx="183">
                  <c:v>9/24/2015</c:v>
                </c:pt>
                <c:pt idx="184">
                  <c:v>9/25/2015</c:v>
                </c:pt>
                <c:pt idx="185">
                  <c:v>9/28/2015</c:v>
                </c:pt>
                <c:pt idx="186">
                  <c:v>9/29/2015</c:v>
                </c:pt>
                <c:pt idx="187">
                  <c:v>9/30/2015</c:v>
                </c:pt>
                <c:pt idx="188">
                  <c:v>10/1/2015</c:v>
                </c:pt>
                <c:pt idx="189">
                  <c:v>10/2/2015</c:v>
                </c:pt>
                <c:pt idx="190">
                  <c:v>10/5/2015</c:v>
                </c:pt>
                <c:pt idx="191">
                  <c:v>10/6/2015</c:v>
                </c:pt>
                <c:pt idx="192">
                  <c:v>10/7/2015</c:v>
                </c:pt>
                <c:pt idx="193">
                  <c:v>10/8/2015</c:v>
                </c:pt>
                <c:pt idx="194">
                  <c:v>10/9/2015</c:v>
                </c:pt>
                <c:pt idx="195">
                  <c:v>10/12/2015</c:v>
                </c:pt>
                <c:pt idx="196">
                  <c:v>10/13/2015</c:v>
                </c:pt>
                <c:pt idx="197">
                  <c:v>10/14/2015</c:v>
                </c:pt>
                <c:pt idx="198">
                  <c:v>10/15/2015</c:v>
                </c:pt>
                <c:pt idx="199">
                  <c:v>10/16/2015</c:v>
                </c:pt>
                <c:pt idx="200">
                  <c:v>10/19/2015</c:v>
                </c:pt>
                <c:pt idx="201">
                  <c:v>10/20/2015</c:v>
                </c:pt>
                <c:pt idx="202">
                  <c:v>10/21/2015</c:v>
                </c:pt>
                <c:pt idx="203">
                  <c:v>10/22/2015</c:v>
                </c:pt>
                <c:pt idx="204">
                  <c:v>10/23/2015</c:v>
                </c:pt>
                <c:pt idx="205">
                  <c:v>10/26/2015</c:v>
                </c:pt>
                <c:pt idx="206">
                  <c:v>10/27/2015</c:v>
                </c:pt>
                <c:pt idx="207">
                  <c:v>10/28/2015</c:v>
                </c:pt>
                <c:pt idx="208">
                  <c:v>10/29/2015</c:v>
                </c:pt>
                <c:pt idx="209">
                  <c:v>10/30/2015</c:v>
                </c:pt>
                <c:pt idx="210">
                  <c:v>11/2/2015</c:v>
                </c:pt>
                <c:pt idx="211">
                  <c:v>11/3/2015</c:v>
                </c:pt>
                <c:pt idx="212">
                  <c:v>11/4/2015</c:v>
                </c:pt>
                <c:pt idx="213">
                  <c:v>11/5/2015</c:v>
                </c:pt>
                <c:pt idx="214">
                  <c:v>11/6/2015</c:v>
                </c:pt>
                <c:pt idx="215">
                  <c:v>11/9/2015</c:v>
                </c:pt>
                <c:pt idx="216">
                  <c:v>11/10/2015</c:v>
                </c:pt>
                <c:pt idx="217">
                  <c:v>11/11/2015</c:v>
                </c:pt>
                <c:pt idx="218">
                  <c:v>11/12/2015</c:v>
                </c:pt>
                <c:pt idx="219">
                  <c:v>11/13/2015</c:v>
                </c:pt>
                <c:pt idx="220">
                  <c:v>11/16/2015</c:v>
                </c:pt>
                <c:pt idx="221">
                  <c:v>11/17/2015</c:v>
                </c:pt>
                <c:pt idx="222">
                  <c:v>11/18/2015</c:v>
                </c:pt>
                <c:pt idx="223">
                  <c:v>11/19/2015</c:v>
                </c:pt>
                <c:pt idx="224">
                  <c:v>11/20/2015</c:v>
                </c:pt>
                <c:pt idx="225">
                  <c:v>11/23/2015</c:v>
                </c:pt>
                <c:pt idx="226">
                  <c:v>11/24/2015</c:v>
                </c:pt>
                <c:pt idx="227">
                  <c:v>11/25/2015</c:v>
                </c:pt>
                <c:pt idx="228">
                  <c:v>11/27/2015</c:v>
                </c:pt>
                <c:pt idx="229">
                  <c:v>11/30/2015</c:v>
                </c:pt>
                <c:pt idx="230">
                  <c:v>12/1/2015</c:v>
                </c:pt>
                <c:pt idx="231">
                  <c:v>12/2/2015</c:v>
                </c:pt>
                <c:pt idx="232">
                  <c:v>12/3/2015</c:v>
                </c:pt>
                <c:pt idx="233">
                  <c:v>12/4/2015</c:v>
                </c:pt>
                <c:pt idx="234">
                  <c:v>12/7/2015</c:v>
                </c:pt>
                <c:pt idx="235">
                  <c:v>12/8/2015</c:v>
                </c:pt>
                <c:pt idx="236">
                  <c:v>12/9/2015</c:v>
                </c:pt>
                <c:pt idx="237">
                  <c:v>12/10/2015</c:v>
                </c:pt>
                <c:pt idx="238">
                  <c:v>12/11/2015</c:v>
                </c:pt>
                <c:pt idx="239">
                  <c:v>12/14/2015</c:v>
                </c:pt>
                <c:pt idx="240">
                  <c:v>12/15/2015</c:v>
                </c:pt>
                <c:pt idx="241">
                  <c:v>12/16/2015</c:v>
                </c:pt>
                <c:pt idx="242">
                  <c:v>12/17/2015</c:v>
                </c:pt>
                <c:pt idx="243">
                  <c:v>12/18/2015</c:v>
                </c:pt>
                <c:pt idx="244">
                  <c:v>12/21/2015</c:v>
                </c:pt>
                <c:pt idx="245">
                  <c:v>12/22/2015</c:v>
                </c:pt>
                <c:pt idx="246">
                  <c:v>12/23/2015</c:v>
                </c:pt>
                <c:pt idx="247">
                  <c:v>12/24/2015</c:v>
                </c:pt>
                <c:pt idx="248">
                  <c:v>12/28/2015</c:v>
                </c:pt>
                <c:pt idx="249">
                  <c:v>12/29/2015</c:v>
                </c:pt>
                <c:pt idx="250">
                  <c:v>12/30/2015</c:v>
                </c:pt>
                <c:pt idx="251">
                  <c:v>12/31/2015</c:v>
                </c:pt>
                <c:pt idx="252">
                  <c:v>1/4/2016</c:v>
                </c:pt>
                <c:pt idx="253">
                  <c:v>1/5/2016</c:v>
                </c:pt>
                <c:pt idx="254">
                  <c:v>1/6/2016</c:v>
                </c:pt>
                <c:pt idx="255">
                  <c:v>1/7/2016</c:v>
                </c:pt>
                <c:pt idx="256">
                  <c:v>1/8/2016</c:v>
                </c:pt>
                <c:pt idx="257">
                  <c:v>1/11/2016</c:v>
                </c:pt>
                <c:pt idx="258">
                  <c:v>1/12/2016</c:v>
                </c:pt>
                <c:pt idx="259">
                  <c:v>1/13/2016</c:v>
                </c:pt>
                <c:pt idx="260">
                  <c:v>1/14/2016</c:v>
                </c:pt>
                <c:pt idx="261">
                  <c:v>1/15/2016</c:v>
                </c:pt>
                <c:pt idx="262">
                  <c:v>1/19/2016</c:v>
                </c:pt>
                <c:pt idx="263">
                  <c:v>1/20/2016</c:v>
                </c:pt>
                <c:pt idx="264">
                  <c:v>1/21/2016</c:v>
                </c:pt>
                <c:pt idx="265">
                  <c:v>1/22/2016</c:v>
                </c:pt>
                <c:pt idx="266">
                  <c:v>1/25/2016</c:v>
                </c:pt>
                <c:pt idx="267">
                  <c:v>1/26/2016</c:v>
                </c:pt>
                <c:pt idx="268">
                  <c:v>1/27/2016</c:v>
                </c:pt>
                <c:pt idx="269">
                  <c:v>1/28/2016</c:v>
                </c:pt>
                <c:pt idx="270">
                  <c:v>1/29/2016</c:v>
                </c:pt>
                <c:pt idx="271">
                  <c:v>2/1/2016</c:v>
                </c:pt>
                <c:pt idx="272">
                  <c:v>2/2/2016</c:v>
                </c:pt>
                <c:pt idx="273">
                  <c:v>2/3/2016</c:v>
                </c:pt>
                <c:pt idx="274">
                  <c:v>2/4/2016</c:v>
                </c:pt>
                <c:pt idx="275">
                  <c:v>2/5/2016</c:v>
                </c:pt>
                <c:pt idx="276">
                  <c:v>2/8/2016</c:v>
                </c:pt>
                <c:pt idx="277">
                  <c:v>2/9/2016</c:v>
                </c:pt>
                <c:pt idx="278">
                  <c:v>2/10/2016</c:v>
                </c:pt>
                <c:pt idx="279">
                  <c:v>2/11/2016</c:v>
                </c:pt>
                <c:pt idx="280">
                  <c:v>2/12/2016</c:v>
                </c:pt>
                <c:pt idx="281">
                  <c:v>2/16/2016</c:v>
                </c:pt>
                <c:pt idx="282">
                  <c:v>2/17/2016</c:v>
                </c:pt>
                <c:pt idx="283">
                  <c:v>2/18/2016</c:v>
                </c:pt>
                <c:pt idx="284">
                  <c:v>2/19/2016</c:v>
                </c:pt>
                <c:pt idx="285">
                  <c:v>2/22/2016</c:v>
                </c:pt>
                <c:pt idx="286">
                  <c:v>2/23/2016</c:v>
                </c:pt>
                <c:pt idx="287">
                  <c:v>2/24/2016</c:v>
                </c:pt>
                <c:pt idx="288">
                  <c:v>2/25/2016</c:v>
                </c:pt>
                <c:pt idx="289">
                  <c:v>2/26/2016</c:v>
                </c:pt>
                <c:pt idx="290">
                  <c:v>2/29/2016</c:v>
                </c:pt>
                <c:pt idx="291">
                  <c:v>3/1/2016</c:v>
                </c:pt>
                <c:pt idx="292">
                  <c:v>3/2/2016</c:v>
                </c:pt>
                <c:pt idx="293">
                  <c:v>3/3/2016</c:v>
                </c:pt>
                <c:pt idx="294">
                  <c:v>3/4/2016</c:v>
                </c:pt>
                <c:pt idx="295">
                  <c:v>3/7/2016</c:v>
                </c:pt>
                <c:pt idx="296">
                  <c:v>3/8/2016</c:v>
                </c:pt>
                <c:pt idx="297">
                  <c:v>3/9/2016</c:v>
                </c:pt>
                <c:pt idx="298">
                  <c:v>3/10/2016</c:v>
                </c:pt>
                <c:pt idx="299">
                  <c:v>3/11/2016</c:v>
                </c:pt>
                <c:pt idx="300">
                  <c:v>3/14/2016</c:v>
                </c:pt>
                <c:pt idx="301">
                  <c:v>3/15/2016</c:v>
                </c:pt>
                <c:pt idx="302">
                  <c:v>3/16/2016</c:v>
                </c:pt>
                <c:pt idx="303">
                  <c:v>3/17/2016</c:v>
                </c:pt>
                <c:pt idx="304">
                  <c:v>3/18/2016</c:v>
                </c:pt>
                <c:pt idx="305">
                  <c:v>3/21/2016</c:v>
                </c:pt>
                <c:pt idx="306">
                  <c:v>3/22/2016</c:v>
                </c:pt>
                <c:pt idx="307">
                  <c:v>3/23/2016</c:v>
                </c:pt>
                <c:pt idx="308">
                  <c:v>3/24/2016</c:v>
                </c:pt>
                <c:pt idx="309">
                  <c:v>3/28/2016</c:v>
                </c:pt>
                <c:pt idx="310">
                  <c:v>3/29/2016</c:v>
                </c:pt>
                <c:pt idx="311">
                  <c:v>3/30/2016</c:v>
                </c:pt>
                <c:pt idx="312">
                  <c:v>3/31/2016</c:v>
                </c:pt>
                <c:pt idx="313">
                  <c:v>4/1/2016</c:v>
                </c:pt>
                <c:pt idx="314">
                  <c:v>4/4/2016</c:v>
                </c:pt>
                <c:pt idx="315">
                  <c:v>4/5/2016</c:v>
                </c:pt>
                <c:pt idx="316">
                  <c:v>4/6/2016</c:v>
                </c:pt>
                <c:pt idx="317">
                  <c:v>4/7/2016</c:v>
                </c:pt>
                <c:pt idx="318">
                  <c:v>4/8/2016</c:v>
                </c:pt>
                <c:pt idx="319">
                  <c:v>4/11/2016</c:v>
                </c:pt>
                <c:pt idx="320">
                  <c:v>4/12/2016</c:v>
                </c:pt>
                <c:pt idx="321">
                  <c:v>4/13/2016</c:v>
                </c:pt>
                <c:pt idx="322">
                  <c:v>4/14/2016</c:v>
                </c:pt>
                <c:pt idx="323">
                  <c:v>4/15/2016</c:v>
                </c:pt>
                <c:pt idx="324">
                  <c:v>4/18/2016</c:v>
                </c:pt>
                <c:pt idx="325">
                  <c:v>4/19/2016</c:v>
                </c:pt>
                <c:pt idx="326">
                  <c:v>4/20/2016</c:v>
                </c:pt>
                <c:pt idx="327">
                  <c:v>4/21/2016</c:v>
                </c:pt>
                <c:pt idx="328">
                  <c:v>4/22/2016</c:v>
                </c:pt>
                <c:pt idx="329">
                  <c:v>4/25/2016</c:v>
                </c:pt>
                <c:pt idx="330">
                  <c:v>4/26/2016</c:v>
                </c:pt>
                <c:pt idx="331">
                  <c:v>4/27/2016</c:v>
                </c:pt>
                <c:pt idx="332">
                  <c:v>4/28/2016</c:v>
                </c:pt>
                <c:pt idx="333">
                  <c:v>4/29/2016</c:v>
                </c:pt>
                <c:pt idx="334">
                  <c:v>5/2/2016</c:v>
                </c:pt>
                <c:pt idx="335">
                  <c:v>5/3/2016</c:v>
                </c:pt>
                <c:pt idx="336">
                  <c:v>5/4/2016</c:v>
                </c:pt>
                <c:pt idx="337">
                  <c:v>5/5/2016</c:v>
                </c:pt>
                <c:pt idx="338">
                  <c:v>5/6/2016</c:v>
                </c:pt>
                <c:pt idx="339">
                  <c:v>5/9/2016</c:v>
                </c:pt>
                <c:pt idx="340">
                  <c:v>5/10/2016</c:v>
                </c:pt>
                <c:pt idx="341">
                  <c:v>5/11/2016</c:v>
                </c:pt>
                <c:pt idx="342">
                  <c:v>5/12/2016</c:v>
                </c:pt>
                <c:pt idx="343">
                  <c:v>5/13/2016</c:v>
                </c:pt>
                <c:pt idx="344">
                  <c:v>5/16/2016</c:v>
                </c:pt>
                <c:pt idx="345">
                  <c:v>5/17/2016</c:v>
                </c:pt>
                <c:pt idx="346">
                  <c:v>5/18/2016</c:v>
                </c:pt>
                <c:pt idx="347">
                  <c:v>5/19/2016</c:v>
                </c:pt>
                <c:pt idx="348">
                  <c:v>5/20/2016</c:v>
                </c:pt>
                <c:pt idx="349">
                  <c:v>5/23/2016</c:v>
                </c:pt>
                <c:pt idx="350">
                  <c:v>5/24/2016</c:v>
                </c:pt>
                <c:pt idx="351">
                  <c:v>5/25/2016</c:v>
                </c:pt>
                <c:pt idx="352">
                  <c:v>5/26/2016</c:v>
                </c:pt>
                <c:pt idx="353">
                  <c:v>5/27/2016</c:v>
                </c:pt>
                <c:pt idx="354">
                  <c:v>5/31/2016</c:v>
                </c:pt>
                <c:pt idx="355">
                  <c:v>6/1/2016</c:v>
                </c:pt>
                <c:pt idx="356">
                  <c:v>6/2/2016</c:v>
                </c:pt>
                <c:pt idx="357">
                  <c:v>6/3/2016</c:v>
                </c:pt>
                <c:pt idx="358">
                  <c:v>6/6/2016</c:v>
                </c:pt>
                <c:pt idx="359">
                  <c:v>6/7/2016</c:v>
                </c:pt>
                <c:pt idx="360">
                  <c:v>6/8/2016</c:v>
                </c:pt>
                <c:pt idx="361">
                  <c:v>6/9/2016</c:v>
                </c:pt>
                <c:pt idx="362">
                  <c:v>6/10/2016</c:v>
                </c:pt>
                <c:pt idx="363">
                  <c:v>6/13/2016</c:v>
                </c:pt>
                <c:pt idx="364">
                  <c:v>6/14/2016</c:v>
                </c:pt>
                <c:pt idx="365">
                  <c:v>6/15/2016</c:v>
                </c:pt>
                <c:pt idx="366">
                  <c:v>6/16/2016</c:v>
                </c:pt>
                <c:pt idx="367">
                  <c:v>6/17/2016</c:v>
                </c:pt>
                <c:pt idx="368">
                  <c:v>6/20/2016</c:v>
                </c:pt>
                <c:pt idx="369">
                  <c:v>6/21/2016</c:v>
                </c:pt>
                <c:pt idx="370">
                  <c:v>6/22/2016</c:v>
                </c:pt>
                <c:pt idx="371">
                  <c:v>6/23/2016</c:v>
                </c:pt>
                <c:pt idx="372">
                  <c:v>6/24/2016</c:v>
                </c:pt>
                <c:pt idx="373">
                  <c:v>6/27/2016</c:v>
                </c:pt>
                <c:pt idx="374">
                  <c:v>6/28/2016</c:v>
                </c:pt>
                <c:pt idx="375">
                  <c:v>6/29/2016</c:v>
                </c:pt>
                <c:pt idx="376">
                  <c:v>6/30/2016</c:v>
                </c:pt>
                <c:pt idx="377">
                  <c:v>7/1/2016</c:v>
                </c:pt>
                <c:pt idx="378">
                  <c:v>7/5/2016</c:v>
                </c:pt>
                <c:pt idx="379">
                  <c:v>7/6/2016</c:v>
                </c:pt>
                <c:pt idx="380">
                  <c:v>7/7/2016</c:v>
                </c:pt>
                <c:pt idx="381">
                  <c:v>7/8/2016</c:v>
                </c:pt>
                <c:pt idx="382">
                  <c:v>7/11/2016</c:v>
                </c:pt>
                <c:pt idx="383">
                  <c:v>7/12/2016</c:v>
                </c:pt>
                <c:pt idx="384">
                  <c:v>7/13/2016</c:v>
                </c:pt>
                <c:pt idx="385">
                  <c:v>7/14/2016</c:v>
                </c:pt>
                <c:pt idx="386">
                  <c:v>7/15/2016</c:v>
                </c:pt>
                <c:pt idx="387">
                  <c:v>7/18/2016</c:v>
                </c:pt>
                <c:pt idx="388">
                  <c:v>7/19/2016</c:v>
                </c:pt>
                <c:pt idx="389">
                  <c:v>7/20/2016</c:v>
                </c:pt>
                <c:pt idx="390">
                  <c:v>7/21/2016</c:v>
                </c:pt>
                <c:pt idx="391">
                  <c:v>7/22/2016</c:v>
                </c:pt>
                <c:pt idx="392">
                  <c:v>7/25/2016</c:v>
                </c:pt>
                <c:pt idx="393">
                  <c:v>7/26/2016</c:v>
                </c:pt>
                <c:pt idx="394">
                  <c:v>7/27/2016</c:v>
                </c:pt>
                <c:pt idx="395">
                  <c:v>7/28/2016</c:v>
                </c:pt>
                <c:pt idx="396">
                  <c:v>7/29/2016</c:v>
                </c:pt>
                <c:pt idx="397">
                  <c:v>8/1/2016</c:v>
                </c:pt>
                <c:pt idx="398">
                  <c:v>8/2/2016</c:v>
                </c:pt>
                <c:pt idx="399">
                  <c:v>8/3/2016</c:v>
                </c:pt>
                <c:pt idx="400">
                  <c:v>8/4/2016</c:v>
                </c:pt>
                <c:pt idx="401">
                  <c:v>8/5/2016</c:v>
                </c:pt>
                <c:pt idx="402">
                  <c:v>8/8/2016</c:v>
                </c:pt>
                <c:pt idx="403">
                  <c:v>8/9/2016</c:v>
                </c:pt>
                <c:pt idx="404">
                  <c:v>8/10/2016</c:v>
                </c:pt>
                <c:pt idx="405">
                  <c:v>8/11/2016</c:v>
                </c:pt>
                <c:pt idx="406">
                  <c:v>8/12/2016</c:v>
                </c:pt>
                <c:pt idx="407">
                  <c:v>8/15/2016</c:v>
                </c:pt>
                <c:pt idx="408">
                  <c:v>8/16/2016</c:v>
                </c:pt>
                <c:pt idx="409">
                  <c:v>8/17/2016</c:v>
                </c:pt>
                <c:pt idx="410">
                  <c:v>8/18/2016</c:v>
                </c:pt>
                <c:pt idx="411">
                  <c:v>8/19/2016</c:v>
                </c:pt>
                <c:pt idx="412">
                  <c:v>8/22/2016</c:v>
                </c:pt>
                <c:pt idx="413">
                  <c:v>8/23/2016</c:v>
                </c:pt>
                <c:pt idx="414">
                  <c:v>8/24/2016</c:v>
                </c:pt>
                <c:pt idx="415">
                  <c:v>8/25/2016</c:v>
                </c:pt>
                <c:pt idx="416">
                  <c:v>8/26/2016</c:v>
                </c:pt>
                <c:pt idx="417">
                  <c:v>8/29/2016</c:v>
                </c:pt>
                <c:pt idx="418">
                  <c:v>8/30/2016</c:v>
                </c:pt>
                <c:pt idx="419">
                  <c:v>8/31/2016</c:v>
                </c:pt>
                <c:pt idx="420">
                  <c:v>9/1/2016</c:v>
                </c:pt>
                <c:pt idx="421">
                  <c:v>9/2/2016</c:v>
                </c:pt>
                <c:pt idx="422">
                  <c:v>9/6/2016</c:v>
                </c:pt>
                <c:pt idx="423">
                  <c:v>9/7/2016</c:v>
                </c:pt>
                <c:pt idx="424">
                  <c:v>9/8/2016</c:v>
                </c:pt>
                <c:pt idx="425">
                  <c:v>9/9/2016</c:v>
                </c:pt>
                <c:pt idx="426">
                  <c:v>9/12/2016</c:v>
                </c:pt>
                <c:pt idx="427">
                  <c:v>9/13/2016</c:v>
                </c:pt>
                <c:pt idx="428">
                  <c:v>9/14/2016</c:v>
                </c:pt>
                <c:pt idx="429">
                  <c:v>9/15/2016</c:v>
                </c:pt>
                <c:pt idx="430">
                  <c:v>9/16/2016</c:v>
                </c:pt>
                <c:pt idx="431">
                  <c:v>9/19/2016</c:v>
                </c:pt>
                <c:pt idx="432">
                  <c:v>9/20/2016</c:v>
                </c:pt>
                <c:pt idx="433">
                  <c:v>9/21/2016</c:v>
                </c:pt>
                <c:pt idx="434">
                  <c:v>9/22/2016</c:v>
                </c:pt>
                <c:pt idx="435">
                  <c:v>9/23/2016</c:v>
                </c:pt>
                <c:pt idx="436">
                  <c:v>9/26/2016</c:v>
                </c:pt>
                <c:pt idx="437">
                  <c:v>9/27/2016</c:v>
                </c:pt>
                <c:pt idx="438">
                  <c:v>9/28/2016</c:v>
                </c:pt>
                <c:pt idx="439">
                  <c:v>9/29/2016</c:v>
                </c:pt>
                <c:pt idx="440">
                  <c:v>9/30/2016</c:v>
                </c:pt>
                <c:pt idx="441">
                  <c:v>10/3/2016</c:v>
                </c:pt>
                <c:pt idx="442">
                  <c:v>10/4/2016</c:v>
                </c:pt>
                <c:pt idx="443">
                  <c:v>10/5/2016</c:v>
                </c:pt>
                <c:pt idx="444">
                  <c:v>10/6/2016</c:v>
                </c:pt>
                <c:pt idx="445">
                  <c:v>10/7/2016</c:v>
                </c:pt>
                <c:pt idx="446">
                  <c:v>10/10/2016</c:v>
                </c:pt>
                <c:pt idx="447">
                  <c:v>10/11/2016</c:v>
                </c:pt>
                <c:pt idx="448">
                  <c:v>10/12/2016</c:v>
                </c:pt>
                <c:pt idx="449">
                  <c:v>10/13/2016</c:v>
                </c:pt>
                <c:pt idx="450">
                  <c:v>10/14/2016</c:v>
                </c:pt>
                <c:pt idx="451">
                  <c:v>10/17/2016</c:v>
                </c:pt>
                <c:pt idx="452">
                  <c:v>10/18/2016</c:v>
                </c:pt>
                <c:pt idx="453">
                  <c:v>10/19/2016</c:v>
                </c:pt>
                <c:pt idx="454">
                  <c:v>10/20/2016</c:v>
                </c:pt>
                <c:pt idx="455">
                  <c:v>10/21/2016</c:v>
                </c:pt>
                <c:pt idx="456">
                  <c:v>10/24/2016</c:v>
                </c:pt>
                <c:pt idx="457">
                  <c:v>10/25/2016</c:v>
                </c:pt>
                <c:pt idx="458">
                  <c:v>10/26/2016</c:v>
                </c:pt>
                <c:pt idx="459">
                  <c:v>10/27/2016</c:v>
                </c:pt>
                <c:pt idx="460">
                  <c:v>10/28/2016</c:v>
                </c:pt>
                <c:pt idx="461">
                  <c:v>10/31/2016</c:v>
                </c:pt>
                <c:pt idx="462">
                  <c:v>11/1/2016</c:v>
                </c:pt>
                <c:pt idx="463">
                  <c:v>11/2/2016</c:v>
                </c:pt>
                <c:pt idx="464">
                  <c:v>11/3/2016</c:v>
                </c:pt>
                <c:pt idx="465">
                  <c:v>11/4/2016</c:v>
                </c:pt>
                <c:pt idx="466">
                  <c:v>11/7/2016</c:v>
                </c:pt>
                <c:pt idx="467">
                  <c:v>11/8/2016</c:v>
                </c:pt>
                <c:pt idx="468">
                  <c:v>11/9/2016</c:v>
                </c:pt>
                <c:pt idx="469">
                  <c:v>11/10/2016</c:v>
                </c:pt>
                <c:pt idx="470">
                  <c:v>11/11/2016</c:v>
                </c:pt>
                <c:pt idx="471">
                  <c:v>11/14/2016</c:v>
                </c:pt>
                <c:pt idx="472">
                  <c:v>11/15/2016</c:v>
                </c:pt>
                <c:pt idx="473">
                  <c:v>11/16/2016</c:v>
                </c:pt>
                <c:pt idx="474">
                  <c:v>11/17/2016</c:v>
                </c:pt>
                <c:pt idx="475">
                  <c:v>11/18/2016</c:v>
                </c:pt>
                <c:pt idx="476">
                  <c:v>11/21/2016</c:v>
                </c:pt>
                <c:pt idx="477">
                  <c:v>11/22/2016</c:v>
                </c:pt>
                <c:pt idx="478">
                  <c:v>11/23/2016</c:v>
                </c:pt>
                <c:pt idx="479">
                  <c:v>11/25/2016</c:v>
                </c:pt>
                <c:pt idx="480">
                  <c:v>11/28/2016</c:v>
                </c:pt>
                <c:pt idx="481">
                  <c:v>11/29/2016</c:v>
                </c:pt>
                <c:pt idx="482">
                  <c:v>11/30/2016</c:v>
                </c:pt>
                <c:pt idx="483">
                  <c:v>12/1/2016</c:v>
                </c:pt>
                <c:pt idx="484">
                  <c:v>12/2/2016</c:v>
                </c:pt>
                <c:pt idx="485">
                  <c:v>12/5/2016</c:v>
                </c:pt>
                <c:pt idx="486">
                  <c:v>12/6/2016</c:v>
                </c:pt>
                <c:pt idx="487">
                  <c:v>12/7/2016</c:v>
                </c:pt>
                <c:pt idx="488">
                  <c:v>12/8/2016</c:v>
                </c:pt>
                <c:pt idx="489">
                  <c:v>12/9/2016</c:v>
                </c:pt>
                <c:pt idx="490">
                  <c:v>12/12/2016</c:v>
                </c:pt>
                <c:pt idx="491">
                  <c:v>12/13/2016</c:v>
                </c:pt>
                <c:pt idx="492">
                  <c:v>12/14/2016</c:v>
                </c:pt>
                <c:pt idx="493">
                  <c:v>12/15/2016</c:v>
                </c:pt>
                <c:pt idx="494">
                  <c:v>12/16/2016</c:v>
                </c:pt>
                <c:pt idx="495">
                  <c:v>12/19/2016</c:v>
                </c:pt>
                <c:pt idx="496">
                  <c:v>12/20/2016</c:v>
                </c:pt>
                <c:pt idx="497">
                  <c:v>12/21/2016</c:v>
                </c:pt>
                <c:pt idx="498">
                  <c:v>12/22/2016</c:v>
                </c:pt>
                <c:pt idx="499">
                  <c:v>12/23/2016</c:v>
                </c:pt>
                <c:pt idx="500">
                  <c:v>12/27/2016</c:v>
                </c:pt>
                <c:pt idx="501">
                  <c:v>12/28/2016</c:v>
                </c:pt>
                <c:pt idx="502">
                  <c:v>12/29/2016</c:v>
                </c:pt>
                <c:pt idx="503">
                  <c:v>12/30/2016</c:v>
                </c:pt>
                <c:pt idx="504">
                  <c:v>1/3/2017</c:v>
                </c:pt>
                <c:pt idx="505">
                  <c:v>1/4/2017</c:v>
                </c:pt>
                <c:pt idx="506">
                  <c:v>1/5/2017</c:v>
                </c:pt>
                <c:pt idx="507">
                  <c:v>1/6/2017</c:v>
                </c:pt>
                <c:pt idx="508">
                  <c:v>1/9/2017</c:v>
                </c:pt>
                <c:pt idx="509">
                  <c:v>1/10/2017</c:v>
                </c:pt>
                <c:pt idx="510">
                  <c:v>1/11/2017</c:v>
                </c:pt>
                <c:pt idx="511">
                  <c:v>1/12/2017</c:v>
                </c:pt>
                <c:pt idx="512">
                  <c:v>1/13/2017</c:v>
                </c:pt>
                <c:pt idx="513">
                  <c:v>1/17/2017</c:v>
                </c:pt>
                <c:pt idx="514">
                  <c:v>1/18/2017</c:v>
                </c:pt>
                <c:pt idx="515">
                  <c:v>1/19/2017</c:v>
                </c:pt>
                <c:pt idx="516">
                  <c:v>1/20/2017</c:v>
                </c:pt>
                <c:pt idx="517">
                  <c:v>1/23/2017</c:v>
                </c:pt>
                <c:pt idx="518">
                  <c:v>1/24/2017</c:v>
                </c:pt>
                <c:pt idx="519">
                  <c:v>1/25/2017</c:v>
                </c:pt>
                <c:pt idx="520">
                  <c:v>1/26/2017</c:v>
                </c:pt>
                <c:pt idx="521">
                  <c:v>1/27/2017</c:v>
                </c:pt>
                <c:pt idx="522">
                  <c:v>1/30/2017</c:v>
                </c:pt>
                <c:pt idx="523">
                  <c:v>1/31/2017</c:v>
                </c:pt>
                <c:pt idx="524">
                  <c:v>2/1/2017</c:v>
                </c:pt>
                <c:pt idx="525">
                  <c:v>2/2/2017</c:v>
                </c:pt>
                <c:pt idx="526">
                  <c:v>2/3/2017</c:v>
                </c:pt>
                <c:pt idx="527">
                  <c:v>2/6/2017</c:v>
                </c:pt>
                <c:pt idx="528">
                  <c:v>2/7/2017</c:v>
                </c:pt>
                <c:pt idx="529">
                  <c:v>2/8/2017</c:v>
                </c:pt>
                <c:pt idx="530">
                  <c:v>2/9/2017</c:v>
                </c:pt>
                <c:pt idx="531">
                  <c:v>2/10/2017</c:v>
                </c:pt>
                <c:pt idx="532">
                  <c:v>2/13/2017</c:v>
                </c:pt>
                <c:pt idx="533">
                  <c:v>2/14/2017</c:v>
                </c:pt>
                <c:pt idx="534">
                  <c:v>2/15/2017</c:v>
                </c:pt>
                <c:pt idx="535">
                  <c:v>2/16/2017</c:v>
                </c:pt>
                <c:pt idx="536">
                  <c:v>2/17/2017</c:v>
                </c:pt>
                <c:pt idx="537">
                  <c:v>2/21/2017</c:v>
                </c:pt>
                <c:pt idx="538">
                  <c:v>2/22/2017</c:v>
                </c:pt>
                <c:pt idx="539">
                  <c:v>2/23/2017</c:v>
                </c:pt>
                <c:pt idx="540">
                  <c:v>2/24/2017</c:v>
                </c:pt>
                <c:pt idx="541">
                  <c:v>2/27/2017</c:v>
                </c:pt>
                <c:pt idx="542">
                  <c:v>2/28/2017</c:v>
                </c:pt>
                <c:pt idx="543">
                  <c:v>3/1/2017</c:v>
                </c:pt>
                <c:pt idx="544">
                  <c:v>3/2/2017</c:v>
                </c:pt>
                <c:pt idx="545">
                  <c:v>3/3/2017</c:v>
                </c:pt>
                <c:pt idx="546">
                  <c:v>3/6/2017</c:v>
                </c:pt>
                <c:pt idx="547">
                  <c:v>3/7/2017</c:v>
                </c:pt>
                <c:pt idx="548">
                  <c:v>3/8/2017</c:v>
                </c:pt>
                <c:pt idx="549">
                  <c:v>3/9/2017</c:v>
                </c:pt>
                <c:pt idx="550">
                  <c:v>3/10/2017</c:v>
                </c:pt>
                <c:pt idx="551">
                  <c:v>3/13/2017</c:v>
                </c:pt>
                <c:pt idx="552">
                  <c:v>3/14/2017</c:v>
                </c:pt>
                <c:pt idx="553">
                  <c:v>3/15/2017</c:v>
                </c:pt>
                <c:pt idx="554">
                  <c:v>3/16/2017</c:v>
                </c:pt>
                <c:pt idx="555">
                  <c:v>3/17/2017</c:v>
                </c:pt>
                <c:pt idx="556">
                  <c:v>3/20/2017</c:v>
                </c:pt>
                <c:pt idx="557">
                  <c:v>3/21/2017</c:v>
                </c:pt>
                <c:pt idx="558">
                  <c:v>3/22/2017</c:v>
                </c:pt>
                <c:pt idx="559">
                  <c:v>3/23/2017</c:v>
                </c:pt>
                <c:pt idx="560">
                  <c:v>3/24/2017</c:v>
                </c:pt>
                <c:pt idx="561">
                  <c:v>3/27/2017</c:v>
                </c:pt>
                <c:pt idx="562">
                  <c:v>3/28/2017</c:v>
                </c:pt>
                <c:pt idx="563">
                  <c:v>3/29/2017</c:v>
                </c:pt>
                <c:pt idx="564">
                  <c:v>3/30/2017</c:v>
                </c:pt>
                <c:pt idx="565">
                  <c:v>3/31/2017</c:v>
                </c:pt>
                <c:pt idx="566">
                  <c:v>4/3/2017</c:v>
                </c:pt>
                <c:pt idx="567">
                  <c:v>4/4/2017</c:v>
                </c:pt>
                <c:pt idx="568">
                  <c:v>4/5/2017</c:v>
                </c:pt>
                <c:pt idx="569">
                  <c:v>4/6/2017</c:v>
                </c:pt>
                <c:pt idx="570">
                  <c:v>4/7/2017</c:v>
                </c:pt>
                <c:pt idx="571">
                  <c:v>4/10/2017</c:v>
                </c:pt>
                <c:pt idx="572">
                  <c:v>4/11/2017</c:v>
                </c:pt>
                <c:pt idx="573">
                  <c:v>4/12/2017</c:v>
                </c:pt>
                <c:pt idx="574">
                  <c:v>4/13/2017</c:v>
                </c:pt>
                <c:pt idx="575">
                  <c:v>4/17/2017</c:v>
                </c:pt>
                <c:pt idx="576">
                  <c:v>4/18/2017</c:v>
                </c:pt>
                <c:pt idx="577">
                  <c:v>4/19/2017</c:v>
                </c:pt>
                <c:pt idx="578">
                  <c:v>4/20/2017</c:v>
                </c:pt>
                <c:pt idx="579">
                  <c:v>4/21/2017</c:v>
                </c:pt>
                <c:pt idx="580">
                  <c:v>4/24/2017</c:v>
                </c:pt>
                <c:pt idx="581">
                  <c:v>4/25/2017</c:v>
                </c:pt>
                <c:pt idx="582">
                  <c:v>4/26/2017</c:v>
                </c:pt>
                <c:pt idx="583">
                  <c:v>4/27/2017</c:v>
                </c:pt>
                <c:pt idx="584">
                  <c:v>4/28/2017</c:v>
                </c:pt>
                <c:pt idx="585">
                  <c:v>5/1/2017</c:v>
                </c:pt>
                <c:pt idx="586">
                  <c:v>5/2/2017</c:v>
                </c:pt>
                <c:pt idx="587">
                  <c:v>5/3/2017</c:v>
                </c:pt>
                <c:pt idx="588">
                  <c:v>5/4/2017</c:v>
                </c:pt>
                <c:pt idx="589">
                  <c:v>5/5/2017</c:v>
                </c:pt>
                <c:pt idx="590">
                  <c:v>5/8/2017</c:v>
                </c:pt>
                <c:pt idx="591">
                  <c:v>5/9/2017</c:v>
                </c:pt>
                <c:pt idx="592">
                  <c:v>5/10/2017</c:v>
                </c:pt>
                <c:pt idx="593">
                  <c:v>5/11/2017</c:v>
                </c:pt>
                <c:pt idx="594">
                  <c:v>5/12/2017</c:v>
                </c:pt>
                <c:pt idx="595">
                  <c:v>5/15/2017</c:v>
                </c:pt>
                <c:pt idx="596">
                  <c:v>5/16/2017</c:v>
                </c:pt>
                <c:pt idx="597">
                  <c:v>5/17/2017</c:v>
                </c:pt>
                <c:pt idx="598">
                  <c:v>5/18/2017</c:v>
                </c:pt>
                <c:pt idx="599">
                  <c:v>5/19/2017</c:v>
                </c:pt>
                <c:pt idx="600">
                  <c:v>5/22/2017</c:v>
                </c:pt>
                <c:pt idx="601">
                  <c:v>5/23/2017</c:v>
                </c:pt>
                <c:pt idx="602">
                  <c:v>5/24/2017</c:v>
                </c:pt>
                <c:pt idx="603">
                  <c:v>5/25/2017</c:v>
                </c:pt>
                <c:pt idx="604">
                  <c:v>5/26/2017</c:v>
                </c:pt>
                <c:pt idx="605">
                  <c:v>5/30/2017</c:v>
                </c:pt>
                <c:pt idx="606">
                  <c:v>5/31/2017</c:v>
                </c:pt>
                <c:pt idx="607">
                  <c:v>6/1/2017</c:v>
                </c:pt>
                <c:pt idx="608">
                  <c:v>6/2/2017</c:v>
                </c:pt>
                <c:pt idx="609">
                  <c:v>6/5/2017</c:v>
                </c:pt>
                <c:pt idx="610">
                  <c:v>6/6/2017</c:v>
                </c:pt>
                <c:pt idx="611">
                  <c:v>6/7/2017</c:v>
                </c:pt>
                <c:pt idx="612">
                  <c:v>6/8/2017</c:v>
                </c:pt>
                <c:pt idx="613">
                  <c:v>6/9/2017</c:v>
                </c:pt>
                <c:pt idx="614">
                  <c:v>6/12/2017</c:v>
                </c:pt>
                <c:pt idx="615">
                  <c:v>6/13/2017</c:v>
                </c:pt>
                <c:pt idx="616">
                  <c:v>6/14/2017</c:v>
                </c:pt>
                <c:pt idx="617">
                  <c:v>6/15/2017</c:v>
                </c:pt>
                <c:pt idx="618">
                  <c:v>6/16/2017</c:v>
                </c:pt>
                <c:pt idx="619">
                  <c:v>6/19/2017</c:v>
                </c:pt>
                <c:pt idx="620">
                  <c:v>6/20/2017</c:v>
                </c:pt>
                <c:pt idx="621">
                  <c:v>6/21/2017</c:v>
                </c:pt>
                <c:pt idx="622">
                  <c:v>6/22/2017</c:v>
                </c:pt>
                <c:pt idx="623">
                  <c:v>6/23/2017</c:v>
                </c:pt>
                <c:pt idx="624">
                  <c:v>6/26/2017</c:v>
                </c:pt>
                <c:pt idx="625">
                  <c:v>6/27/2017</c:v>
                </c:pt>
                <c:pt idx="626">
                  <c:v>6/28/2017</c:v>
                </c:pt>
                <c:pt idx="627">
                  <c:v>6/29/2017</c:v>
                </c:pt>
                <c:pt idx="628">
                  <c:v>6/30/2017</c:v>
                </c:pt>
                <c:pt idx="629">
                  <c:v>7/3/2017</c:v>
                </c:pt>
                <c:pt idx="630">
                  <c:v>7/5/2017</c:v>
                </c:pt>
                <c:pt idx="631">
                  <c:v>7/6/2017</c:v>
                </c:pt>
                <c:pt idx="632">
                  <c:v>7/7/2017</c:v>
                </c:pt>
                <c:pt idx="633">
                  <c:v>7/10/2017</c:v>
                </c:pt>
                <c:pt idx="634">
                  <c:v>7/11/2017</c:v>
                </c:pt>
                <c:pt idx="635">
                  <c:v>7/12/2017</c:v>
                </c:pt>
                <c:pt idx="636">
                  <c:v>7/13/2017</c:v>
                </c:pt>
                <c:pt idx="637">
                  <c:v>7/14/2017</c:v>
                </c:pt>
                <c:pt idx="638">
                  <c:v>7/17/2017</c:v>
                </c:pt>
                <c:pt idx="639">
                  <c:v>7/18/2017</c:v>
                </c:pt>
                <c:pt idx="640">
                  <c:v>7/19/2017</c:v>
                </c:pt>
                <c:pt idx="641">
                  <c:v>7/20/2017</c:v>
                </c:pt>
                <c:pt idx="642">
                  <c:v>7/21/2017</c:v>
                </c:pt>
                <c:pt idx="643">
                  <c:v>7/24/2017</c:v>
                </c:pt>
                <c:pt idx="644">
                  <c:v>7/25/2017</c:v>
                </c:pt>
                <c:pt idx="645">
                  <c:v>7/26/2017</c:v>
                </c:pt>
                <c:pt idx="646">
                  <c:v>7/27/2017</c:v>
                </c:pt>
                <c:pt idx="647">
                  <c:v>7/28/2017</c:v>
                </c:pt>
                <c:pt idx="648">
                  <c:v>7/31/2017</c:v>
                </c:pt>
                <c:pt idx="649">
                  <c:v>8/1/2017</c:v>
                </c:pt>
                <c:pt idx="650">
                  <c:v>8/2/2017</c:v>
                </c:pt>
                <c:pt idx="651">
                  <c:v>8/3/2017</c:v>
                </c:pt>
                <c:pt idx="652">
                  <c:v>8/4/2017</c:v>
                </c:pt>
                <c:pt idx="653">
                  <c:v>8/7/2017</c:v>
                </c:pt>
                <c:pt idx="654">
                  <c:v>8/8/2017</c:v>
                </c:pt>
                <c:pt idx="655">
                  <c:v>8/9/2017</c:v>
                </c:pt>
                <c:pt idx="656">
                  <c:v>8/10/2017</c:v>
                </c:pt>
                <c:pt idx="657">
                  <c:v>8/11/2017</c:v>
                </c:pt>
                <c:pt idx="658">
                  <c:v>8/14/2017</c:v>
                </c:pt>
                <c:pt idx="659">
                  <c:v>8/15/2017</c:v>
                </c:pt>
                <c:pt idx="660">
                  <c:v>8/16/2017</c:v>
                </c:pt>
                <c:pt idx="661">
                  <c:v>8/17/2017</c:v>
                </c:pt>
                <c:pt idx="662">
                  <c:v>8/18/2017</c:v>
                </c:pt>
                <c:pt idx="663">
                  <c:v>8/21/2017</c:v>
                </c:pt>
                <c:pt idx="664">
                  <c:v>8/22/2017</c:v>
                </c:pt>
                <c:pt idx="665">
                  <c:v>8/23/2017</c:v>
                </c:pt>
                <c:pt idx="666">
                  <c:v>8/24/2017</c:v>
                </c:pt>
                <c:pt idx="667">
                  <c:v>8/25/2017</c:v>
                </c:pt>
                <c:pt idx="668">
                  <c:v>8/28/2017</c:v>
                </c:pt>
                <c:pt idx="669">
                  <c:v>8/29/2017</c:v>
                </c:pt>
                <c:pt idx="670">
                  <c:v>8/30/2017</c:v>
                </c:pt>
                <c:pt idx="671">
                  <c:v>8/31/2017</c:v>
                </c:pt>
                <c:pt idx="672">
                  <c:v>9/1/2017</c:v>
                </c:pt>
                <c:pt idx="673">
                  <c:v>9/5/2017</c:v>
                </c:pt>
                <c:pt idx="674">
                  <c:v>9/6/2017</c:v>
                </c:pt>
                <c:pt idx="675">
                  <c:v>9/7/2017</c:v>
                </c:pt>
                <c:pt idx="676">
                  <c:v>9/8/2017</c:v>
                </c:pt>
                <c:pt idx="677">
                  <c:v>9/11/2017</c:v>
                </c:pt>
                <c:pt idx="678">
                  <c:v>9/12/2017</c:v>
                </c:pt>
                <c:pt idx="679">
                  <c:v>9/13/2017</c:v>
                </c:pt>
                <c:pt idx="680">
                  <c:v>9/14/2017</c:v>
                </c:pt>
                <c:pt idx="681">
                  <c:v>9/15/2017</c:v>
                </c:pt>
                <c:pt idx="682">
                  <c:v>9/18/2017</c:v>
                </c:pt>
                <c:pt idx="683">
                  <c:v>9/19/2017</c:v>
                </c:pt>
                <c:pt idx="684">
                  <c:v>9/20/2017</c:v>
                </c:pt>
                <c:pt idx="685">
                  <c:v>9/21/2017</c:v>
                </c:pt>
                <c:pt idx="686">
                  <c:v>9/22/2017</c:v>
                </c:pt>
                <c:pt idx="687">
                  <c:v>9/25/2017</c:v>
                </c:pt>
                <c:pt idx="688">
                  <c:v>9/26/2017</c:v>
                </c:pt>
                <c:pt idx="689">
                  <c:v>9/27/2017</c:v>
                </c:pt>
                <c:pt idx="690">
                  <c:v>9/28/2017</c:v>
                </c:pt>
                <c:pt idx="691">
                  <c:v>9/29/2017</c:v>
                </c:pt>
                <c:pt idx="692">
                  <c:v>10/2/2017</c:v>
                </c:pt>
                <c:pt idx="693">
                  <c:v>10/3/2017</c:v>
                </c:pt>
                <c:pt idx="694">
                  <c:v>10/4/2017</c:v>
                </c:pt>
                <c:pt idx="695">
                  <c:v>10/5/2017</c:v>
                </c:pt>
                <c:pt idx="696">
                  <c:v>10/6/2017</c:v>
                </c:pt>
                <c:pt idx="697">
                  <c:v>10/9/2017</c:v>
                </c:pt>
                <c:pt idx="698">
                  <c:v>10/10/2017</c:v>
                </c:pt>
                <c:pt idx="699">
                  <c:v>10/11/2017</c:v>
                </c:pt>
                <c:pt idx="700">
                  <c:v>10/12/2017</c:v>
                </c:pt>
                <c:pt idx="701">
                  <c:v>10/13/2017</c:v>
                </c:pt>
                <c:pt idx="702">
                  <c:v>10/16/2017</c:v>
                </c:pt>
                <c:pt idx="703">
                  <c:v>10/17/2017</c:v>
                </c:pt>
                <c:pt idx="704">
                  <c:v>10/18/2017</c:v>
                </c:pt>
                <c:pt idx="705">
                  <c:v>10/19/2017</c:v>
                </c:pt>
                <c:pt idx="706">
                  <c:v>10/20/2017</c:v>
                </c:pt>
                <c:pt idx="707">
                  <c:v>10/23/2017</c:v>
                </c:pt>
                <c:pt idx="708">
                  <c:v>10/24/2017</c:v>
                </c:pt>
                <c:pt idx="709">
                  <c:v>10/25/2017</c:v>
                </c:pt>
                <c:pt idx="710">
                  <c:v>10/26/2017</c:v>
                </c:pt>
                <c:pt idx="711">
                  <c:v>10/27/2017</c:v>
                </c:pt>
                <c:pt idx="712">
                  <c:v>10/30/2017</c:v>
                </c:pt>
                <c:pt idx="713">
                  <c:v>10/31/2017</c:v>
                </c:pt>
                <c:pt idx="714">
                  <c:v>11/1/2017</c:v>
                </c:pt>
                <c:pt idx="715">
                  <c:v>11/2/2017</c:v>
                </c:pt>
                <c:pt idx="716">
                  <c:v>11/3/2017</c:v>
                </c:pt>
                <c:pt idx="717">
                  <c:v>11/6/2017</c:v>
                </c:pt>
                <c:pt idx="718">
                  <c:v>11/7/2017</c:v>
                </c:pt>
                <c:pt idx="719">
                  <c:v>11/8/2017</c:v>
                </c:pt>
                <c:pt idx="720">
                  <c:v>11/9/2017</c:v>
                </c:pt>
                <c:pt idx="721">
                  <c:v>11/10/2017</c:v>
                </c:pt>
                <c:pt idx="722">
                  <c:v>11/13/2017</c:v>
                </c:pt>
                <c:pt idx="723">
                  <c:v>11/14/2017</c:v>
                </c:pt>
                <c:pt idx="724">
                  <c:v>11/15/2017</c:v>
                </c:pt>
                <c:pt idx="725">
                  <c:v>11/16/2017</c:v>
                </c:pt>
                <c:pt idx="726">
                  <c:v>11/17/2017</c:v>
                </c:pt>
                <c:pt idx="727">
                  <c:v>11/20/2017</c:v>
                </c:pt>
                <c:pt idx="728">
                  <c:v>11/21/2017</c:v>
                </c:pt>
                <c:pt idx="729">
                  <c:v>11/22/2017</c:v>
                </c:pt>
                <c:pt idx="730">
                  <c:v>11/24/2017</c:v>
                </c:pt>
                <c:pt idx="731">
                  <c:v>11/27/2017</c:v>
                </c:pt>
                <c:pt idx="732">
                  <c:v>11/28/2017</c:v>
                </c:pt>
                <c:pt idx="733">
                  <c:v>11/29/2017</c:v>
                </c:pt>
                <c:pt idx="734">
                  <c:v>11/30/2017</c:v>
                </c:pt>
                <c:pt idx="735">
                  <c:v>12/1/2017</c:v>
                </c:pt>
                <c:pt idx="736">
                  <c:v>12/4/2017</c:v>
                </c:pt>
                <c:pt idx="737">
                  <c:v>12/5/2017</c:v>
                </c:pt>
                <c:pt idx="738">
                  <c:v>12/6/2017</c:v>
                </c:pt>
                <c:pt idx="739">
                  <c:v>12/7/2017</c:v>
                </c:pt>
                <c:pt idx="740">
                  <c:v>12/8/2017</c:v>
                </c:pt>
                <c:pt idx="741">
                  <c:v>12/11/2017</c:v>
                </c:pt>
                <c:pt idx="742">
                  <c:v>12/12/2017</c:v>
                </c:pt>
                <c:pt idx="743">
                  <c:v>12/13/2017</c:v>
                </c:pt>
                <c:pt idx="744">
                  <c:v>12/14/2017</c:v>
                </c:pt>
                <c:pt idx="745">
                  <c:v>12/15/2017</c:v>
                </c:pt>
                <c:pt idx="746">
                  <c:v>12/18/2017</c:v>
                </c:pt>
                <c:pt idx="747">
                  <c:v>12/19/2017</c:v>
                </c:pt>
                <c:pt idx="748">
                  <c:v>12/20/2017</c:v>
                </c:pt>
                <c:pt idx="749">
                  <c:v>12/21/2017</c:v>
                </c:pt>
                <c:pt idx="750">
                  <c:v>12/22/2017</c:v>
                </c:pt>
                <c:pt idx="751">
                  <c:v>12/26/2017</c:v>
                </c:pt>
                <c:pt idx="752">
                  <c:v>12/27/2017</c:v>
                </c:pt>
                <c:pt idx="753">
                  <c:v>12/28/2017</c:v>
                </c:pt>
                <c:pt idx="754">
                  <c:v>12/29/2017</c:v>
                </c:pt>
                <c:pt idx="755">
                  <c:v>1/2/2018</c:v>
                </c:pt>
                <c:pt idx="756">
                  <c:v>1/3/2018</c:v>
                </c:pt>
                <c:pt idx="757">
                  <c:v>1/4/2018</c:v>
                </c:pt>
                <c:pt idx="758">
                  <c:v>1/5/2018</c:v>
                </c:pt>
                <c:pt idx="759">
                  <c:v>1/8/2018</c:v>
                </c:pt>
                <c:pt idx="760">
                  <c:v>1/9/2018</c:v>
                </c:pt>
                <c:pt idx="761">
                  <c:v>1/10/2018</c:v>
                </c:pt>
                <c:pt idx="762">
                  <c:v>1/11/2018</c:v>
                </c:pt>
                <c:pt idx="763">
                  <c:v>1/12/2018</c:v>
                </c:pt>
                <c:pt idx="764">
                  <c:v>1/16/2018</c:v>
                </c:pt>
                <c:pt idx="765">
                  <c:v>1/17/2018</c:v>
                </c:pt>
                <c:pt idx="766">
                  <c:v>1/18/2018</c:v>
                </c:pt>
                <c:pt idx="767">
                  <c:v>1/19/2018</c:v>
                </c:pt>
                <c:pt idx="768">
                  <c:v>1/22/2018</c:v>
                </c:pt>
                <c:pt idx="769">
                  <c:v>1/23/2018</c:v>
                </c:pt>
                <c:pt idx="770">
                  <c:v>1/24/2018</c:v>
                </c:pt>
                <c:pt idx="771">
                  <c:v>1/25/2018</c:v>
                </c:pt>
                <c:pt idx="772">
                  <c:v>1/26/2018</c:v>
                </c:pt>
                <c:pt idx="773">
                  <c:v>1/29/2018</c:v>
                </c:pt>
                <c:pt idx="774">
                  <c:v>1/30/2018</c:v>
                </c:pt>
                <c:pt idx="775">
                  <c:v>1/31/2018</c:v>
                </c:pt>
                <c:pt idx="776">
                  <c:v>2/1/2018</c:v>
                </c:pt>
                <c:pt idx="777">
                  <c:v>2/2/2018</c:v>
                </c:pt>
                <c:pt idx="778">
                  <c:v>2/5/2018</c:v>
                </c:pt>
                <c:pt idx="779">
                  <c:v>2/6/2018</c:v>
                </c:pt>
                <c:pt idx="780">
                  <c:v>2/7/2018</c:v>
                </c:pt>
                <c:pt idx="781">
                  <c:v>2/8/2018</c:v>
                </c:pt>
                <c:pt idx="782">
                  <c:v>2/9/2018</c:v>
                </c:pt>
                <c:pt idx="783">
                  <c:v>2/12/2018</c:v>
                </c:pt>
                <c:pt idx="784">
                  <c:v>2/13/2018</c:v>
                </c:pt>
                <c:pt idx="785">
                  <c:v>2/14/2018</c:v>
                </c:pt>
                <c:pt idx="786">
                  <c:v>2/15/2018</c:v>
                </c:pt>
                <c:pt idx="787">
                  <c:v>2/16/2018</c:v>
                </c:pt>
                <c:pt idx="788">
                  <c:v>2/20/2018</c:v>
                </c:pt>
                <c:pt idx="789">
                  <c:v>2/21/2018</c:v>
                </c:pt>
                <c:pt idx="790">
                  <c:v>2/22/2018</c:v>
                </c:pt>
                <c:pt idx="791">
                  <c:v>2/23/2018</c:v>
                </c:pt>
                <c:pt idx="792">
                  <c:v>2/26/2018</c:v>
                </c:pt>
                <c:pt idx="793">
                  <c:v>2/27/2018</c:v>
                </c:pt>
                <c:pt idx="794">
                  <c:v>2/28/2018</c:v>
                </c:pt>
                <c:pt idx="795">
                  <c:v>3/1/2018</c:v>
                </c:pt>
                <c:pt idx="796">
                  <c:v>3/2/2018</c:v>
                </c:pt>
                <c:pt idx="797">
                  <c:v>3/5/2018</c:v>
                </c:pt>
                <c:pt idx="798">
                  <c:v>3/6/2018</c:v>
                </c:pt>
                <c:pt idx="799">
                  <c:v>3/7/2018</c:v>
                </c:pt>
                <c:pt idx="800">
                  <c:v>3/8/2018</c:v>
                </c:pt>
                <c:pt idx="801">
                  <c:v>3/9/2018</c:v>
                </c:pt>
                <c:pt idx="802">
                  <c:v>3/12/2018</c:v>
                </c:pt>
                <c:pt idx="803">
                  <c:v>3/13/2018</c:v>
                </c:pt>
                <c:pt idx="804">
                  <c:v>3/14/2018</c:v>
                </c:pt>
                <c:pt idx="805">
                  <c:v>3/15/2018</c:v>
                </c:pt>
                <c:pt idx="806">
                  <c:v>3/16/2018</c:v>
                </c:pt>
                <c:pt idx="807">
                  <c:v>3/19/2018</c:v>
                </c:pt>
                <c:pt idx="808">
                  <c:v>3/20/2018</c:v>
                </c:pt>
                <c:pt idx="809">
                  <c:v>3/21/2018</c:v>
                </c:pt>
                <c:pt idx="810">
                  <c:v>3/22/2018</c:v>
                </c:pt>
                <c:pt idx="811">
                  <c:v>3/23/2018</c:v>
                </c:pt>
                <c:pt idx="812">
                  <c:v>3/26/2018</c:v>
                </c:pt>
                <c:pt idx="813">
                  <c:v>3/27/2018</c:v>
                </c:pt>
                <c:pt idx="814">
                  <c:v>3/28/2018</c:v>
                </c:pt>
                <c:pt idx="815">
                  <c:v>3/29/2018</c:v>
                </c:pt>
                <c:pt idx="816">
                  <c:v>4/2/2018</c:v>
                </c:pt>
                <c:pt idx="817">
                  <c:v>4/3/2018</c:v>
                </c:pt>
                <c:pt idx="818">
                  <c:v>4/4/2018</c:v>
                </c:pt>
                <c:pt idx="819">
                  <c:v>4/5/2018</c:v>
                </c:pt>
                <c:pt idx="820">
                  <c:v>4/6/2018</c:v>
                </c:pt>
                <c:pt idx="821">
                  <c:v>4/9/2018</c:v>
                </c:pt>
                <c:pt idx="822">
                  <c:v>4/10/2018</c:v>
                </c:pt>
                <c:pt idx="823">
                  <c:v>4/11/2018</c:v>
                </c:pt>
                <c:pt idx="824">
                  <c:v>4/12/2018</c:v>
                </c:pt>
                <c:pt idx="825">
                  <c:v>4/13/2018</c:v>
                </c:pt>
                <c:pt idx="826">
                  <c:v>4/16/2018</c:v>
                </c:pt>
                <c:pt idx="827">
                  <c:v>4/17/2018</c:v>
                </c:pt>
                <c:pt idx="828">
                  <c:v>4/18/2018</c:v>
                </c:pt>
                <c:pt idx="829">
                  <c:v>4/19/2018</c:v>
                </c:pt>
                <c:pt idx="830">
                  <c:v>4/20/2018</c:v>
                </c:pt>
                <c:pt idx="831">
                  <c:v>4/23/2018</c:v>
                </c:pt>
                <c:pt idx="832">
                  <c:v>4/24/2018</c:v>
                </c:pt>
                <c:pt idx="833">
                  <c:v>4/25/2018</c:v>
                </c:pt>
                <c:pt idx="834">
                  <c:v>4/26/2018</c:v>
                </c:pt>
                <c:pt idx="835">
                  <c:v>4/27/2018</c:v>
                </c:pt>
                <c:pt idx="836">
                  <c:v>4/30/2018</c:v>
                </c:pt>
                <c:pt idx="837">
                  <c:v>5/1/2018</c:v>
                </c:pt>
                <c:pt idx="838">
                  <c:v>5/2/2018</c:v>
                </c:pt>
                <c:pt idx="839">
                  <c:v>5/3/2018</c:v>
                </c:pt>
                <c:pt idx="840">
                  <c:v>5/4/2018</c:v>
                </c:pt>
                <c:pt idx="841">
                  <c:v>5/7/2018</c:v>
                </c:pt>
                <c:pt idx="842">
                  <c:v>5/8/2018</c:v>
                </c:pt>
                <c:pt idx="843">
                  <c:v>5/9/2018</c:v>
                </c:pt>
                <c:pt idx="844">
                  <c:v>5/10/2018</c:v>
                </c:pt>
                <c:pt idx="845">
                  <c:v>5/11/2018</c:v>
                </c:pt>
                <c:pt idx="846">
                  <c:v>5/14/2018</c:v>
                </c:pt>
                <c:pt idx="847">
                  <c:v>5/15/2018</c:v>
                </c:pt>
                <c:pt idx="848">
                  <c:v>5/16/2018</c:v>
                </c:pt>
                <c:pt idx="849">
                  <c:v>5/17/2018</c:v>
                </c:pt>
                <c:pt idx="850">
                  <c:v>5/18/2018</c:v>
                </c:pt>
                <c:pt idx="851">
                  <c:v>5/21/2018</c:v>
                </c:pt>
                <c:pt idx="852">
                  <c:v>5/22/2018</c:v>
                </c:pt>
                <c:pt idx="853">
                  <c:v>5/23/2018</c:v>
                </c:pt>
                <c:pt idx="854">
                  <c:v>5/24/2018</c:v>
                </c:pt>
                <c:pt idx="855">
                  <c:v>5/25/2018</c:v>
                </c:pt>
                <c:pt idx="856">
                  <c:v>5/29/2018</c:v>
                </c:pt>
                <c:pt idx="857">
                  <c:v>5/30/2018</c:v>
                </c:pt>
                <c:pt idx="858">
                  <c:v>5/31/2018</c:v>
                </c:pt>
                <c:pt idx="859">
                  <c:v>6/1/2018</c:v>
                </c:pt>
                <c:pt idx="860">
                  <c:v>6/4/2018</c:v>
                </c:pt>
                <c:pt idx="861">
                  <c:v>6/5/2018</c:v>
                </c:pt>
                <c:pt idx="862">
                  <c:v>6/6/2018</c:v>
                </c:pt>
                <c:pt idx="863">
                  <c:v>6/7/2018</c:v>
                </c:pt>
                <c:pt idx="864">
                  <c:v>6/8/2018</c:v>
                </c:pt>
                <c:pt idx="865">
                  <c:v>6/11/2018</c:v>
                </c:pt>
                <c:pt idx="866">
                  <c:v>6/12/2018</c:v>
                </c:pt>
                <c:pt idx="867">
                  <c:v>6/13/2018</c:v>
                </c:pt>
                <c:pt idx="868">
                  <c:v>6/14/2018</c:v>
                </c:pt>
                <c:pt idx="869">
                  <c:v>6/15/2018</c:v>
                </c:pt>
                <c:pt idx="870">
                  <c:v>6/18/2018</c:v>
                </c:pt>
                <c:pt idx="871">
                  <c:v>6/19/2018</c:v>
                </c:pt>
                <c:pt idx="872">
                  <c:v>6/20/2018</c:v>
                </c:pt>
                <c:pt idx="873">
                  <c:v>6/21/2018</c:v>
                </c:pt>
                <c:pt idx="874">
                  <c:v>6/22/2018</c:v>
                </c:pt>
                <c:pt idx="875">
                  <c:v>6/25/2018</c:v>
                </c:pt>
                <c:pt idx="876">
                  <c:v>6/26/2018</c:v>
                </c:pt>
                <c:pt idx="877">
                  <c:v>6/27/2018</c:v>
                </c:pt>
                <c:pt idx="878">
                  <c:v>6/28/2018</c:v>
                </c:pt>
                <c:pt idx="879">
                  <c:v>6/29/2018</c:v>
                </c:pt>
                <c:pt idx="880">
                  <c:v>7/2/2018</c:v>
                </c:pt>
                <c:pt idx="881">
                  <c:v>7/3/2018</c:v>
                </c:pt>
                <c:pt idx="882">
                  <c:v>7/5/2018</c:v>
                </c:pt>
                <c:pt idx="883">
                  <c:v>7/6/2018</c:v>
                </c:pt>
                <c:pt idx="884">
                  <c:v>7/9/2018</c:v>
                </c:pt>
                <c:pt idx="885">
                  <c:v>7/10/2018</c:v>
                </c:pt>
                <c:pt idx="886">
                  <c:v>7/11/2018</c:v>
                </c:pt>
                <c:pt idx="887">
                  <c:v>7/12/2018</c:v>
                </c:pt>
                <c:pt idx="888">
                  <c:v>7/13/2018</c:v>
                </c:pt>
                <c:pt idx="889">
                  <c:v>7/16/2018</c:v>
                </c:pt>
                <c:pt idx="890">
                  <c:v>7/17/2018</c:v>
                </c:pt>
                <c:pt idx="891">
                  <c:v>7/18/2018</c:v>
                </c:pt>
                <c:pt idx="892">
                  <c:v>7/19/2018</c:v>
                </c:pt>
                <c:pt idx="893">
                  <c:v>7/20/2018</c:v>
                </c:pt>
                <c:pt idx="894">
                  <c:v>7/23/2018</c:v>
                </c:pt>
                <c:pt idx="895">
                  <c:v>7/24/2018</c:v>
                </c:pt>
                <c:pt idx="896">
                  <c:v>7/25/2018</c:v>
                </c:pt>
                <c:pt idx="897">
                  <c:v>7/26/2018</c:v>
                </c:pt>
                <c:pt idx="898">
                  <c:v>7/27/2018</c:v>
                </c:pt>
                <c:pt idx="899">
                  <c:v>7/30/2018</c:v>
                </c:pt>
                <c:pt idx="900">
                  <c:v>7/31/2018</c:v>
                </c:pt>
                <c:pt idx="901">
                  <c:v>8/1/2018</c:v>
                </c:pt>
                <c:pt idx="902">
                  <c:v>8/2/2018</c:v>
                </c:pt>
                <c:pt idx="903">
                  <c:v>8/3/2018</c:v>
                </c:pt>
                <c:pt idx="904">
                  <c:v>8/6/2018</c:v>
                </c:pt>
                <c:pt idx="905">
                  <c:v>8/7/2018</c:v>
                </c:pt>
                <c:pt idx="906">
                  <c:v>8/8/2018</c:v>
                </c:pt>
                <c:pt idx="907">
                  <c:v>8/9/2018</c:v>
                </c:pt>
                <c:pt idx="908">
                  <c:v>8/10/2018</c:v>
                </c:pt>
                <c:pt idx="909">
                  <c:v>8/13/2018</c:v>
                </c:pt>
                <c:pt idx="910">
                  <c:v>8/14/2018</c:v>
                </c:pt>
                <c:pt idx="911">
                  <c:v>8/15/2018</c:v>
                </c:pt>
                <c:pt idx="912">
                  <c:v>8/16/2018</c:v>
                </c:pt>
                <c:pt idx="913">
                  <c:v>8/17/2018</c:v>
                </c:pt>
                <c:pt idx="914">
                  <c:v>8/20/2018</c:v>
                </c:pt>
                <c:pt idx="915">
                  <c:v>8/21/2018</c:v>
                </c:pt>
                <c:pt idx="916">
                  <c:v>8/22/2018</c:v>
                </c:pt>
                <c:pt idx="917">
                  <c:v>8/23/2018</c:v>
                </c:pt>
                <c:pt idx="918">
                  <c:v>8/24/2018</c:v>
                </c:pt>
                <c:pt idx="919">
                  <c:v>8/27/2018</c:v>
                </c:pt>
                <c:pt idx="920">
                  <c:v>8/28/2018</c:v>
                </c:pt>
                <c:pt idx="921">
                  <c:v>8/29/2018</c:v>
                </c:pt>
                <c:pt idx="922">
                  <c:v>8/30/2018</c:v>
                </c:pt>
                <c:pt idx="923">
                  <c:v>8/31/2018</c:v>
                </c:pt>
                <c:pt idx="924">
                  <c:v>9/4/2018</c:v>
                </c:pt>
                <c:pt idx="925">
                  <c:v>9/5/2018</c:v>
                </c:pt>
                <c:pt idx="926">
                  <c:v>9/6/2018</c:v>
                </c:pt>
                <c:pt idx="927">
                  <c:v>9/7/2018</c:v>
                </c:pt>
                <c:pt idx="928">
                  <c:v>9/10/2018</c:v>
                </c:pt>
                <c:pt idx="929">
                  <c:v>9/11/2018</c:v>
                </c:pt>
                <c:pt idx="930">
                  <c:v>9/12/2018</c:v>
                </c:pt>
                <c:pt idx="931">
                  <c:v>9/13/2018</c:v>
                </c:pt>
                <c:pt idx="932">
                  <c:v>9/14/2018</c:v>
                </c:pt>
                <c:pt idx="933">
                  <c:v>9/17/2018</c:v>
                </c:pt>
                <c:pt idx="934">
                  <c:v>9/18/2018</c:v>
                </c:pt>
                <c:pt idx="935">
                  <c:v>9/19/2018</c:v>
                </c:pt>
                <c:pt idx="936">
                  <c:v>9/20/2018</c:v>
                </c:pt>
                <c:pt idx="937">
                  <c:v>9/21/2018</c:v>
                </c:pt>
                <c:pt idx="938">
                  <c:v>9/24/2018</c:v>
                </c:pt>
                <c:pt idx="939">
                  <c:v>9/25/2018</c:v>
                </c:pt>
                <c:pt idx="940">
                  <c:v>9/26/2018</c:v>
                </c:pt>
                <c:pt idx="941">
                  <c:v>9/27/2018</c:v>
                </c:pt>
                <c:pt idx="942">
                  <c:v>9/28/2018</c:v>
                </c:pt>
                <c:pt idx="943">
                  <c:v>10/1/2018</c:v>
                </c:pt>
                <c:pt idx="944">
                  <c:v>10/2/2018</c:v>
                </c:pt>
                <c:pt idx="945">
                  <c:v>10/3/2018</c:v>
                </c:pt>
                <c:pt idx="946">
                  <c:v>10/4/2018</c:v>
                </c:pt>
                <c:pt idx="947">
                  <c:v>10/5/2018</c:v>
                </c:pt>
                <c:pt idx="948">
                  <c:v>10/8/2018</c:v>
                </c:pt>
                <c:pt idx="949">
                  <c:v>10/9/2018</c:v>
                </c:pt>
                <c:pt idx="950">
                  <c:v>10/10/2018</c:v>
                </c:pt>
                <c:pt idx="951">
                  <c:v>10/11/2018</c:v>
                </c:pt>
                <c:pt idx="952">
                  <c:v>10/12/2018</c:v>
                </c:pt>
                <c:pt idx="953">
                  <c:v>10/15/2018</c:v>
                </c:pt>
                <c:pt idx="954">
                  <c:v>10/16/2018</c:v>
                </c:pt>
                <c:pt idx="955">
                  <c:v>10/17/2018</c:v>
                </c:pt>
                <c:pt idx="956">
                  <c:v>10/18/2018</c:v>
                </c:pt>
                <c:pt idx="957">
                  <c:v>10/19/2018</c:v>
                </c:pt>
                <c:pt idx="958">
                  <c:v>10/22/2018</c:v>
                </c:pt>
                <c:pt idx="959">
                  <c:v>10/23/2018</c:v>
                </c:pt>
                <c:pt idx="960">
                  <c:v>10/24/2018</c:v>
                </c:pt>
                <c:pt idx="961">
                  <c:v>10/25/2018</c:v>
                </c:pt>
                <c:pt idx="962">
                  <c:v>10/26/2018</c:v>
                </c:pt>
                <c:pt idx="963">
                  <c:v>10/29/2018</c:v>
                </c:pt>
                <c:pt idx="964">
                  <c:v>10/30/2018</c:v>
                </c:pt>
                <c:pt idx="965">
                  <c:v>10/31/2018</c:v>
                </c:pt>
                <c:pt idx="966">
                  <c:v>11/1/2018</c:v>
                </c:pt>
                <c:pt idx="967">
                  <c:v>11/2/2018</c:v>
                </c:pt>
                <c:pt idx="968">
                  <c:v>11/5/2018</c:v>
                </c:pt>
                <c:pt idx="969">
                  <c:v>11/6/2018</c:v>
                </c:pt>
                <c:pt idx="970">
                  <c:v>11/7/2018</c:v>
                </c:pt>
                <c:pt idx="971">
                  <c:v>11/8/2018</c:v>
                </c:pt>
                <c:pt idx="972">
                  <c:v>11/9/2018</c:v>
                </c:pt>
                <c:pt idx="973">
                  <c:v>11/12/2018</c:v>
                </c:pt>
                <c:pt idx="974">
                  <c:v>11/13/2018</c:v>
                </c:pt>
                <c:pt idx="975">
                  <c:v>11/14/2018</c:v>
                </c:pt>
                <c:pt idx="976">
                  <c:v>11/15/2018</c:v>
                </c:pt>
                <c:pt idx="977">
                  <c:v>11/16/2018</c:v>
                </c:pt>
                <c:pt idx="978">
                  <c:v>11/19/2018</c:v>
                </c:pt>
                <c:pt idx="979">
                  <c:v>11/20/2018</c:v>
                </c:pt>
                <c:pt idx="980">
                  <c:v>11/21/2018</c:v>
                </c:pt>
                <c:pt idx="981">
                  <c:v>11/23/2018</c:v>
                </c:pt>
                <c:pt idx="982">
                  <c:v>11/26/2018</c:v>
                </c:pt>
                <c:pt idx="983">
                  <c:v>11/27/2018</c:v>
                </c:pt>
                <c:pt idx="984">
                  <c:v>11/28/2018</c:v>
                </c:pt>
                <c:pt idx="985">
                  <c:v>11/29/2018</c:v>
                </c:pt>
                <c:pt idx="986">
                  <c:v>11/30/2018</c:v>
                </c:pt>
                <c:pt idx="987">
                  <c:v>12/3/2018</c:v>
                </c:pt>
                <c:pt idx="988">
                  <c:v>12/4/2018</c:v>
                </c:pt>
                <c:pt idx="989">
                  <c:v>12/6/2018</c:v>
                </c:pt>
                <c:pt idx="990">
                  <c:v>12/7/2018</c:v>
                </c:pt>
                <c:pt idx="991">
                  <c:v>12/10/2018</c:v>
                </c:pt>
                <c:pt idx="992">
                  <c:v>12/11/2018</c:v>
                </c:pt>
                <c:pt idx="993">
                  <c:v>12/12/2018</c:v>
                </c:pt>
                <c:pt idx="994">
                  <c:v>12/13/2018</c:v>
                </c:pt>
                <c:pt idx="995">
                  <c:v>12/14/2018</c:v>
                </c:pt>
                <c:pt idx="996">
                  <c:v>12/17/2018</c:v>
                </c:pt>
                <c:pt idx="997">
                  <c:v>12/18/2018</c:v>
                </c:pt>
                <c:pt idx="998">
                  <c:v>12/19/2018</c:v>
                </c:pt>
                <c:pt idx="999">
                  <c:v>12/20/2018</c:v>
                </c:pt>
                <c:pt idx="1000">
                  <c:v>12/21/2018</c:v>
                </c:pt>
                <c:pt idx="1001">
                  <c:v>12/24/2018</c:v>
                </c:pt>
                <c:pt idx="1002">
                  <c:v>12/26/2018</c:v>
                </c:pt>
                <c:pt idx="1003">
                  <c:v>12/27/2018</c:v>
                </c:pt>
                <c:pt idx="1004">
                  <c:v>12/28/2018</c:v>
                </c:pt>
                <c:pt idx="1005">
                  <c:v>12/31/2018</c:v>
                </c:pt>
                <c:pt idx="1006">
                  <c:v>1/2/2019</c:v>
                </c:pt>
                <c:pt idx="1007">
                  <c:v>1/3/2019</c:v>
                </c:pt>
                <c:pt idx="1008">
                  <c:v>1/4/2019</c:v>
                </c:pt>
                <c:pt idx="1009">
                  <c:v>1/7/2019</c:v>
                </c:pt>
                <c:pt idx="1010">
                  <c:v>1/8/2019</c:v>
                </c:pt>
                <c:pt idx="1011">
                  <c:v>1/9/2019</c:v>
                </c:pt>
                <c:pt idx="1012">
                  <c:v>1/10/2019</c:v>
                </c:pt>
                <c:pt idx="1013">
                  <c:v>1/11/2019</c:v>
                </c:pt>
                <c:pt idx="1014">
                  <c:v>1/14/2019</c:v>
                </c:pt>
                <c:pt idx="1015">
                  <c:v>1/15/2019</c:v>
                </c:pt>
                <c:pt idx="1016">
                  <c:v>1/16/2019</c:v>
                </c:pt>
                <c:pt idx="1017">
                  <c:v>1/17/2019</c:v>
                </c:pt>
                <c:pt idx="1018">
                  <c:v>1/18/2019</c:v>
                </c:pt>
                <c:pt idx="1019">
                  <c:v>1/22/2019</c:v>
                </c:pt>
                <c:pt idx="1020">
                  <c:v>1/23/2019</c:v>
                </c:pt>
                <c:pt idx="1021">
                  <c:v>1/24/2019</c:v>
                </c:pt>
                <c:pt idx="1022">
                  <c:v>1/25/2019</c:v>
                </c:pt>
                <c:pt idx="1023">
                  <c:v>1/28/2019</c:v>
                </c:pt>
                <c:pt idx="1024">
                  <c:v>1/29/2019</c:v>
                </c:pt>
                <c:pt idx="1025">
                  <c:v>1/30/2019</c:v>
                </c:pt>
                <c:pt idx="1026">
                  <c:v>1/31/2019</c:v>
                </c:pt>
                <c:pt idx="1027">
                  <c:v>2/1/2019</c:v>
                </c:pt>
                <c:pt idx="1028">
                  <c:v>2/4/2019</c:v>
                </c:pt>
                <c:pt idx="1029">
                  <c:v>2/5/2019</c:v>
                </c:pt>
                <c:pt idx="1030">
                  <c:v>2/6/2019</c:v>
                </c:pt>
                <c:pt idx="1031">
                  <c:v>2/7/2019</c:v>
                </c:pt>
                <c:pt idx="1032">
                  <c:v>2/8/2019</c:v>
                </c:pt>
                <c:pt idx="1033">
                  <c:v>2/11/2019</c:v>
                </c:pt>
                <c:pt idx="1034">
                  <c:v>2/12/2019</c:v>
                </c:pt>
                <c:pt idx="1035">
                  <c:v>2/13/2019</c:v>
                </c:pt>
                <c:pt idx="1036">
                  <c:v>2/14/2019</c:v>
                </c:pt>
                <c:pt idx="1037">
                  <c:v>2/15/2019</c:v>
                </c:pt>
                <c:pt idx="1038">
                  <c:v>2/19/2019</c:v>
                </c:pt>
                <c:pt idx="1039">
                  <c:v>2/20/2019</c:v>
                </c:pt>
                <c:pt idx="1040">
                  <c:v>2/21/2019</c:v>
                </c:pt>
                <c:pt idx="1041">
                  <c:v>2/22/2019</c:v>
                </c:pt>
                <c:pt idx="1042">
                  <c:v>2/25/2019</c:v>
                </c:pt>
                <c:pt idx="1043">
                  <c:v>2/26/2019</c:v>
                </c:pt>
                <c:pt idx="1044">
                  <c:v>2/27/2019</c:v>
                </c:pt>
                <c:pt idx="1045">
                  <c:v>2/28/2019</c:v>
                </c:pt>
                <c:pt idx="1046">
                  <c:v>3/1/2019</c:v>
                </c:pt>
                <c:pt idx="1047">
                  <c:v>3/4/2019</c:v>
                </c:pt>
                <c:pt idx="1048">
                  <c:v>3/5/2019</c:v>
                </c:pt>
                <c:pt idx="1049">
                  <c:v>3/6/2019</c:v>
                </c:pt>
                <c:pt idx="1050">
                  <c:v>3/7/2019</c:v>
                </c:pt>
                <c:pt idx="1051">
                  <c:v>3/8/2019</c:v>
                </c:pt>
                <c:pt idx="1052">
                  <c:v>3/11/2019</c:v>
                </c:pt>
                <c:pt idx="1053">
                  <c:v>3/12/2019</c:v>
                </c:pt>
                <c:pt idx="1054">
                  <c:v>3/13/2019</c:v>
                </c:pt>
                <c:pt idx="1055">
                  <c:v>3/14/2019</c:v>
                </c:pt>
                <c:pt idx="1056">
                  <c:v>3/15/2019</c:v>
                </c:pt>
                <c:pt idx="1057">
                  <c:v>3/18/2019</c:v>
                </c:pt>
                <c:pt idx="1058">
                  <c:v>3/19/2019</c:v>
                </c:pt>
                <c:pt idx="1059">
                  <c:v>3/20/2019</c:v>
                </c:pt>
                <c:pt idx="1060">
                  <c:v>3/21/2019</c:v>
                </c:pt>
                <c:pt idx="1061">
                  <c:v>3/22/2019</c:v>
                </c:pt>
                <c:pt idx="1062">
                  <c:v>3/25/2019</c:v>
                </c:pt>
                <c:pt idx="1063">
                  <c:v>3/26/2019</c:v>
                </c:pt>
                <c:pt idx="1064">
                  <c:v>3/27/2019</c:v>
                </c:pt>
                <c:pt idx="1065">
                  <c:v>3/28/2019</c:v>
                </c:pt>
                <c:pt idx="1066">
                  <c:v>3/29/2019</c:v>
                </c:pt>
                <c:pt idx="1067">
                  <c:v>4/1/2019</c:v>
                </c:pt>
                <c:pt idx="1068">
                  <c:v>4/2/2019</c:v>
                </c:pt>
                <c:pt idx="1069">
                  <c:v>4/3/2019</c:v>
                </c:pt>
                <c:pt idx="1070">
                  <c:v>4/4/2019</c:v>
                </c:pt>
                <c:pt idx="1071">
                  <c:v>4/5/2019</c:v>
                </c:pt>
                <c:pt idx="1072">
                  <c:v>4/8/2019</c:v>
                </c:pt>
                <c:pt idx="1073">
                  <c:v>4/9/2019</c:v>
                </c:pt>
                <c:pt idx="1074">
                  <c:v>4/10/2019</c:v>
                </c:pt>
                <c:pt idx="1075">
                  <c:v>4/11/2019</c:v>
                </c:pt>
                <c:pt idx="1076">
                  <c:v>4/12/2019</c:v>
                </c:pt>
                <c:pt idx="1077">
                  <c:v>4/15/2019</c:v>
                </c:pt>
                <c:pt idx="1078">
                  <c:v>4/16/2019</c:v>
                </c:pt>
                <c:pt idx="1079">
                  <c:v>4/17/2019</c:v>
                </c:pt>
                <c:pt idx="1080">
                  <c:v>4/18/2019</c:v>
                </c:pt>
                <c:pt idx="1081">
                  <c:v>4/22/2019</c:v>
                </c:pt>
                <c:pt idx="1082">
                  <c:v>4/23/2019</c:v>
                </c:pt>
                <c:pt idx="1083">
                  <c:v>4/24/2019</c:v>
                </c:pt>
                <c:pt idx="1084">
                  <c:v>4/25/2019</c:v>
                </c:pt>
                <c:pt idx="1085">
                  <c:v>4/26/2019</c:v>
                </c:pt>
                <c:pt idx="1086">
                  <c:v>4/29/2019</c:v>
                </c:pt>
                <c:pt idx="1087">
                  <c:v>4/30/2019</c:v>
                </c:pt>
                <c:pt idx="1088">
                  <c:v>5/1/2019</c:v>
                </c:pt>
                <c:pt idx="1089">
                  <c:v>5/2/2019</c:v>
                </c:pt>
                <c:pt idx="1090">
                  <c:v>5/3/2019</c:v>
                </c:pt>
                <c:pt idx="1091">
                  <c:v>5/6/2019</c:v>
                </c:pt>
                <c:pt idx="1092">
                  <c:v>5/7/2019</c:v>
                </c:pt>
                <c:pt idx="1093">
                  <c:v>5/8/2019</c:v>
                </c:pt>
                <c:pt idx="1094">
                  <c:v>5/9/2019</c:v>
                </c:pt>
                <c:pt idx="1095">
                  <c:v>5/10/2019</c:v>
                </c:pt>
                <c:pt idx="1096">
                  <c:v>5/13/2019</c:v>
                </c:pt>
                <c:pt idx="1097">
                  <c:v>5/14/2019</c:v>
                </c:pt>
                <c:pt idx="1098">
                  <c:v>5/15/2019</c:v>
                </c:pt>
                <c:pt idx="1099">
                  <c:v>5/16/2019</c:v>
                </c:pt>
                <c:pt idx="1100">
                  <c:v>5/17/2019</c:v>
                </c:pt>
                <c:pt idx="1101">
                  <c:v>5/20/2019</c:v>
                </c:pt>
                <c:pt idx="1102">
                  <c:v>5/21/2019</c:v>
                </c:pt>
                <c:pt idx="1103">
                  <c:v>5/22/2019</c:v>
                </c:pt>
                <c:pt idx="1104">
                  <c:v>5/23/2019</c:v>
                </c:pt>
                <c:pt idx="1105">
                  <c:v>5/24/2019</c:v>
                </c:pt>
                <c:pt idx="1106">
                  <c:v>5/28/2019</c:v>
                </c:pt>
                <c:pt idx="1107">
                  <c:v>5/29/2019</c:v>
                </c:pt>
                <c:pt idx="1108">
                  <c:v>5/30/2019</c:v>
                </c:pt>
                <c:pt idx="1109">
                  <c:v>5/31/2019</c:v>
                </c:pt>
                <c:pt idx="1110">
                  <c:v>6/3/2019</c:v>
                </c:pt>
                <c:pt idx="1111">
                  <c:v>6/4/2019</c:v>
                </c:pt>
                <c:pt idx="1112">
                  <c:v>6/5/2019</c:v>
                </c:pt>
                <c:pt idx="1113">
                  <c:v>6/6/2019</c:v>
                </c:pt>
                <c:pt idx="1114">
                  <c:v>6/7/2019</c:v>
                </c:pt>
                <c:pt idx="1115">
                  <c:v>6/10/2019</c:v>
                </c:pt>
                <c:pt idx="1116">
                  <c:v>6/11/2019</c:v>
                </c:pt>
                <c:pt idx="1117">
                  <c:v>6/12/2019</c:v>
                </c:pt>
                <c:pt idx="1118">
                  <c:v>6/13/2019</c:v>
                </c:pt>
                <c:pt idx="1119">
                  <c:v>6/14/2019</c:v>
                </c:pt>
                <c:pt idx="1120">
                  <c:v>6/17/2019</c:v>
                </c:pt>
                <c:pt idx="1121">
                  <c:v>6/18/2019</c:v>
                </c:pt>
                <c:pt idx="1122">
                  <c:v>6/19/2019</c:v>
                </c:pt>
                <c:pt idx="1123">
                  <c:v>6/20/2019</c:v>
                </c:pt>
                <c:pt idx="1124">
                  <c:v>6/21/2019</c:v>
                </c:pt>
                <c:pt idx="1125">
                  <c:v>6/24/2019</c:v>
                </c:pt>
                <c:pt idx="1126">
                  <c:v>6/25/2019</c:v>
                </c:pt>
                <c:pt idx="1127">
                  <c:v>6/26/2019</c:v>
                </c:pt>
                <c:pt idx="1128">
                  <c:v>6/27/2019</c:v>
                </c:pt>
                <c:pt idx="1129">
                  <c:v>6/28/2019</c:v>
                </c:pt>
                <c:pt idx="1130">
                  <c:v>7/1/2019</c:v>
                </c:pt>
                <c:pt idx="1131">
                  <c:v>7/2/2019</c:v>
                </c:pt>
                <c:pt idx="1132">
                  <c:v>7/3/2019</c:v>
                </c:pt>
                <c:pt idx="1133">
                  <c:v>7/5/2019</c:v>
                </c:pt>
                <c:pt idx="1134">
                  <c:v>7/8/2019</c:v>
                </c:pt>
                <c:pt idx="1135">
                  <c:v>7/9/2019</c:v>
                </c:pt>
                <c:pt idx="1136">
                  <c:v>7/10/2019</c:v>
                </c:pt>
                <c:pt idx="1137">
                  <c:v>7/11/2019</c:v>
                </c:pt>
                <c:pt idx="1138">
                  <c:v>7/12/2019</c:v>
                </c:pt>
                <c:pt idx="1139">
                  <c:v>7/15/2019</c:v>
                </c:pt>
                <c:pt idx="1140">
                  <c:v>7/16/2019</c:v>
                </c:pt>
                <c:pt idx="1141">
                  <c:v>7/17/2019</c:v>
                </c:pt>
                <c:pt idx="1142">
                  <c:v>7/18/2019</c:v>
                </c:pt>
                <c:pt idx="1143">
                  <c:v>7/19/2019</c:v>
                </c:pt>
                <c:pt idx="1144">
                  <c:v>7/22/2019</c:v>
                </c:pt>
                <c:pt idx="1145">
                  <c:v>7/23/2019</c:v>
                </c:pt>
                <c:pt idx="1146">
                  <c:v>7/24/2019</c:v>
                </c:pt>
                <c:pt idx="1147">
                  <c:v>7/25/2019</c:v>
                </c:pt>
                <c:pt idx="1148">
                  <c:v>7/26/2019</c:v>
                </c:pt>
                <c:pt idx="1149">
                  <c:v>7/29/2019</c:v>
                </c:pt>
                <c:pt idx="1150">
                  <c:v>7/30/2019</c:v>
                </c:pt>
                <c:pt idx="1151">
                  <c:v>7/31/2019</c:v>
                </c:pt>
                <c:pt idx="1152">
                  <c:v>8/1/2019</c:v>
                </c:pt>
                <c:pt idx="1153">
                  <c:v>8/2/2019</c:v>
                </c:pt>
                <c:pt idx="1154">
                  <c:v>8/5/2019</c:v>
                </c:pt>
                <c:pt idx="1155">
                  <c:v>8/6/2019</c:v>
                </c:pt>
                <c:pt idx="1156">
                  <c:v>8/7/2019</c:v>
                </c:pt>
                <c:pt idx="1157">
                  <c:v>8/8/2019</c:v>
                </c:pt>
                <c:pt idx="1158">
                  <c:v>8/9/2019</c:v>
                </c:pt>
                <c:pt idx="1159">
                  <c:v>8/12/2019</c:v>
                </c:pt>
                <c:pt idx="1160">
                  <c:v>8/13/2019</c:v>
                </c:pt>
                <c:pt idx="1161">
                  <c:v>8/14/2019</c:v>
                </c:pt>
                <c:pt idx="1162">
                  <c:v>8/15/2019</c:v>
                </c:pt>
                <c:pt idx="1163">
                  <c:v>8/16/2019</c:v>
                </c:pt>
                <c:pt idx="1164">
                  <c:v>8/19/2019</c:v>
                </c:pt>
                <c:pt idx="1165">
                  <c:v>8/20/2019</c:v>
                </c:pt>
                <c:pt idx="1166">
                  <c:v>8/21/2019</c:v>
                </c:pt>
                <c:pt idx="1167">
                  <c:v>8/22/2019</c:v>
                </c:pt>
                <c:pt idx="1168">
                  <c:v>8/23/2019</c:v>
                </c:pt>
                <c:pt idx="1169">
                  <c:v>8/26/2019</c:v>
                </c:pt>
                <c:pt idx="1170">
                  <c:v>8/27/2019</c:v>
                </c:pt>
                <c:pt idx="1171">
                  <c:v>8/28/2019</c:v>
                </c:pt>
                <c:pt idx="1172">
                  <c:v>8/29/2019</c:v>
                </c:pt>
                <c:pt idx="1173">
                  <c:v>8/30/2019</c:v>
                </c:pt>
                <c:pt idx="1174">
                  <c:v>9/3/2019</c:v>
                </c:pt>
                <c:pt idx="1175">
                  <c:v>9/4/2019</c:v>
                </c:pt>
                <c:pt idx="1176">
                  <c:v>9/5/2019</c:v>
                </c:pt>
                <c:pt idx="1177">
                  <c:v>9/6/2019</c:v>
                </c:pt>
                <c:pt idx="1178">
                  <c:v>9/9/2019</c:v>
                </c:pt>
                <c:pt idx="1179">
                  <c:v>9/10/2019</c:v>
                </c:pt>
                <c:pt idx="1180">
                  <c:v>9/11/2019</c:v>
                </c:pt>
                <c:pt idx="1181">
                  <c:v>9/12/2019</c:v>
                </c:pt>
                <c:pt idx="1182">
                  <c:v>9/13/2019</c:v>
                </c:pt>
                <c:pt idx="1183">
                  <c:v>9/16/2019</c:v>
                </c:pt>
                <c:pt idx="1184">
                  <c:v>9/17/2019</c:v>
                </c:pt>
                <c:pt idx="1185">
                  <c:v>9/18/2019</c:v>
                </c:pt>
                <c:pt idx="1186">
                  <c:v>9/19/2019</c:v>
                </c:pt>
                <c:pt idx="1187">
                  <c:v>9/20/2019</c:v>
                </c:pt>
                <c:pt idx="1188">
                  <c:v>9/23/2019</c:v>
                </c:pt>
                <c:pt idx="1189">
                  <c:v>9/24/2019</c:v>
                </c:pt>
                <c:pt idx="1190">
                  <c:v>9/25/2019</c:v>
                </c:pt>
                <c:pt idx="1191">
                  <c:v>9/26/2019</c:v>
                </c:pt>
                <c:pt idx="1192">
                  <c:v>9/27/2019</c:v>
                </c:pt>
                <c:pt idx="1193">
                  <c:v>9/30/2019</c:v>
                </c:pt>
                <c:pt idx="1194">
                  <c:v>10/1/2019</c:v>
                </c:pt>
                <c:pt idx="1195">
                  <c:v>10/2/2019</c:v>
                </c:pt>
                <c:pt idx="1196">
                  <c:v>10/3/2019</c:v>
                </c:pt>
                <c:pt idx="1197">
                  <c:v>10/4/2019</c:v>
                </c:pt>
                <c:pt idx="1198">
                  <c:v>10/7/2019</c:v>
                </c:pt>
                <c:pt idx="1199">
                  <c:v>10/8/2019</c:v>
                </c:pt>
                <c:pt idx="1200">
                  <c:v>10/9/2019</c:v>
                </c:pt>
                <c:pt idx="1201">
                  <c:v>10/10/2019</c:v>
                </c:pt>
                <c:pt idx="1202">
                  <c:v>10/11/2019</c:v>
                </c:pt>
                <c:pt idx="1203">
                  <c:v>10/14/2019</c:v>
                </c:pt>
                <c:pt idx="1204">
                  <c:v>10/15/2019</c:v>
                </c:pt>
                <c:pt idx="1205">
                  <c:v>10/16/2019</c:v>
                </c:pt>
                <c:pt idx="1206">
                  <c:v>10/17/2019</c:v>
                </c:pt>
                <c:pt idx="1207">
                  <c:v>10/18/2019</c:v>
                </c:pt>
                <c:pt idx="1208">
                  <c:v>10/21/2019</c:v>
                </c:pt>
                <c:pt idx="1209">
                  <c:v>10/22/2019</c:v>
                </c:pt>
                <c:pt idx="1210">
                  <c:v>10/23/2019</c:v>
                </c:pt>
                <c:pt idx="1211">
                  <c:v>10/24/2019</c:v>
                </c:pt>
                <c:pt idx="1212">
                  <c:v>10/25/2019</c:v>
                </c:pt>
                <c:pt idx="1213">
                  <c:v>10/28/2019</c:v>
                </c:pt>
                <c:pt idx="1214">
                  <c:v>10/29/2019</c:v>
                </c:pt>
                <c:pt idx="1215">
                  <c:v>10/30/2019</c:v>
                </c:pt>
                <c:pt idx="1216">
                  <c:v>10/31/2019</c:v>
                </c:pt>
                <c:pt idx="1217">
                  <c:v>11/1/2019</c:v>
                </c:pt>
                <c:pt idx="1218">
                  <c:v>11/4/2019</c:v>
                </c:pt>
                <c:pt idx="1219">
                  <c:v>11/5/2019</c:v>
                </c:pt>
                <c:pt idx="1220">
                  <c:v>11/6/2019</c:v>
                </c:pt>
                <c:pt idx="1221">
                  <c:v>11/7/2019</c:v>
                </c:pt>
                <c:pt idx="1222">
                  <c:v>11/8/2019</c:v>
                </c:pt>
                <c:pt idx="1223">
                  <c:v>11/11/2019</c:v>
                </c:pt>
                <c:pt idx="1224">
                  <c:v>11/12/2019</c:v>
                </c:pt>
                <c:pt idx="1225">
                  <c:v>11/13/2019</c:v>
                </c:pt>
                <c:pt idx="1226">
                  <c:v>11/14/2019</c:v>
                </c:pt>
                <c:pt idx="1227">
                  <c:v>11/15/2019</c:v>
                </c:pt>
                <c:pt idx="1228">
                  <c:v>11/18/2019</c:v>
                </c:pt>
                <c:pt idx="1229">
                  <c:v>11/19/2019</c:v>
                </c:pt>
                <c:pt idx="1230">
                  <c:v>11/20/2019</c:v>
                </c:pt>
                <c:pt idx="1231">
                  <c:v>11/21/2019</c:v>
                </c:pt>
                <c:pt idx="1232">
                  <c:v>11/22/2019</c:v>
                </c:pt>
                <c:pt idx="1233">
                  <c:v>11/25/2019</c:v>
                </c:pt>
                <c:pt idx="1234">
                  <c:v>11/26/2019</c:v>
                </c:pt>
                <c:pt idx="1235">
                  <c:v>11/27/2019</c:v>
                </c:pt>
                <c:pt idx="1236">
                  <c:v>11/29/2019</c:v>
                </c:pt>
                <c:pt idx="1237">
                  <c:v>12/2/2019</c:v>
                </c:pt>
                <c:pt idx="1238">
                  <c:v>12/3/2019</c:v>
                </c:pt>
                <c:pt idx="1239">
                  <c:v>12/4/2019</c:v>
                </c:pt>
                <c:pt idx="1240">
                  <c:v>12/5/2019</c:v>
                </c:pt>
                <c:pt idx="1241">
                  <c:v>12/6/2019</c:v>
                </c:pt>
                <c:pt idx="1242">
                  <c:v>12/9/2019</c:v>
                </c:pt>
                <c:pt idx="1243">
                  <c:v>12/10/2019</c:v>
                </c:pt>
                <c:pt idx="1244">
                  <c:v>12/11/2019</c:v>
                </c:pt>
                <c:pt idx="1245">
                  <c:v>12/12/2019</c:v>
                </c:pt>
                <c:pt idx="1246">
                  <c:v>12/13/2019</c:v>
                </c:pt>
                <c:pt idx="1247">
                  <c:v>12/16/2019</c:v>
                </c:pt>
                <c:pt idx="1248">
                  <c:v>12/17/2019</c:v>
                </c:pt>
                <c:pt idx="1249">
                  <c:v>12/18/2019</c:v>
                </c:pt>
                <c:pt idx="1250">
                  <c:v>12/19/2019</c:v>
                </c:pt>
                <c:pt idx="1251">
                  <c:v>12/20/2019</c:v>
                </c:pt>
                <c:pt idx="1252">
                  <c:v>12/23/2019</c:v>
                </c:pt>
                <c:pt idx="1253">
                  <c:v>12/24/2019</c:v>
                </c:pt>
                <c:pt idx="1254">
                  <c:v>12/26/2019</c:v>
                </c:pt>
                <c:pt idx="1255">
                  <c:v>12/27/2019</c:v>
                </c:pt>
                <c:pt idx="1256">
                  <c:v>12/30/2019</c:v>
                </c:pt>
                <c:pt idx="1257">
                  <c:v>12/31/2019</c:v>
                </c:pt>
                <c:pt idx="1258">
                  <c:v>1/2/2020</c:v>
                </c:pt>
                <c:pt idx="1259">
                  <c:v>1/3/2020</c:v>
                </c:pt>
                <c:pt idx="1260">
                  <c:v>1/6/2020</c:v>
                </c:pt>
                <c:pt idx="1261">
                  <c:v>1/7/2020</c:v>
                </c:pt>
                <c:pt idx="1262">
                  <c:v>1/8/2020</c:v>
                </c:pt>
                <c:pt idx="1263">
                  <c:v>1/9/2020</c:v>
                </c:pt>
                <c:pt idx="1264">
                  <c:v>1/10/2020</c:v>
                </c:pt>
                <c:pt idx="1265">
                  <c:v>1/13/2020</c:v>
                </c:pt>
                <c:pt idx="1266">
                  <c:v>1/14/2020</c:v>
                </c:pt>
                <c:pt idx="1267">
                  <c:v>1/15/2020</c:v>
                </c:pt>
                <c:pt idx="1268">
                  <c:v>1/16/2020</c:v>
                </c:pt>
                <c:pt idx="1269">
                  <c:v>1/17/2020</c:v>
                </c:pt>
                <c:pt idx="1270">
                  <c:v>1/21/2020</c:v>
                </c:pt>
                <c:pt idx="1271">
                  <c:v>1/22/2020</c:v>
                </c:pt>
                <c:pt idx="1272">
                  <c:v>1/23/2020</c:v>
                </c:pt>
                <c:pt idx="1273">
                  <c:v>1/24/2020</c:v>
                </c:pt>
                <c:pt idx="1274">
                  <c:v>1/27/2020</c:v>
                </c:pt>
                <c:pt idx="1275">
                  <c:v>1/28/2020</c:v>
                </c:pt>
                <c:pt idx="1276">
                  <c:v>1/29/2020</c:v>
                </c:pt>
                <c:pt idx="1277">
                  <c:v>1/30/2020</c:v>
                </c:pt>
                <c:pt idx="1278">
                  <c:v>1/31/2020</c:v>
                </c:pt>
                <c:pt idx="1279">
                  <c:v>2/3/2020</c:v>
                </c:pt>
                <c:pt idx="1280">
                  <c:v>2/4/2020</c:v>
                </c:pt>
                <c:pt idx="1281">
                  <c:v>2/5/2020</c:v>
                </c:pt>
                <c:pt idx="1282">
                  <c:v>2/6/2020</c:v>
                </c:pt>
                <c:pt idx="1283">
                  <c:v>2/7/2020</c:v>
                </c:pt>
                <c:pt idx="1284">
                  <c:v>2/10/2020</c:v>
                </c:pt>
                <c:pt idx="1285">
                  <c:v>2/11/2020</c:v>
                </c:pt>
                <c:pt idx="1286">
                  <c:v>2/12/2020</c:v>
                </c:pt>
                <c:pt idx="1287">
                  <c:v>2/13/2020</c:v>
                </c:pt>
                <c:pt idx="1288">
                  <c:v>2/14/2020</c:v>
                </c:pt>
                <c:pt idx="1289">
                  <c:v>2/18/2020</c:v>
                </c:pt>
                <c:pt idx="1290">
                  <c:v>2/19/2020</c:v>
                </c:pt>
                <c:pt idx="1291">
                  <c:v>2/20/2020</c:v>
                </c:pt>
                <c:pt idx="1292">
                  <c:v>2/21/2020</c:v>
                </c:pt>
                <c:pt idx="1293">
                  <c:v>2/24/2020</c:v>
                </c:pt>
                <c:pt idx="1294">
                  <c:v>2/25/2020</c:v>
                </c:pt>
                <c:pt idx="1295">
                  <c:v>2/26/2020</c:v>
                </c:pt>
                <c:pt idx="1296">
                  <c:v>2/27/2020</c:v>
                </c:pt>
                <c:pt idx="1297">
                  <c:v>2/28/2020</c:v>
                </c:pt>
                <c:pt idx="1298">
                  <c:v>3/2/2020</c:v>
                </c:pt>
                <c:pt idx="1299">
                  <c:v>3/3/2020</c:v>
                </c:pt>
                <c:pt idx="1300">
                  <c:v>3/4/2020</c:v>
                </c:pt>
                <c:pt idx="1301">
                  <c:v>3/5/2020</c:v>
                </c:pt>
                <c:pt idx="1302">
                  <c:v>3/6/2020</c:v>
                </c:pt>
                <c:pt idx="1303">
                  <c:v>3/9/2020</c:v>
                </c:pt>
                <c:pt idx="1304">
                  <c:v>3/10/2020</c:v>
                </c:pt>
                <c:pt idx="1305">
                  <c:v>3/11/2020</c:v>
                </c:pt>
                <c:pt idx="1306">
                  <c:v>3/12/2020</c:v>
                </c:pt>
                <c:pt idx="1307">
                  <c:v>3/13/2020</c:v>
                </c:pt>
                <c:pt idx="1308">
                  <c:v>3/16/2020</c:v>
                </c:pt>
                <c:pt idx="1309">
                  <c:v>3/17/2020</c:v>
                </c:pt>
                <c:pt idx="1310">
                  <c:v>3/18/2020</c:v>
                </c:pt>
                <c:pt idx="1311">
                  <c:v>3/19/2020</c:v>
                </c:pt>
                <c:pt idx="1312">
                  <c:v>3/20/2020</c:v>
                </c:pt>
                <c:pt idx="1313">
                  <c:v>3/23/2020</c:v>
                </c:pt>
                <c:pt idx="1314">
                  <c:v>3/24/2020</c:v>
                </c:pt>
                <c:pt idx="1315">
                  <c:v>3/25/2020</c:v>
                </c:pt>
                <c:pt idx="1316">
                  <c:v>3/26/2020</c:v>
                </c:pt>
                <c:pt idx="1317">
                  <c:v>3/27/2020</c:v>
                </c:pt>
                <c:pt idx="1318">
                  <c:v>3/30/2020</c:v>
                </c:pt>
                <c:pt idx="1319">
                  <c:v>3/31/2020</c:v>
                </c:pt>
                <c:pt idx="1320">
                  <c:v>4/1/2020</c:v>
                </c:pt>
                <c:pt idx="1321">
                  <c:v>4/2/2020</c:v>
                </c:pt>
                <c:pt idx="1322">
                  <c:v>4/3/2020</c:v>
                </c:pt>
                <c:pt idx="1323">
                  <c:v>4/6/2020</c:v>
                </c:pt>
                <c:pt idx="1324">
                  <c:v>4/7/2020</c:v>
                </c:pt>
                <c:pt idx="1325">
                  <c:v>4/8/2020</c:v>
                </c:pt>
                <c:pt idx="1326">
                  <c:v>4/9/2020</c:v>
                </c:pt>
                <c:pt idx="1327">
                  <c:v>4/13/2020</c:v>
                </c:pt>
                <c:pt idx="1328">
                  <c:v>4/14/2020</c:v>
                </c:pt>
                <c:pt idx="1329">
                  <c:v>4/15/2020</c:v>
                </c:pt>
                <c:pt idx="1330">
                  <c:v>4/16/2020</c:v>
                </c:pt>
                <c:pt idx="1331">
                  <c:v>4/17/2020</c:v>
                </c:pt>
                <c:pt idx="1332">
                  <c:v>4/20/2020</c:v>
                </c:pt>
                <c:pt idx="1333">
                  <c:v>4/21/2020</c:v>
                </c:pt>
                <c:pt idx="1334">
                  <c:v>4/22/2020</c:v>
                </c:pt>
                <c:pt idx="1335">
                  <c:v>4/23/2020</c:v>
                </c:pt>
                <c:pt idx="1336">
                  <c:v>4/24/2020</c:v>
                </c:pt>
                <c:pt idx="1337">
                  <c:v>4/27/2020</c:v>
                </c:pt>
                <c:pt idx="1338">
                  <c:v>4/28/2020</c:v>
                </c:pt>
                <c:pt idx="1339">
                  <c:v>4/29/2020</c:v>
                </c:pt>
                <c:pt idx="1340">
                  <c:v>4/30/2020</c:v>
                </c:pt>
                <c:pt idx="1341">
                  <c:v>5/1/2020</c:v>
                </c:pt>
                <c:pt idx="1342">
                  <c:v>5/4/2020</c:v>
                </c:pt>
                <c:pt idx="1343">
                  <c:v>5/5/2020</c:v>
                </c:pt>
                <c:pt idx="1344">
                  <c:v>5/6/2020</c:v>
                </c:pt>
                <c:pt idx="1345">
                  <c:v>5/7/2020</c:v>
                </c:pt>
                <c:pt idx="1346">
                  <c:v>5/8/2020</c:v>
                </c:pt>
                <c:pt idx="1347">
                  <c:v>5/11/2020</c:v>
                </c:pt>
                <c:pt idx="1348">
                  <c:v>5/12/2020</c:v>
                </c:pt>
                <c:pt idx="1349">
                  <c:v>5/13/2020</c:v>
                </c:pt>
                <c:pt idx="1350">
                  <c:v>5/14/2020</c:v>
                </c:pt>
                <c:pt idx="1351">
                  <c:v>5/15/2020</c:v>
                </c:pt>
                <c:pt idx="1352">
                  <c:v>5/18/2020</c:v>
                </c:pt>
                <c:pt idx="1353">
                  <c:v>5/19/2020</c:v>
                </c:pt>
                <c:pt idx="1354">
                  <c:v>5/20/2020</c:v>
                </c:pt>
                <c:pt idx="1355">
                  <c:v>5/21/2020</c:v>
                </c:pt>
                <c:pt idx="1356">
                  <c:v>5/22/2020</c:v>
                </c:pt>
                <c:pt idx="1357">
                  <c:v>5/26/2020</c:v>
                </c:pt>
                <c:pt idx="1358">
                  <c:v>5/27/2020</c:v>
                </c:pt>
                <c:pt idx="1359">
                  <c:v>5/28/2020</c:v>
                </c:pt>
                <c:pt idx="1360">
                  <c:v>5/29/2020</c:v>
                </c:pt>
                <c:pt idx="1361">
                  <c:v>6/1/2020</c:v>
                </c:pt>
                <c:pt idx="1362">
                  <c:v>6/2/2020</c:v>
                </c:pt>
                <c:pt idx="1363">
                  <c:v>6/3/2020</c:v>
                </c:pt>
                <c:pt idx="1364">
                  <c:v>6/4/2020</c:v>
                </c:pt>
                <c:pt idx="1365">
                  <c:v>6/5/2020</c:v>
                </c:pt>
                <c:pt idx="1366">
                  <c:v>6/8/2020</c:v>
                </c:pt>
                <c:pt idx="1367">
                  <c:v>6/9/2020</c:v>
                </c:pt>
                <c:pt idx="1368">
                  <c:v>6/10/2020</c:v>
                </c:pt>
                <c:pt idx="1369">
                  <c:v>6/11/2020</c:v>
                </c:pt>
                <c:pt idx="1370">
                  <c:v>6/12/2020</c:v>
                </c:pt>
                <c:pt idx="1371">
                  <c:v>6/15/2020</c:v>
                </c:pt>
                <c:pt idx="1372">
                  <c:v>6/16/2020</c:v>
                </c:pt>
                <c:pt idx="1373">
                  <c:v>6/17/2020</c:v>
                </c:pt>
                <c:pt idx="1374">
                  <c:v>6/18/2020</c:v>
                </c:pt>
                <c:pt idx="1375">
                  <c:v>6/19/2020</c:v>
                </c:pt>
                <c:pt idx="1376">
                  <c:v>6/22/2020</c:v>
                </c:pt>
                <c:pt idx="1377">
                  <c:v>6/23/2020</c:v>
                </c:pt>
                <c:pt idx="1378">
                  <c:v>6/24/2020</c:v>
                </c:pt>
                <c:pt idx="1379">
                  <c:v>6/25/2020</c:v>
                </c:pt>
                <c:pt idx="1380">
                  <c:v>6/26/2020</c:v>
                </c:pt>
                <c:pt idx="1381">
                  <c:v>6/29/2020</c:v>
                </c:pt>
                <c:pt idx="1382">
                  <c:v>6/30/2020</c:v>
                </c:pt>
                <c:pt idx="1383">
                  <c:v>7/1/2020</c:v>
                </c:pt>
                <c:pt idx="1384">
                  <c:v>7/2/2020</c:v>
                </c:pt>
                <c:pt idx="1385">
                  <c:v>7/6/2020</c:v>
                </c:pt>
                <c:pt idx="1386">
                  <c:v>7/7/2020</c:v>
                </c:pt>
                <c:pt idx="1387">
                  <c:v>7/8/2020</c:v>
                </c:pt>
                <c:pt idx="1388">
                  <c:v>7/9/2020</c:v>
                </c:pt>
                <c:pt idx="1389">
                  <c:v>7/10/2020</c:v>
                </c:pt>
                <c:pt idx="1390">
                  <c:v>7/13/2020</c:v>
                </c:pt>
                <c:pt idx="1391">
                  <c:v>7/14/2020</c:v>
                </c:pt>
                <c:pt idx="1392">
                  <c:v>7/15/2020</c:v>
                </c:pt>
                <c:pt idx="1393">
                  <c:v>7/16/2020</c:v>
                </c:pt>
                <c:pt idx="1394">
                  <c:v>7/17/2020</c:v>
                </c:pt>
                <c:pt idx="1395">
                  <c:v>7/20/2020</c:v>
                </c:pt>
                <c:pt idx="1396">
                  <c:v>7/21/2020</c:v>
                </c:pt>
                <c:pt idx="1397">
                  <c:v>7/22/2020</c:v>
                </c:pt>
                <c:pt idx="1398">
                  <c:v>7/23/2020</c:v>
                </c:pt>
                <c:pt idx="1399">
                  <c:v>7/24/2020</c:v>
                </c:pt>
                <c:pt idx="1400">
                  <c:v>7/27/2020</c:v>
                </c:pt>
                <c:pt idx="1401">
                  <c:v>7/28/2020</c:v>
                </c:pt>
                <c:pt idx="1402">
                  <c:v>7/29/2020</c:v>
                </c:pt>
                <c:pt idx="1403">
                  <c:v>7/30/2020</c:v>
                </c:pt>
                <c:pt idx="1404">
                  <c:v>7/31/2020</c:v>
                </c:pt>
                <c:pt idx="1405">
                  <c:v>8/3/2020</c:v>
                </c:pt>
                <c:pt idx="1406">
                  <c:v>8/4/2020</c:v>
                </c:pt>
                <c:pt idx="1407">
                  <c:v>8/5/2020</c:v>
                </c:pt>
                <c:pt idx="1408">
                  <c:v>8/6/2020</c:v>
                </c:pt>
                <c:pt idx="1409">
                  <c:v>8/7/2020</c:v>
                </c:pt>
                <c:pt idx="1410">
                  <c:v>8/10/2020</c:v>
                </c:pt>
                <c:pt idx="1411">
                  <c:v>8/11/2020</c:v>
                </c:pt>
                <c:pt idx="1412">
                  <c:v>8/12/2020</c:v>
                </c:pt>
                <c:pt idx="1413">
                  <c:v>8/13/2020</c:v>
                </c:pt>
                <c:pt idx="1414">
                  <c:v>8/14/2020</c:v>
                </c:pt>
                <c:pt idx="1415">
                  <c:v>8/17/2020</c:v>
                </c:pt>
                <c:pt idx="1416">
                  <c:v>8/18/2020</c:v>
                </c:pt>
                <c:pt idx="1417">
                  <c:v>8/19/2020</c:v>
                </c:pt>
                <c:pt idx="1418">
                  <c:v>8/20/2020</c:v>
                </c:pt>
                <c:pt idx="1419">
                  <c:v>8/21/2020</c:v>
                </c:pt>
                <c:pt idx="1420">
                  <c:v>8/24/2020</c:v>
                </c:pt>
                <c:pt idx="1421">
                  <c:v>8/25/2020</c:v>
                </c:pt>
                <c:pt idx="1422">
                  <c:v>8/26/2020</c:v>
                </c:pt>
                <c:pt idx="1423">
                  <c:v>8/27/2020</c:v>
                </c:pt>
                <c:pt idx="1424">
                  <c:v>8/28/2020</c:v>
                </c:pt>
                <c:pt idx="1425">
                  <c:v>8/31/2020</c:v>
                </c:pt>
                <c:pt idx="1426">
                  <c:v>9/1/2020</c:v>
                </c:pt>
                <c:pt idx="1427">
                  <c:v>9/2/2020</c:v>
                </c:pt>
                <c:pt idx="1428">
                  <c:v>9/3/2020</c:v>
                </c:pt>
                <c:pt idx="1429">
                  <c:v>9/4/2020</c:v>
                </c:pt>
                <c:pt idx="1430">
                  <c:v>9/8/2020</c:v>
                </c:pt>
                <c:pt idx="1431">
                  <c:v>9/9/2020</c:v>
                </c:pt>
                <c:pt idx="1432">
                  <c:v>9/10/2020</c:v>
                </c:pt>
                <c:pt idx="1433">
                  <c:v>9/11/2020</c:v>
                </c:pt>
                <c:pt idx="1434">
                  <c:v>9/14/2020</c:v>
                </c:pt>
                <c:pt idx="1435">
                  <c:v>9/15/2020</c:v>
                </c:pt>
                <c:pt idx="1436">
                  <c:v>9/16/2020</c:v>
                </c:pt>
                <c:pt idx="1437">
                  <c:v>9/17/2020</c:v>
                </c:pt>
                <c:pt idx="1438">
                  <c:v>9/18/2020</c:v>
                </c:pt>
                <c:pt idx="1439">
                  <c:v>9/21/2020</c:v>
                </c:pt>
                <c:pt idx="1440">
                  <c:v>9/22/2020</c:v>
                </c:pt>
                <c:pt idx="1441">
                  <c:v>9/23/2020</c:v>
                </c:pt>
                <c:pt idx="1442">
                  <c:v>9/24/2020</c:v>
                </c:pt>
                <c:pt idx="1443">
                  <c:v>9/25/2020</c:v>
                </c:pt>
                <c:pt idx="1444">
                  <c:v>9/28/2020</c:v>
                </c:pt>
                <c:pt idx="1445">
                  <c:v>9/29/2020</c:v>
                </c:pt>
                <c:pt idx="1446">
                  <c:v>9/30/2020</c:v>
                </c:pt>
                <c:pt idx="1447">
                  <c:v>10/1/2020</c:v>
                </c:pt>
                <c:pt idx="1448">
                  <c:v>10/2/2020</c:v>
                </c:pt>
                <c:pt idx="1449">
                  <c:v>10/5/2020</c:v>
                </c:pt>
                <c:pt idx="1450">
                  <c:v>10/6/2020</c:v>
                </c:pt>
                <c:pt idx="1451">
                  <c:v>10/7/2020</c:v>
                </c:pt>
                <c:pt idx="1452">
                  <c:v>10/8/2020</c:v>
                </c:pt>
                <c:pt idx="1453">
                  <c:v>10/9/2020</c:v>
                </c:pt>
                <c:pt idx="1454">
                  <c:v>10/12/2020</c:v>
                </c:pt>
                <c:pt idx="1455">
                  <c:v>10/13/2020</c:v>
                </c:pt>
                <c:pt idx="1456">
                  <c:v>10/14/2020</c:v>
                </c:pt>
                <c:pt idx="1457">
                  <c:v>10/15/2020</c:v>
                </c:pt>
                <c:pt idx="1458">
                  <c:v>10/16/2020</c:v>
                </c:pt>
                <c:pt idx="1459">
                  <c:v>10/19/2020</c:v>
                </c:pt>
                <c:pt idx="1460">
                  <c:v>10/20/2020</c:v>
                </c:pt>
                <c:pt idx="1461">
                  <c:v>10/21/2020</c:v>
                </c:pt>
                <c:pt idx="1462">
                  <c:v>10/22/2020</c:v>
                </c:pt>
                <c:pt idx="1463">
                  <c:v>10/23/2020</c:v>
                </c:pt>
                <c:pt idx="1464">
                  <c:v>10/26/2020</c:v>
                </c:pt>
                <c:pt idx="1465">
                  <c:v>10/27/2020</c:v>
                </c:pt>
                <c:pt idx="1466">
                  <c:v>10/28/2020</c:v>
                </c:pt>
                <c:pt idx="1467">
                  <c:v>10/29/2020</c:v>
                </c:pt>
                <c:pt idx="1468">
                  <c:v>10/30/2020</c:v>
                </c:pt>
                <c:pt idx="1469">
                  <c:v>11/2/2020</c:v>
                </c:pt>
                <c:pt idx="1470">
                  <c:v>11/3/2020</c:v>
                </c:pt>
                <c:pt idx="1471">
                  <c:v>11/4/2020</c:v>
                </c:pt>
                <c:pt idx="1472">
                  <c:v>11/5/2020</c:v>
                </c:pt>
                <c:pt idx="1473">
                  <c:v>11/6/2020</c:v>
                </c:pt>
                <c:pt idx="1474">
                  <c:v>11/9/2020</c:v>
                </c:pt>
                <c:pt idx="1475">
                  <c:v>11/10/2020</c:v>
                </c:pt>
                <c:pt idx="1476">
                  <c:v>11/11/2020</c:v>
                </c:pt>
                <c:pt idx="1477">
                  <c:v>11/12/2020</c:v>
                </c:pt>
                <c:pt idx="1478">
                  <c:v>11/13/2020</c:v>
                </c:pt>
                <c:pt idx="1479">
                  <c:v>11/16/2020</c:v>
                </c:pt>
                <c:pt idx="1480">
                  <c:v>11/17/2020</c:v>
                </c:pt>
                <c:pt idx="1481">
                  <c:v>11/18/2020</c:v>
                </c:pt>
                <c:pt idx="1482">
                  <c:v>11/19/2020</c:v>
                </c:pt>
                <c:pt idx="1483">
                  <c:v>11/20/2020</c:v>
                </c:pt>
                <c:pt idx="1484">
                  <c:v>11/23/2020</c:v>
                </c:pt>
                <c:pt idx="1485">
                  <c:v>11/24/2020</c:v>
                </c:pt>
                <c:pt idx="1486">
                  <c:v>11/25/2020</c:v>
                </c:pt>
                <c:pt idx="1487">
                  <c:v>11/27/2020</c:v>
                </c:pt>
                <c:pt idx="1488">
                  <c:v>11/30/2020</c:v>
                </c:pt>
                <c:pt idx="1489">
                  <c:v>12/1/2020</c:v>
                </c:pt>
                <c:pt idx="1490">
                  <c:v>12/2/2020</c:v>
                </c:pt>
                <c:pt idx="1491">
                  <c:v>12/3/2020</c:v>
                </c:pt>
                <c:pt idx="1492">
                  <c:v>12/4/2020</c:v>
                </c:pt>
                <c:pt idx="1493">
                  <c:v>12/7/2020</c:v>
                </c:pt>
                <c:pt idx="1494">
                  <c:v>12/8/2020</c:v>
                </c:pt>
                <c:pt idx="1495">
                  <c:v>12/9/2020</c:v>
                </c:pt>
                <c:pt idx="1496">
                  <c:v>12/10/2020</c:v>
                </c:pt>
                <c:pt idx="1497">
                  <c:v>12/11/2020</c:v>
                </c:pt>
                <c:pt idx="1498">
                  <c:v>12/14/2020</c:v>
                </c:pt>
                <c:pt idx="1499">
                  <c:v>12/15/2020</c:v>
                </c:pt>
                <c:pt idx="1500">
                  <c:v>12/16/2020</c:v>
                </c:pt>
                <c:pt idx="1501">
                  <c:v>12/17/2020</c:v>
                </c:pt>
                <c:pt idx="1502">
                  <c:v>12/18/2020</c:v>
                </c:pt>
                <c:pt idx="1503">
                  <c:v>12/21/2020</c:v>
                </c:pt>
                <c:pt idx="1504">
                  <c:v>12/22/2020</c:v>
                </c:pt>
                <c:pt idx="1505">
                  <c:v>12/23/2020</c:v>
                </c:pt>
                <c:pt idx="1506">
                  <c:v>12/24/2020</c:v>
                </c:pt>
                <c:pt idx="1507">
                  <c:v>12/28/2020</c:v>
                </c:pt>
                <c:pt idx="1508">
                  <c:v>12/29/2020</c:v>
                </c:pt>
                <c:pt idx="1509">
                  <c:v>12/30/2020</c:v>
                </c:pt>
                <c:pt idx="1510">
                  <c:v>12/31/2020</c:v>
                </c:pt>
                <c:pt idx="1511">
                  <c:v>1/4/2021</c:v>
                </c:pt>
                <c:pt idx="1512">
                  <c:v>1/5/2021</c:v>
                </c:pt>
                <c:pt idx="1513">
                  <c:v>1/6/2021</c:v>
                </c:pt>
                <c:pt idx="1514">
                  <c:v>1/7/2021</c:v>
                </c:pt>
                <c:pt idx="1515">
                  <c:v>1/8/2021</c:v>
                </c:pt>
                <c:pt idx="1516">
                  <c:v>1/11/2021</c:v>
                </c:pt>
                <c:pt idx="1517">
                  <c:v>1/12/2021</c:v>
                </c:pt>
                <c:pt idx="1518">
                  <c:v>1/13/2021</c:v>
                </c:pt>
                <c:pt idx="1519">
                  <c:v>1/14/2021</c:v>
                </c:pt>
                <c:pt idx="1520">
                  <c:v>1/15/2021</c:v>
                </c:pt>
                <c:pt idx="1521">
                  <c:v>1/19/2021</c:v>
                </c:pt>
                <c:pt idx="1522">
                  <c:v>1/20/2021</c:v>
                </c:pt>
                <c:pt idx="1523">
                  <c:v>1/21/2021</c:v>
                </c:pt>
                <c:pt idx="1524">
                  <c:v>1/22/2021</c:v>
                </c:pt>
                <c:pt idx="1525">
                  <c:v>1/25/2021</c:v>
                </c:pt>
                <c:pt idx="1526">
                  <c:v>1/26/2021</c:v>
                </c:pt>
                <c:pt idx="1527">
                  <c:v>1/27/2021</c:v>
                </c:pt>
                <c:pt idx="1528">
                  <c:v>1/28/2021</c:v>
                </c:pt>
                <c:pt idx="1529">
                  <c:v>1/29/2021</c:v>
                </c:pt>
                <c:pt idx="1530">
                  <c:v>2/1/2021</c:v>
                </c:pt>
                <c:pt idx="1531">
                  <c:v>2/2/2021</c:v>
                </c:pt>
                <c:pt idx="1532">
                  <c:v>2/3/2021</c:v>
                </c:pt>
                <c:pt idx="1533">
                  <c:v>2/4/2021</c:v>
                </c:pt>
                <c:pt idx="1534">
                  <c:v>2/5/2021</c:v>
                </c:pt>
                <c:pt idx="1535">
                  <c:v>2/8/2021</c:v>
                </c:pt>
                <c:pt idx="1536">
                  <c:v>2/9/2021</c:v>
                </c:pt>
                <c:pt idx="1537">
                  <c:v>2/10/2021</c:v>
                </c:pt>
                <c:pt idx="1538">
                  <c:v>2/11/2021</c:v>
                </c:pt>
                <c:pt idx="1539">
                  <c:v>2/12/2021</c:v>
                </c:pt>
                <c:pt idx="1540">
                  <c:v>2/16/2021</c:v>
                </c:pt>
                <c:pt idx="1541">
                  <c:v>2/17/2021</c:v>
                </c:pt>
                <c:pt idx="1542">
                  <c:v>2/18/2021</c:v>
                </c:pt>
                <c:pt idx="1543">
                  <c:v>2/19/2021</c:v>
                </c:pt>
                <c:pt idx="1544">
                  <c:v>2/22/2021</c:v>
                </c:pt>
                <c:pt idx="1545">
                  <c:v>2/23/2021</c:v>
                </c:pt>
                <c:pt idx="1546">
                  <c:v>2/24/2021</c:v>
                </c:pt>
                <c:pt idx="1547">
                  <c:v>2/25/2021</c:v>
                </c:pt>
                <c:pt idx="1548">
                  <c:v>2/26/2021</c:v>
                </c:pt>
                <c:pt idx="1549">
                  <c:v>3/1/2021</c:v>
                </c:pt>
                <c:pt idx="1550">
                  <c:v>3/2/2021</c:v>
                </c:pt>
                <c:pt idx="1551">
                  <c:v>3/3/2021</c:v>
                </c:pt>
                <c:pt idx="1552">
                  <c:v>3/4/2021</c:v>
                </c:pt>
                <c:pt idx="1553">
                  <c:v>3/5/2021</c:v>
                </c:pt>
                <c:pt idx="1554">
                  <c:v>3/8/2021</c:v>
                </c:pt>
                <c:pt idx="1555">
                  <c:v>3/9/2021</c:v>
                </c:pt>
                <c:pt idx="1556">
                  <c:v>3/10/2021</c:v>
                </c:pt>
                <c:pt idx="1557">
                  <c:v>3/11/2021</c:v>
                </c:pt>
                <c:pt idx="1558">
                  <c:v>3/12/2021</c:v>
                </c:pt>
                <c:pt idx="1559">
                  <c:v>3/15/2021</c:v>
                </c:pt>
                <c:pt idx="1560">
                  <c:v>3/16/2021</c:v>
                </c:pt>
                <c:pt idx="1561">
                  <c:v>3/17/2021</c:v>
                </c:pt>
                <c:pt idx="1562">
                  <c:v>3/18/2021</c:v>
                </c:pt>
                <c:pt idx="1563">
                  <c:v>3/19/2021</c:v>
                </c:pt>
                <c:pt idx="1564">
                  <c:v>3/22/2021</c:v>
                </c:pt>
                <c:pt idx="1565">
                  <c:v>3/23/2021</c:v>
                </c:pt>
                <c:pt idx="1566">
                  <c:v>3/24/2021</c:v>
                </c:pt>
                <c:pt idx="1567">
                  <c:v>3/25/2021</c:v>
                </c:pt>
                <c:pt idx="1568">
                  <c:v>3/26/2021</c:v>
                </c:pt>
                <c:pt idx="1569">
                  <c:v>3/29/2021</c:v>
                </c:pt>
                <c:pt idx="1570">
                  <c:v>3/30/2021</c:v>
                </c:pt>
                <c:pt idx="1571">
                  <c:v>3/31/2021</c:v>
                </c:pt>
                <c:pt idx="1572">
                  <c:v>4/1/2021</c:v>
                </c:pt>
                <c:pt idx="1573">
                  <c:v>4/5/2021</c:v>
                </c:pt>
                <c:pt idx="1574">
                  <c:v>4/6/2021</c:v>
                </c:pt>
                <c:pt idx="1575">
                  <c:v>4/7/2021</c:v>
                </c:pt>
                <c:pt idx="1576">
                  <c:v>4/8/2021</c:v>
                </c:pt>
                <c:pt idx="1577">
                  <c:v>4/9/2021</c:v>
                </c:pt>
                <c:pt idx="1578">
                  <c:v>4/12/2021</c:v>
                </c:pt>
                <c:pt idx="1579">
                  <c:v>4/13/2021</c:v>
                </c:pt>
                <c:pt idx="1580">
                  <c:v>4/14/2021</c:v>
                </c:pt>
                <c:pt idx="1581">
                  <c:v>4/15/2021</c:v>
                </c:pt>
                <c:pt idx="1582">
                  <c:v>4/16/2021</c:v>
                </c:pt>
                <c:pt idx="1583">
                  <c:v>4/19/2021</c:v>
                </c:pt>
                <c:pt idx="1584">
                  <c:v>4/20/2021</c:v>
                </c:pt>
                <c:pt idx="1585">
                  <c:v>4/21/2021</c:v>
                </c:pt>
                <c:pt idx="1586">
                  <c:v>4/22/2021</c:v>
                </c:pt>
                <c:pt idx="1587">
                  <c:v>4/23/2021</c:v>
                </c:pt>
                <c:pt idx="1588">
                  <c:v>4/26/2021</c:v>
                </c:pt>
                <c:pt idx="1589">
                  <c:v>4/27/2021</c:v>
                </c:pt>
                <c:pt idx="1590">
                  <c:v>4/28/2021</c:v>
                </c:pt>
                <c:pt idx="1591">
                  <c:v>4/29/2021</c:v>
                </c:pt>
                <c:pt idx="1592">
                  <c:v>4/30/2021</c:v>
                </c:pt>
                <c:pt idx="1593">
                  <c:v>5/3/2021</c:v>
                </c:pt>
                <c:pt idx="1594">
                  <c:v>5/4/2021</c:v>
                </c:pt>
                <c:pt idx="1595">
                  <c:v>5/5/2021</c:v>
                </c:pt>
                <c:pt idx="1596">
                  <c:v>5/6/2021</c:v>
                </c:pt>
                <c:pt idx="1597">
                  <c:v>5/7/2021</c:v>
                </c:pt>
                <c:pt idx="1598">
                  <c:v>5/10/2021</c:v>
                </c:pt>
                <c:pt idx="1599">
                  <c:v>5/11/2021</c:v>
                </c:pt>
                <c:pt idx="1600">
                  <c:v>5/12/2021</c:v>
                </c:pt>
                <c:pt idx="1601">
                  <c:v>5/13/2021</c:v>
                </c:pt>
                <c:pt idx="1602">
                  <c:v>5/14/2021</c:v>
                </c:pt>
                <c:pt idx="1603">
                  <c:v>5/17/2021</c:v>
                </c:pt>
                <c:pt idx="1604">
                  <c:v>5/18/2021</c:v>
                </c:pt>
                <c:pt idx="1605">
                  <c:v>5/19/2021</c:v>
                </c:pt>
                <c:pt idx="1606">
                  <c:v>5/20/2021</c:v>
                </c:pt>
                <c:pt idx="1607">
                  <c:v>5/21/2021</c:v>
                </c:pt>
                <c:pt idx="1608">
                  <c:v>5/24/2021</c:v>
                </c:pt>
                <c:pt idx="1609">
                  <c:v>5/25/2021</c:v>
                </c:pt>
                <c:pt idx="1610">
                  <c:v>5/26/2021</c:v>
                </c:pt>
                <c:pt idx="1611">
                  <c:v>5/27/2021</c:v>
                </c:pt>
                <c:pt idx="1612">
                  <c:v>5/28/2021</c:v>
                </c:pt>
                <c:pt idx="1613">
                  <c:v>6/1/2021</c:v>
                </c:pt>
                <c:pt idx="1614">
                  <c:v>6/2/2021</c:v>
                </c:pt>
                <c:pt idx="1615">
                  <c:v>6/3/2021</c:v>
                </c:pt>
                <c:pt idx="1616">
                  <c:v>6/4/2021</c:v>
                </c:pt>
                <c:pt idx="1617">
                  <c:v>6/7/2021</c:v>
                </c:pt>
                <c:pt idx="1618">
                  <c:v>6/8/2021</c:v>
                </c:pt>
                <c:pt idx="1619">
                  <c:v>6/9/2021</c:v>
                </c:pt>
                <c:pt idx="1620">
                  <c:v>6/10/2021</c:v>
                </c:pt>
                <c:pt idx="1621">
                  <c:v>6/11/2021</c:v>
                </c:pt>
                <c:pt idx="1622">
                  <c:v>6/14/2021</c:v>
                </c:pt>
                <c:pt idx="1623">
                  <c:v>6/15/2021</c:v>
                </c:pt>
                <c:pt idx="1624">
                  <c:v>6/16/2021</c:v>
                </c:pt>
                <c:pt idx="1625">
                  <c:v>6/17/2021</c:v>
                </c:pt>
                <c:pt idx="1626">
                  <c:v>6/18/2021</c:v>
                </c:pt>
                <c:pt idx="1627">
                  <c:v>6/21/2021</c:v>
                </c:pt>
                <c:pt idx="1628">
                  <c:v>6/22/2021</c:v>
                </c:pt>
                <c:pt idx="1629">
                  <c:v>6/23/2021</c:v>
                </c:pt>
                <c:pt idx="1630">
                  <c:v>6/24/2021</c:v>
                </c:pt>
                <c:pt idx="1631">
                  <c:v>6/25/2021</c:v>
                </c:pt>
                <c:pt idx="1632">
                  <c:v>6/28/2021</c:v>
                </c:pt>
                <c:pt idx="1633">
                  <c:v>6/29/2021</c:v>
                </c:pt>
                <c:pt idx="1634">
                  <c:v>6/30/2021</c:v>
                </c:pt>
                <c:pt idx="1635">
                  <c:v>7/1/2021</c:v>
                </c:pt>
                <c:pt idx="1636">
                  <c:v>7/2/2021</c:v>
                </c:pt>
                <c:pt idx="1637">
                  <c:v>7/6/2021</c:v>
                </c:pt>
                <c:pt idx="1638">
                  <c:v>7/7/2021</c:v>
                </c:pt>
                <c:pt idx="1639">
                  <c:v>7/8/2021</c:v>
                </c:pt>
                <c:pt idx="1640">
                  <c:v>7/9/2021</c:v>
                </c:pt>
                <c:pt idx="1641">
                  <c:v>7/12/2021</c:v>
                </c:pt>
                <c:pt idx="1642">
                  <c:v>7/13/2021</c:v>
                </c:pt>
                <c:pt idx="1643">
                  <c:v>7/14/2021</c:v>
                </c:pt>
                <c:pt idx="1644">
                  <c:v>7/15/2021</c:v>
                </c:pt>
                <c:pt idx="1645">
                  <c:v>7/16/2021</c:v>
                </c:pt>
                <c:pt idx="1646">
                  <c:v>7/19/2021</c:v>
                </c:pt>
                <c:pt idx="1647">
                  <c:v>7/20/2021</c:v>
                </c:pt>
                <c:pt idx="1648">
                  <c:v>7/21/2021</c:v>
                </c:pt>
                <c:pt idx="1649">
                  <c:v>7/22/2021</c:v>
                </c:pt>
                <c:pt idx="1650">
                  <c:v>7/23/2021</c:v>
                </c:pt>
                <c:pt idx="1651">
                  <c:v>7/26/2021</c:v>
                </c:pt>
                <c:pt idx="1652">
                  <c:v>7/27/2021</c:v>
                </c:pt>
                <c:pt idx="1653">
                  <c:v>7/28/2021</c:v>
                </c:pt>
                <c:pt idx="1654">
                  <c:v>7/29/2021</c:v>
                </c:pt>
                <c:pt idx="1655">
                  <c:v>7/30/2021</c:v>
                </c:pt>
                <c:pt idx="1656">
                  <c:v>8/2/2021</c:v>
                </c:pt>
                <c:pt idx="1657">
                  <c:v>8/3/2021</c:v>
                </c:pt>
                <c:pt idx="1658">
                  <c:v>8/4/2021</c:v>
                </c:pt>
                <c:pt idx="1659">
                  <c:v>8/5/2021</c:v>
                </c:pt>
                <c:pt idx="1660">
                  <c:v>8/6/2021</c:v>
                </c:pt>
                <c:pt idx="1661">
                  <c:v>8/9/2021</c:v>
                </c:pt>
                <c:pt idx="1662">
                  <c:v>8/10/2021</c:v>
                </c:pt>
                <c:pt idx="1663">
                  <c:v>8/11/2021</c:v>
                </c:pt>
                <c:pt idx="1664">
                  <c:v>8/12/2021</c:v>
                </c:pt>
                <c:pt idx="1665">
                  <c:v>8/13/2021</c:v>
                </c:pt>
                <c:pt idx="1666">
                  <c:v>8/16/2021</c:v>
                </c:pt>
                <c:pt idx="1667">
                  <c:v>8/17/2021</c:v>
                </c:pt>
                <c:pt idx="1668">
                  <c:v>8/18/2021</c:v>
                </c:pt>
                <c:pt idx="1669">
                  <c:v>8/19/2021</c:v>
                </c:pt>
                <c:pt idx="1670">
                  <c:v>8/20/2021</c:v>
                </c:pt>
                <c:pt idx="1671">
                  <c:v>8/23/2021</c:v>
                </c:pt>
                <c:pt idx="1672">
                  <c:v>8/24/2021</c:v>
                </c:pt>
                <c:pt idx="1673">
                  <c:v>8/25/2021</c:v>
                </c:pt>
                <c:pt idx="1674">
                  <c:v>8/26/2021</c:v>
                </c:pt>
                <c:pt idx="1675">
                  <c:v>8/27/2021</c:v>
                </c:pt>
                <c:pt idx="1676">
                  <c:v>8/30/2021</c:v>
                </c:pt>
                <c:pt idx="1677">
                  <c:v>8/31/2021</c:v>
                </c:pt>
                <c:pt idx="1678">
                  <c:v>9/1/2021</c:v>
                </c:pt>
                <c:pt idx="1679">
                  <c:v>9/2/2021</c:v>
                </c:pt>
                <c:pt idx="1680">
                  <c:v>9/3/2021</c:v>
                </c:pt>
                <c:pt idx="1681">
                  <c:v>9/7/2021</c:v>
                </c:pt>
                <c:pt idx="1682">
                  <c:v>9/8/2021</c:v>
                </c:pt>
                <c:pt idx="1683">
                  <c:v>9/9/2021</c:v>
                </c:pt>
                <c:pt idx="1684">
                  <c:v>9/10/2021</c:v>
                </c:pt>
                <c:pt idx="1685">
                  <c:v>9/13/2021</c:v>
                </c:pt>
                <c:pt idx="1686">
                  <c:v>9/14/2021</c:v>
                </c:pt>
                <c:pt idx="1687">
                  <c:v>9/15/2021</c:v>
                </c:pt>
                <c:pt idx="1688">
                  <c:v>9/16/2021</c:v>
                </c:pt>
                <c:pt idx="1689">
                  <c:v>9/17/2021</c:v>
                </c:pt>
                <c:pt idx="1690">
                  <c:v>9/20/2021</c:v>
                </c:pt>
                <c:pt idx="1691">
                  <c:v>9/21/2021</c:v>
                </c:pt>
                <c:pt idx="1692">
                  <c:v>9/22/2021</c:v>
                </c:pt>
                <c:pt idx="1693">
                  <c:v>9/23/2021</c:v>
                </c:pt>
                <c:pt idx="1694">
                  <c:v>9/24/2021</c:v>
                </c:pt>
                <c:pt idx="1695">
                  <c:v>9/27/2021</c:v>
                </c:pt>
                <c:pt idx="1696">
                  <c:v>9/28/2021</c:v>
                </c:pt>
                <c:pt idx="1697">
                  <c:v>9/29/2021</c:v>
                </c:pt>
                <c:pt idx="1698">
                  <c:v>9/30/2021</c:v>
                </c:pt>
                <c:pt idx="1699">
                  <c:v>10/1/2021</c:v>
                </c:pt>
                <c:pt idx="1700">
                  <c:v>10/4/2021</c:v>
                </c:pt>
                <c:pt idx="1701">
                  <c:v>10/5/2021</c:v>
                </c:pt>
                <c:pt idx="1702">
                  <c:v>10/6/2021</c:v>
                </c:pt>
                <c:pt idx="1703">
                  <c:v>10/7/2021</c:v>
                </c:pt>
                <c:pt idx="1704">
                  <c:v>10/8/2021</c:v>
                </c:pt>
                <c:pt idx="1705">
                  <c:v>10/11/2021</c:v>
                </c:pt>
                <c:pt idx="1706">
                  <c:v>10/12/2021</c:v>
                </c:pt>
                <c:pt idx="1707">
                  <c:v>10/13/2021</c:v>
                </c:pt>
                <c:pt idx="1708">
                  <c:v>10/14/2021</c:v>
                </c:pt>
                <c:pt idx="1709">
                  <c:v>10/15/2021</c:v>
                </c:pt>
                <c:pt idx="1710">
                  <c:v>10/18/2021</c:v>
                </c:pt>
                <c:pt idx="1711">
                  <c:v>10/19/2021</c:v>
                </c:pt>
                <c:pt idx="1712">
                  <c:v>10/20/2021</c:v>
                </c:pt>
                <c:pt idx="1713">
                  <c:v>10/21/2021</c:v>
                </c:pt>
                <c:pt idx="1714">
                  <c:v>10/22/2021</c:v>
                </c:pt>
                <c:pt idx="1715">
                  <c:v>10/25/2021</c:v>
                </c:pt>
                <c:pt idx="1716">
                  <c:v>10/26/2021</c:v>
                </c:pt>
                <c:pt idx="1717">
                  <c:v>10/27/2021</c:v>
                </c:pt>
                <c:pt idx="1718">
                  <c:v>10/28/2021</c:v>
                </c:pt>
                <c:pt idx="1719">
                  <c:v>10/29/2021</c:v>
                </c:pt>
                <c:pt idx="1720">
                  <c:v>11/1/2021</c:v>
                </c:pt>
                <c:pt idx="1721">
                  <c:v>11/2/2021</c:v>
                </c:pt>
                <c:pt idx="1722">
                  <c:v>11/3/2021</c:v>
                </c:pt>
                <c:pt idx="1723">
                  <c:v>11/4/2021</c:v>
                </c:pt>
                <c:pt idx="1724">
                  <c:v>11/5/2021</c:v>
                </c:pt>
                <c:pt idx="1725">
                  <c:v>11/8/2021</c:v>
                </c:pt>
                <c:pt idx="1726">
                  <c:v>11/9/2021</c:v>
                </c:pt>
                <c:pt idx="1727">
                  <c:v>11/10/2021</c:v>
                </c:pt>
                <c:pt idx="1728">
                  <c:v>11/11/2021</c:v>
                </c:pt>
                <c:pt idx="1729">
                  <c:v>11/12/2021</c:v>
                </c:pt>
                <c:pt idx="1730">
                  <c:v>11/15/2021</c:v>
                </c:pt>
                <c:pt idx="1731">
                  <c:v>11/16/2021</c:v>
                </c:pt>
                <c:pt idx="1732">
                  <c:v>11/17/2021</c:v>
                </c:pt>
                <c:pt idx="1733">
                  <c:v>11/18/2021</c:v>
                </c:pt>
                <c:pt idx="1734">
                  <c:v>11/19/2021</c:v>
                </c:pt>
                <c:pt idx="1735">
                  <c:v>11/22/2021</c:v>
                </c:pt>
                <c:pt idx="1736">
                  <c:v>11/23/2021</c:v>
                </c:pt>
                <c:pt idx="1737">
                  <c:v>11/24/2021</c:v>
                </c:pt>
                <c:pt idx="1738">
                  <c:v>11/26/2021</c:v>
                </c:pt>
                <c:pt idx="1739">
                  <c:v>11/29/2021</c:v>
                </c:pt>
                <c:pt idx="1740">
                  <c:v>11/30/2021</c:v>
                </c:pt>
                <c:pt idx="1741">
                  <c:v>12/1/2021</c:v>
                </c:pt>
                <c:pt idx="1742">
                  <c:v>12/2/2021</c:v>
                </c:pt>
                <c:pt idx="1743">
                  <c:v>12/3/2021</c:v>
                </c:pt>
                <c:pt idx="1744">
                  <c:v>12/6/2021</c:v>
                </c:pt>
                <c:pt idx="1745">
                  <c:v>12/7/2021</c:v>
                </c:pt>
                <c:pt idx="1746">
                  <c:v>12/8/2021</c:v>
                </c:pt>
                <c:pt idx="1747">
                  <c:v>12/9/2021</c:v>
                </c:pt>
                <c:pt idx="1748">
                  <c:v>12/10/2021</c:v>
                </c:pt>
                <c:pt idx="1749">
                  <c:v>12/13/2021</c:v>
                </c:pt>
                <c:pt idx="1750">
                  <c:v>12/14/2021</c:v>
                </c:pt>
                <c:pt idx="1751">
                  <c:v>12/15/2021</c:v>
                </c:pt>
                <c:pt idx="1752">
                  <c:v>12/16/2021</c:v>
                </c:pt>
                <c:pt idx="1753">
                  <c:v>12/17/2021</c:v>
                </c:pt>
                <c:pt idx="1754">
                  <c:v>12/20/2021</c:v>
                </c:pt>
                <c:pt idx="1755">
                  <c:v>12/21/2021</c:v>
                </c:pt>
                <c:pt idx="1756">
                  <c:v>12/22/2021</c:v>
                </c:pt>
                <c:pt idx="1757">
                  <c:v>12/23/2021</c:v>
                </c:pt>
                <c:pt idx="1758">
                  <c:v>12/27/2021</c:v>
                </c:pt>
                <c:pt idx="1759">
                  <c:v>12/28/2021</c:v>
                </c:pt>
                <c:pt idx="1760">
                  <c:v>12/29/2021</c:v>
                </c:pt>
                <c:pt idx="1761">
                  <c:v>12/30/2021</c:v>
                </c:pt>
                <c:pt idx="1762">
                  <c:v>12/31/2021</c:v>
                </c:pt>
                <c:pt idx="1763">
                  <c:v>1/3/2022</c:v>
                </c:pt>
                <c:pt idx="1764">
                  <c:v>1/4/2022</c:v>
                </c:pt>
                <c:pt idx="1765">
                  <c:v>1/5/2022</c:v>
                </c:pt>
                <c:pt idx="1766">
                  <c:v>1/6/2022</c:v>
                </c:pt>
                <c:pt idx="1767">
                  <c:v>1/7/2022</c:v>
                </c:pt>
                <c:pt idx="1768">
                  <c:v>1/10/2022</c:v>
                </c:pt>
                <c:pt idx="1769">
                  <c:v>1/11/2022</c:v>
                </c:pt>
                <c:pt idx="1770">
                  <c:v>1/12/2022</c:v>
                </c:pt>
                <c:pt idx="1771">
                  <c:v>1/13/2022</c:v>
                </c:pt>
                <c:pt idx="1772">
                  <c:v>1/14/2022</c:v>
                </c:pt>
                <c:pt idx="1773">
                  <c:v>1/18/2022</c:v>
                </c:pt>
                <c:pt idx="1774">
                  <c:v>1/19/2022</c:v>
                </c:pt>
                <c:pt idx="1775">
                  <c:v>1/20/2022</c:v>
                </c:pt>
                <c:pt idx="1776">
                  <c:v>1/21/2022</c:v>
                </c:pt>
                <c:pt idx="1777">
                  <c:v>1/24/2022</c:v>
                </c:pt>
                <c:pt idx="1778">
                  <c:v>1/25/2022</c:v>
                </c:pt>
                <c:pt idx="1779">
                  <c:v>1/26/2022</c:v>
                </c:pt>
                <c:pt idx="1780">
                  <c:v>1/27/2022</c:v>
                </c:pt>
                <c:pt idx="1781">
                  <c:v>1/28/2022</c:v>
                </c:pt>
                <c:pt idx="1782">
                  <c:v>1/31/2022</c:v>
                </c:pt>
                <c:pt idx="1783">
                  <c:v>2/1/2022</c:v>
                </c:pt>
                <c:pt idx="1784">
                  <c:v>2/2/2022</c:v>
                </c:pt>
                <c:pt idx="1785">
                  <c:v>2/3/2022</c:v>
                </c:pt>
                <c:pt idx="1786">
                  <c:v>2/4/2022</c:v>
                </c:pt>
                <c:pt idx="1787">
                  <c:v>2/7/2022</c:v>
                </c:pt>
                <c:pt idx="1788">
                  <c:v>2/8/2022</c:v>
                </c:pt>
                <c:pt idx="1789">
                  <c:v>2/9/2022</c:v>
                </c:pt>
                <c:pt idx="1790">
                  <c:v>2/10/2022</c:v>
                </c:pt>
                <c:pt idx="1791">
                  <c:v>2/11/2022</c:v>
                </c:pt>
                <c:pt idx="1792">
                  <c:v>2/14/2022</c:v>
                </c:pt>
                <c:pt idx="1793">
                  <c:v>2/15/2022</c:v>
                </c:pt>
                <c:pt idx="1794">
                  <c:v>2/16/2022</c:v>
                </c:pt>
                <c:pt idx="1795">
                  <c:v>2/17/2022</c:v>
                </c:pt>
                <c:pt idx="1796">
                  <c:v>2/18/2022</c:v>
                </c:pt>
                <c:pt idx="1797">
                  <c:v>2/22/2022</c:v>
                </c:pt>
                <c:pt idx="1798">
                  <c:v>2/23/2022</c:v>
                </c:pt>
                <c:pt idx="1799">
                  <c:v>2/24/2022</c:v>
                </c:pt>
                <c:pt idx="1800">
                  <c:v>2/25/2022</c:v>
                </c:pt>
                <c:pt idx="1801">
                  <c:v>2/28/2022</c:v>
                </c:pt>
                <c:pt idx="1802">
                  <c:v>3/1/2022</c:v>
                </c:pt>
                <c:pt idx="1803">
                  <c:v>3/2/2022</c:v>
                </c:pt>
                <c:pt idx="1804">
                  <c:v>3/3/2022</c:v>
                </c:pt>
                <c:pt idx="1805">
                  <c:v>3/4/2022</c:v>
                </c:pt>
                <c:pt idx="1806">
                  <c:v>3/7/2022</c:v>
                </c:pt>
                <c:pt idx="1807">
                  <c:v>3/8/2022</c:v>
                </c:pt>
                <c:pt idx="1808">
                  <c:v>3/9/2022</c:v>
                </c:pt>
                <c:pt idx="1809">
                  <c:v>3/10/2022</c:v>
                </c:pt>
                <c:pt idx="1810">
                  <c:v>3/11/2022</c:v>
                </c:pt>
                <c:pt idx="1811">
                  <c:v>3/14/2022</c:v>
                </c:pt>
                <c:pt idx="1812">
                  <c:v>3/15/2022</c:v>
                </c:pt>
                <c:pt idx="1813">
                  <c:v>3/16/2022</c:v>
                </c:pt>
                <c:pt idx="1814">
                  <c:v>3/17/2022</c:v>
                </c:pt>
                <c:pt idx="1815">
                  <c:v>3/18/2022</c:v>
                </c:pt>
                <c:pt idx="1816">
                  <c:v>3/21/2022</c:v>
                </c:pt>
                <c:pt idx="1817">
                  <c:v>3/22/2022</c:v>
                </c:pt>
                <c:pt idx="1818">
                  <c:v>3/23/2022</c:v>
                </c:pt>
                <c:pt idx="1819">
                  <c:v>3/24/2022</c:v>
                </c:pt>
                <c:pt idx="1820">
                  <c:v>3/25/2022</c:v>
                </c:pt>
                <c:pt idx="1821">
                  <c:v>3/28/2022</c:v>
                </c:pt>
                <c:pt idx="1822">
                  <c:v>3/29/2022</c:v>
                </c:pt>
                <c:pt idx="1823">
                  <c:v>3/30/2022</c:v>
                </c:pt>
                <c:pt idx="1824">
                  <c:v>3/31/2022</c:v>
                </c:pt>
                <c:pt idx="1825">
                  <c:v>4/1/2022</c:v>
                </c:pt>
                <c:pt idx="1826">
                  <c:v>4/4/2022</c:v>
                </c:pt>
                <c:pt idx="1827">
                  <c:v>4/5/2022</c:v>
                </c:pt>
                <c:pt idx="1828">
                  <c:v>4/6/2022</c:v>
                </c:pt>
                <c:pt idx="1829">
                  <c:v>4/7/2022</c:v>
                </c:pt>
                <c:pt idx="1830">
                  <c:v>4/8/2022</c:v>
                </c:pt>
                <c:pt idx="1831">
                  <c:v>4/11/2022</c:v>
                </c:pt>
                <c:pt idx="1832">
                  <c:v>4/12/2022</c:v>
                </c:pt>
                <c:pt idx="1833">
                  <c:v>4/13/2022</c:v>
                </c:pt>
                <c:pt idx="1834">
                  <c:v>4/14/2022</c:v>
                </c:pt>
                <c:pt idx="1835">
                  <c:v>4/18/2022</c:v>
                </c:pt>
                <c:pt idx="1836">
                  <c:v>4/19/2022</c:v>
                </c:pt>
                <c:pt idx="1837">
                  <c:v>4/20/2022</c:v>
                </c:pt>
                <c:pt idx="1838">
                  <c:v>4/21/2022</c:v>
                </c:pt>
                <c:pt idx="1839">
                  <c:v>4/22/2022</c:v>
                </c:pt>
                <c:pt idx="1840">
                  <c:v>4/25/2022</c:v>
                </c:pt>
                <c:pt idx="1841">
                  <c:v>4/26/2022</c:v>
                </c:pt>
                <c:pt idx="1842">
                  <c:v>4/27/2022</c:v>
                </c:pt>
                <c:pt idx="1843">
                  <c:v>4/28/2022</c:v>
                </c:pt>
                <c:pt idx="1844">
                  <c:v>4/29/2022</c:v>
                </c:pt>
                <c:pt idx="1845">
                  <c:v>5/2/2022</c:v>
                </c:pt>
                <c:pt idx="1846">
                  <c:v>5/3/2022</c:v>
                </c:pt>
                <c:pt idx="1847">
                  <c:v>5/4/2022</c:v>
                </c:pt>
                <c:pt idx="1848">
                  <c:v>5/5/2022</c:v>
                </c:pt>
                <c:pt idx="1849">
                  <c:v>5/6/2022</c:v>
                </c:pt>
                <c:pt idx="1850">
                  <c:v>5/9/2022</c:v>
                </c:pt>
                <c:pt idx="1851">
                  <c:v>5/10/2022</c:v>
                </c:pt>
                <c:pt idx="1852">
                  <c:v>5/11/2022</c:v>
                </c:pt>
                <c:pt idx="1853">
                  <c:v>5/12/2022</c:v>
                </c:pt>
                <c:pt idx="1854">
                  <c:v>5/13/2022</c:v>
                </c:pt>
                <c:pt idx="1855">
                  <c:v>5/16/2022</c:v>
                </c:pt>
                <c:pt idx="1856">
                  <c:v>5/17/2022</c:v>
                </c:pt>
                <c:pt idx="1857">
                  <c:v>5/18/2022</c:v>
                </c:pt>
                <c:pt idx="1858">
                  <c:v>5/19/2022</c:v>
                </c:pt>
                <c:pt idx="1859">
                  <c:v>5/20/2022</c:v>
                </c:pt>
                <c:pt idx="1860">
                  <c:v>5/23/2022</c:v>
                </c:pt>
                <c:pt idx="1861">
                  <c:v>5/24/2022</c:v>
                </c:pt>
                <c:pt idx="1862">
                  <c:v>5/25/2022</c:v>
                </c:pt>
                <c:pt idx="1863">
                  <c:v>5/26/2022</c:v>
                </c:pt>
                <c:pt idx="1864">
                  <c:v>5/27/2022</c:v>
                </c:pt>
                <c:pt idx="1865">
                  <c:v>5/31/2022</c:v>
                </c:pt>
                <c:pt idx="1866">
                  <c:v>6/1/2022</c:v>
                </c:pt>
                <c:pt idx="1867">
                  <c:v>6/2/2022</c:v>
                </c:pt>
                <c:pt idx="1868">
                  <c:v>6/3/2022</c:v>
                </c:pt>
                <c:pt idx="1869">
                  <c:v>6/6/2022</c:v>
                </c:pt>
                <c:pt idx="1870">
                  <c:v>6/7/2022</c:v>
                </c:pt>
                <c:pt idx="1871">
                  <c:v>6/8/2022</c:v>
                </c:pt>
                <c:pt idx="1872">
                  <c:v>6/9/2022</c:v>
                </c:pt>
                <c:pt idx="1873">
                  <c:v>6/10/2022</c:v>
                </c:pt>
                <c:pt idx="1874">
                  <c:v>6/13/2022</c:v>
                </c:pt>
                <c:pt idx="1875">
                  <c:v>6/14/2022</c:v>
                </c:pt>
                <c:pt idx="1876">
                  <c:v>6/15/2022</c:v>
                </c:pt>
                <c:pt idx="1877">
                  <c:v>6/16/2022</c:v>
                </c:pt>
                <c:pt idx="1878">
                  <c:v>6/17/2022</c:v>
                </c:pt>
                <c:pt idx="1879">
                  <c:v>6/21/2022</c:v>
                </c:pt>
                <c:pt idx="1880">
                  <c:v>6/22/2022</c:v>
                </c:pt>
                <c:pt idx="1881">
                  <c:v>6/23/2022</c:v>
                </c:pt>
                <c:pt idx="1882">
                  <c:v>6/24/2022</c:v>
                </c:pt>
                <c:pt idx="1883">
                  <c:v>6/27/2022</c:v>
                </c:pt>
                <c:pt idx="1884">
                  <c:v>6/28/2022</c:v>
                </c:pt>
                <c:pt idx="1885">
                  <c:v>6/29/2022</c:v>
                </c:pt>
                <c:pt idx="1886">
                  <c:v>6/30/2022</c:v>
                </c:pt>
                <c:pt idx="1887">
                  <c:v>7/1/2022</c:v>
                </c:pt>
                <c:pt idx="1888">
                  <c:v>7/5/2022</c:v>
                </c:pt>
                <c:pt idx="1889">
                  <c:v>7/6/2022</c:v>
                </c:pt>
                <c:pt idx="1890">
                  <c:v>7/7/2022</c:v>
                </c:pt>
                <c:pt idx="1891">
                  <c:v>7/8/2022</c:v>
                </c:pt>
                <c:pt idx="1892">
                  <c:v>7/11/2022</c:v>
                </c:pt>
                <c:pt idx="1893">
                  <c:v>7/12/2022</c:v>
                </c:pt>
                <c:pt idx="1894">
                  <c:v>7/13/2022</c:v>
                </c:pt>
                <c:pt idx="1895">
                  <c:v>7/14/2022</c:v>
                </c:pt>
                <c:pt idx="1896">
                  <c:v>7/15/2022</c:v>
                </c:pt>
                <c:pt idx="1897">
                  <c:v>7/18/2022</c:v>
                </c:pt>
                <c:pt idx="1898">
                  <c:v>7/19/2022</c:v>
                </c:pt>
                <c:pt idx="1899">
                  <c:v>7/20/2022</c:v>
                </c:pt>
                <c:pt idx="1900">
                  <c:v>7/21/2022</c:v>
                </c:pt>
                <c:pt idx="1901">
                  <c:v>7/22/2022</c:v>
                </c:pt>
                <c:pt idx="1902">
                  <c:v>7/25/2022</c:v>
                </c:pt>
                <c:pt idx="1903">
                  <c:v>7/26/2022</c:v>
                </c:pt>
                <c:pt idx="1904">
                  <c:v>7/27/2022</c:v>
                </c:pt>
                <c:pt idx="1905">
                  <c:v>7/28/2022</c:v>
                </c:pt>
                <c:pt idx="1906">
                  <c:v>7/29/2022</c:v>
                </c:pt>
                <c:pt idx="1907">
                  <c:v>8/1/2022</c:v>
                </c:pt>
                <c:pt idx="1908">
                  <c:v>8/2/2022</c:v>
                </c:pt>
                <c:pt idx="1909">
                  <c:v>8/3/2022</c:v>
                </c:pt>
                <c:pt idx="1910">
                  <c:v>8/4/2022</c:v>
                </c:pt>
                <c:pt idx="1911">
                  <c:v>8/5/2022</c:v>
                </c:pt>
                <c:pt idx="1912">
                  <c:v>8/8/2022</c:v>
                </c:pt>
                <c:pt idx="1913">
                  <c:v>8/9/2022</c:v>
                </c:pt>
                <c:pt idx="1914">
                  <c:v>8/10/2022</c:v>
                </c:pt>
                <c:pt idx="1915">
                  <c:v>8/11/2022</c:v>
                </c:pt>
                <c:pt idx="1916">
                  <c:v>8/12/2022</c:v>
                </c:pt>
                <c:pt idx="1917">
                  <c:v>8/15/2022</c:v>
                </c:pt>
                <c:pt idx="1918">
                  <c:v>8/16/2022</c:v>
                </c:pt>
                <c:pt idx="1919">
                  <c:v>8/17/2022</c:v>
                </c:pt>
                <c:pt idx="1920">
                  <c:v>8/18/2022</c:v>
                </c:pt>
                <c:pt idx="1921">
                  <c:v>8/19/2022</c:v>
                </c:pt>
                <c:pt idx="1922">
                  <c:v>8/22/2022</c:v>
                </c:pt>
                <c:pt idx="1923">
                  <c:v>8/23/2022</c:v>
                </c:pt>
                <c:pt idx="1924">
                  <c:v>8/24/2022</c:v>
                </c:pt>
                <c:pt idx="1925">
                  <c:v>8/25/2022</c:v>
                </c:pt>
                <c:pt idx="1926">
                  <c:v>8/26/2022</c:v>
                </c:pt>
                <c:pt idx="1927">
                  <c:v>8/29/2022</c:v>
                </c:pt>
                <c:pt idx="1928">
                  <c:v>8/30/2022</c:v>
                </c:pt>
                <c:pt idx="1929">
                  <c:v>8/31/2022</c:v>
                </c:pt>
                <c:pt idx="1930">
                  <c:v>9/1/2022</c:v>
                </c:pt>
                <c:pt idx="1931">
                  <c:v>9/2/2022</c:v>
                </c:pt>
                <c:pt idx="1932">
                  <c:v>9/6/2022</c:v>
                </c:pt>
                <c:pt idx="1933">
                  <c:v>9/7/2022</c:v>
                </c:pt>
                <c:pt idx="1934">
                  <c:v>9/8/2022</c:v>
                </c:pt>
                <c:pt idx="1935">
                  <c:v>9/9/2022</c:v>
                </c:pt>
                <c:pt idx="1936">
                  <c:v>9/12/2022</c:v>
                </c:pt>
                <c:pt idx="1937">
                  <c:v>9/13/2022</c:v>
                </c:pt>
                <c:pt idx="1938">
                  <c:v>9/14/2022</c:v>
                </c:pt>
                <c:pt idx="1939">
                  <c:v>9/15/2022</c:v>
                </c:pt>
                <c:pt idx="1940">
                  <c:v>9/16/2022</c:v>
                </c:pt>
                <c:pt idx="1941">
                  <c:v>9/19/2022</c:v>
                </c:pt>
                <c:pt idx="1942">
                  <c:v>9/20/2022</c:v>
                </c:pt>
                <c:pt idx="1943">
                  <c:v>9/21/2022</c:v>
                </c:pt>
                <c:pt idx="1944">
                  <c:v>9/22/2022</c:v>
                </c:pt>
                <c:pt idx="1945">
                  <c:v>9/23/2022</c:v>
                </c:pt>
                <c:pt idx="1946">
                  <c:v>9/26/2022</c:v>
                </c:pt>
                <c:pt idx="1947">
                  <c:v>9/27/2022</c:v>
                </c:pt>
                <c:pt idx="1948">
                  <c:v>9/28/2022</c:v>
                </c:pt>
                <c:pt idx="1949">
                  <c:v>9/29/2022</c:v>
                </c:pt>
                <c:pt idx="1950">
                  <c:v>9/30/2022</c:v>
                </c:pt>
                <c:pt idx="1951">
                  <c:v>10/3/2022</c:v>
                </c:pt>
                <c:pt idx="1952">
                  <c:v>10/4/2022</c:v>
                </c:pt>
                <c:pt idx="1953">
                  <c:v>10/5/2022</c:v>
                </c:pt>
                <c:pt idx="1954">
                  <c:v>10/6/2022</c:v>
                </c:pt>
                <c:pt idx="1955">
                  <c:v>10/7/2022</c:v>
                </c:pt>
                <c:pt idx="1956">
                  <c:v>10/10/2022</c:v>
                </c:pt>
                <c:pt idx="1957">
                  <c:v>10/11/2022</c:v>
                </c:pt>
                <c:pt idx="1958">
                  <c:v>10/12/2022</c:v>
                </c:pt>
                <c:pt idx="1959">
                  <c:v>10/13/2022</c:v>
                </c:pt>
                <c:pt idx="1960">
                  <c:v>10/14/2022</c:v>
                </c:pt>
                <c:pt idx="1961">
                  <c:v>10/17/2022</c:v>
                </c:pt>
                <c:pt idx="1962">
                  <c:v>10/18/2022</c:v>
                </c:pt>
                <c:pt idx="1963">
                  <c:v>10/19/2022</c:v>
                </c:pt>
                <c:pt idx="1964">
                  <c:v>10/20/2022</c:v>
                </c:pt>
                <c:pt idx="1965">
                  <c:v>10/21/2022</c:v>
                </c:pt>
                <c:pt idx="1966">
                  <c:v>10/24/2022</c:v>
                </c:pt>
                <c:pt idx="1967">
                  <c:v>10/25/2022</c:v>
                </c:pt>
                <c:pt idx="1968">
                  <c:v>10/26/2022</c:v>
                </c:pt>
                <c:pt idx="1969">
                  <c:v>10/27/2022</c:v>
                </c:pt>
                <c:pt idx="1970">
                  <c:v>10/28/2022</c:v>
                </c:pt>
                <c:pt idx="1971">
                  <c:v>10/31/2022</c:v>
                </c:pt>
                <c:pt idx="1972">
                  <c:v>11/1/2022</c:v>
                </c:pt>
                <c:pt idx="1973">
                  <c:v>11/2/2022</c:v>
                </c:pt>
                <c:pt idx="1974">
                  <c:v>11/3/2022</c:v>
                </c:pt>
                <c:pt idx="1975">
                  <c:v>11/4/2022</c:v>
                </c:pt>
                <c:pt idx="1976">
                  <c:v>11/7/2022</c:v>
                </c:pt>
                <c:pt idx="1977">
                  <c:v>11/8/2022</c:v>
                </c:pt>
                <c:pt idx="1978">
                  <c:v>11/9/2022</c:v>
                </c:pt>
                <c:pt idx="1979">
                  <c:v>11/10/2022</c:v>
                </c:pt>
                <c:pt idx="1980">
                  <c:v>11/11/2022</c:v>
                </c:pt>
                <c:pt idx="1981">
                  <c:v>11/14/2022</c:v>
                </c:pt>
                <c:pt idx="1982">
                  <c:v>11/15/2022</c:v>
                </c:pt>
                <c:pt idx="1983">
                  <c:v>11/16/2022</c:v>
                </c:pt>
                <c:pt idx="1984">
                  <c:v>11/17/2022</c:v>
                </c:pt>
                <c:pt idx="1985">
                  <c:v>11/18/2022</c:v>
                </c:pt>
                <c:pt idx="1986">
                  <c:v>11/21/2022</c:v>
                </c:pt>
                <c:pt idx="1987">
                  <c:v>11/22/2022</c:v>
                </c:pt>
                <c:pt idx="1988">
                  <c:v>11/23/2022</c:v>
                </c:pt>
                <c:pt idx="1989">
                  <c:v>11/25/2022</c:v>
                </c:pt>
                <c:pt idx="1990">
                  <c:v>11/28/2022</c:v>
                </c:pt>
                <c:pt idx="1991">
                  <c:v>11/29/2022</c:v>
                </c:pt>
                <c:pt idx="1992">
                  <c:v>11/30/2022</c:v>
                </c:pt>
                <c:pt idx="1993">
                  <c:v>12/1/2022</c:v>
                </c:pt>
                <c:pt idx="1994">
                  <c:v>12/2/2022</c:v>
                </c:pt>
                <c:pt idx="1995">
                  <c:v>12/5/2022</c:v>
                </c:pt>
                <c:pt idx="1996">
                  <c:v>12/6/2022</c:v>
                </c:pt>
                <c:pt idx="1997">
                  <c:v>12/7/2022</c:v>
                </c:pt>
                <c:pt idx="1998">
                  <c:v>12/8/2022</c:v>
                </c:pt>
                <c:pt idx="1999">
                  <c:v>12/9/2022</c:v>
                </c:pt>
                <c:pt idx="2000">
                  <c:v>12/12/2022</c:v>
                </c:pt>
                <c:pt idx="2001">
                  <c:v>12/13/2022</c:v>
                </c:pt>
                <c:pt idx="2002">
                  <c:v>12/14/2022</c:v>
                </c:pt>
                <c:pt idx="2003">
                  <c:v>12/15/2022</c:v>
                </c:pt>
                <c:pt idx="2004">
                  <c:v>12/16/2022</c:v>
                </c:pt>
                <c:pt idx="2005">
                  <c:v>12/19/2022</c:v>
                </c:pt>
                <c:pt idx="2006">
                  <c:v>12/20/2022</c:v>
                </c:pt>
                <c:pt idx="2007">
                  <c:v>12/21/2022</c:v>
                </c:pt>
                <c:pt idx="2008">
                  <c:v>12/22/2022</c:v>
                </c:pt>
                <c:pt idx="2009">
                  <c:v>12/23/2022</c:v>
                </c:pt>
                <c:pt idx="2010">
                  <c:v>12/27/2022</c:v>
                </c:pt>
                <c:pt idx="2011">
                  <c:v>12/28/2022</c:v>
                </c:pt>
                <c:pt idx="2012">
                  <c:v>12/29/2022</c:v>
                </c:pt>
                <c:pt idx="2013">
                  <c:v>12/30/2022</c:v>
                </c:pt>
                <c:pt idx="2014">
                  <c:v>1/3/2023</c:v>
                </c:pt>
                <c:pt idx="2015">
                  <c:v>1/4/2023</c:v>
                </c:pt>
                <c:pt idx="2016">
                  <c:v>1/5/2023</c:v>
                </c:pt>
                <c:pt idx="2017">
                  <c:v>1/6/2023</c:v>
                </c:pt>
                <c:pt idx="2018">
                  <c:v>1/9/2023</c:v>
                </c:pt>
                <c:pt idx="2019">
                  <c:v>1/10/2023</c:v>
                </c:pt>
                <c:pt idx="2020">
                  <c:v>1/11/2023</c:v>
                </c:pt>
                <c:pt idx="2021">
                  <c:v>1/12/2023</c:v>
                </c:pt>
                <c:pt idx="2022">
                  <c:v>1/13/2023</c:v>
                </c:pt>
                <c:pt idx="2023">
                  <c:v>1/17/2023</c:v>
                </c:pt>
                <c:pt idx="2024">
                  <c:v>1/18/2023</c:v>
                </c:pt>
                <c:pt idx="2025">
                  <c:v>1/19/2023</c:v>
                </c:pt>
                <c:pt idx="2026">
                  <c:v>1/20/2023</c:v>
                </c:pt>
                <c:pt idx="2027">
                  <c:v>1/23/2023</c:v>
                </c:pt>
                <c:pt idx="2028">
                  <c:v>1/24/2023</c:v>
                </c:pt>
                <c:pt idx="2029">
                  <c:v>1/25/2023</c:v>
                </c:pt>
                <c:pt idx="2030">
                  <c:v>1/26/2023</c:v>
                </c:pt>
                <c:pt idx="2031">
                  <c:v>1/27/2023</c:v>
                </c:pt>
                <c:pt idx="2032">
                  <c:v>1/30/2023</c:v>
                </c:pt>
                <c:pt idx="2033">
                  <c:v>1/31/2023</c:v>
                </c:pt>
                <c:pt idx="2034">
                  <c:v>2/1/2023</c:v>
                </c:pt>
                <c:pt idx="2035">
                  <c:v>2/2/2023</c:v>
                </c:pt>
                <c:pt idx="2036">
                  <c:v>2/3/2023</c:v>
                </c:pt>
                <c:pt idx="2037">
                  <c:v>2/6/2023</c:v>
                </c:pt>
                <c:pt idx="2038">
                  <c:v>2/7/2023</c:v>
                </c:pt>
                <c:pt idx="2039">
                  <c:v>2/8/2023</c:v>
                </c:pt>
                <c:pt idx="2040">
                  <c:v>2/9/2023</c:v>
                </c:pt>
                <c:pt idx="2041">
                  <c:v>2/10/2023</c:v>
                </c:pt>
                <c:pt idx="2042">
                  <c:v>2/13/2023</c:v>
                </c:pt>
                <c:pt idx="2043">
                  <c:v>2/14/2023</c:v>
                </c:pt>
                <c:pt idx="2044">
                  <c:v>2/15/2023</c:v>
                </c:pt>
                <c:pt idx="2045">
                  <c:v>2/16/2023</c:v>
                </c:pt>
                <c:pt idx="2046">
                  <c:v>2/17/2023</c:v>
                </c:pt>
                <c:pt idx="2047">
                  <c:v>2/21/2023</c:v>
                </c:pt>
                <c:pt idx="2048">
                  <c:v>2/22/2023</c:v>
                </c:pt>
                <c:pt idx="2049">
                  <c:v>2/23/2023</c:v>
                </c:pt>
                <c:pt idx="2050">
                  <c:v>2/24/2023</c:v>
                </c:pt>
                <c:pt idx="2051">
                  <c:v>2/27/2023</c:v>
                </c:pt>
                <c:pt idx="2052">
                  <c:v>2/28/2023</c:v>
                </c:pt>
                <c:pt idx="2053">
                  <c:v>3/1/2023</c:v>
                </c:pt>
                <c:pt idx="2054">
                  <c:v>3/2/2023</c:v>
                </c:pt>
                <c:pt idx="2055">
                  <c:v>3/3/2023</c:v>
                </c:pt>
                <c:pt idx="2056">
                  <c:v>3/6/2023</c:v>
                </c:pt>
                <c:pt idx="2057">
                  <c:v>3/7/2023</c:v>
                </c:pt>
                <c:pt idx="2058">
                  <c:v>3/8/2023</c:v>
                </c:pt>
                <c:pt idx="2059">
                  <c:v>3/9/2023</c:v>
                </c:pt>
                <c:pt idx="2060">
                  <c:v>3/10/2023</c:v>
                </c:pt>
                <c:pt idx="2061">
                  <c:v>3/13/2023</c:v>
                </c:pt>
                <c:pt idx="2062">
                  <c:v>3/14/2023</c:v>
                </c:pt>
                <c:pt idx="2063">
                  <c:v>3/15/2023</c:v>
                </c:pt>
                <c:pt idx="2064">
                  <c:v>3/16/2023</c:v>
                </c:pt>
                <c:pt idx="2065">
                  <c:v>3/17/2023</c:v>
                </c:pt>
                <c:pt idx="2066">
                  <c:v>3/20/2023</c:v>
                </c:pt>
                <c:pt idx="2067">
                  <c:v>3/21/2023</c:v>
                </c:pt>
                <c:pt idx="2068">
                  <c:v>3/22/2023</c:v>
                </c:pt>
                <c:pt idx="2069">
                  <c:v>3/23/2023</c:v>
                </c:pt>
                <c:pt idx="2070">
                  <c:v>3/24/2023</c:v>
                </c:pt>
                <c:pt idx="2071">
                  <c:v>3/27/2023</c:v>
                </c:pt>
                <c:pt idx="2072">
                  <c:v>3/28/2023</c:v>
                </c:pt>
                <c:pt idx="2073">
                  <c:v>3/29/2023</c:v>
                </c:pt>
                <c:pt idx="2074">
                  <c:v>3/30/2023</c:v>
                </c:pt>
                <c:pt idx="2075">
                  <c:v>3/31/2023</c:v>
                </c:pt>
                <c:pt idx="2076">
                  <c:v>4/3/2023</c:v>
                </c:pt>
                <c:pt idx="2077">
                  <c:v>4/4/2023</c:v>
                </c:pt>
                <c:pt idx="2078">
                  <c:v>4/5/2023</c:v>
                </c:pt>
                <c:pt idx="2079">
                  <c:v>4/6/2023</c:v>
                </c:pt>
                <c:pt idx="2080">
                  <c:v>4/10/2023</c:v>
                </c:pt>
                <c:pt idx="2081">
                  <c:v>4/11/2023</c:v>
                </c:pt>
                <c:pt idx="2082">
                  <c:v>4/12/2023</c:v>
                </c:pt>
                <c:pt idx="2083">
                  <c:v>4/13/2023</c:v>
                </c:pt>
                <c:pt idx="2084">
                  <c:v>4/14/2023</c:v>
                </c:pt>
                <c:pt idx="2085">
                  <c:v>4/17/2023</c:v>
                </c:pt>
                <c:pt idx="2086">
                  <c:v>4/18/2023</c:v>
                </c:pt>
                <c:pt idx="2087">
                  <c:v>4/19/2023</c:v>
                </c:pt>
                <c:pt idx="2088">
                  <c:v>4/20/2023</c:v>
                </c:pt>
                <c:pt idx="2089">
                  <c:v>4/21/2023</c:v>
                </c:pt>
                <c:pt idx="2090">
                  <c:v>4/24/2023</c:v>
                </c:pt>
                <c:pt idx="2091">
                  <c:v>4/25/2023</c:v>
                </c:pt>
                <c:pt idx="2092">
                  <c:v>4/26/2023</c:v>
                </c:pt>
                <c:pt idx="2093">
                  <c:v>4/27/2023</c:v>
                </c:pt>
                <c:pt idx="2094">
                  <c:v>4/28/2023</c:v>
                </c:pt>
                <c:pt idx="2095">
                  <c:v>5/1/2023</c:v>
                </c:pt>
                <c:pt idx="2096">
                  <c:v>5/2/2023</c:v>
                </c:pt>
                <c:pt idx="2097">
                  <c:v>5/3/2023</c:v>
                </c:pt>
                <c:pt idx="2098">
                  <c:v>5/4/2023</c:v>
                </c:pt>
                <c:pt idx="2099">
                  <c:v>5/5/2023</c:v>
                </c:pt>
                <c:pt idx="2100">
                  <c:v>5/8/2023</c:v>
                </c:pt>
                <c:pt idx="2101">
                  <c:v>5/9/2023</c:v>
                </c:pt>
                <c:pt idx="2102">
                  <c:v>5/10/2023</c:v>
                </c:pt>
                <c:pt idx="2103">
                  <c:v>5/11/2023</c:v>
                </c:pt>
                <c:pt idx="2104">
                  <c:v>5/12/2023</c:v>
                </c:pt>
                <c:pt idx="2105">
                  <c:v>5/15/2023</c:v>
                </c:pt>
                <c:pt idx="2106">
                  <c:v>5/16/2023</c:v>
                </c:pt>
                <c:pt idx="2107">
                  <c:v>5/17/2023</c:v>
                </c:pt>
                <c:pt idx="2108">
                  <c:v>5/18/2023</c:v>
                </c:pt>
                <c:pt idx="2109">
                  <c:v>5/19/2023</c:v>
                </c:pt>
                <c:pt idx="2110">
                  <c:v>5/22/2023</c:v>
                </c:pt>
                <c:pt idx="2111">
                  <c:v>5/23/2023</c:v>
                </c:pt>
                <c:pt idx="2112">
                  <c:v>5/24/2023</c:v>
                </c:pt>
                <c:pt idx="2113">
                  <c:v>5/25/2023</c:v>
                </c:pt>
                <c:pt idx="2114">
                  <c:v>5/26/2023</c:v>
                </c:pt>
                <c:pt idx="2115">
                  <c:v>5/30/2023</c:v>
                </c:pt>
                <c:pt idx="2116">
                  <c:v>5/31/2023</c:v>
                </c:pt>
                <c:pt idx="2117">
                  <c:v>6/1/2023</c:v>
                </c:pt>
                <c:pt idx="2118">
                  <c:v>6/2/2023</c:v>
                </c:pt>
                <c:pt idx="2119">
                  <c:v>6/5/2023</c:v>
                </c:pt>
                <c:pt idx="2120">
                  <c:v>6/6/2023</c:v>
                </c:pt>
                <c:pt idx="2121">
                  <c:v>6/7/2023</c:v>
                </c:pt>
                <c:pt idx="2122">
                  <c:v>6/8/2023</c:v>
                </c:pt>
                <c:pt idx="2123">
                  <c:v>6/9/2023</c:v>
                </c:pt>
                <c:pt idx="2124">
                  <c:v>6/12/2023</c:v>
                </c:pt>
                <c:pt idx="2125">
                  <c:v>6/13/2023</c:v>
                </c:pt>
                <c:pt idx="2126">
                  <c:v>6/14/2023</c:v>
                </c:pt>
                <c:pt idx="2127">
                  <c:v>6/15/2023</c:v>
                </c:pt>
                <c:pt idx="2128">
                  <c:v>6/16/2023</c:v>
                </c:pt>
                <c:pt idx="2129">
                  <c:v>6/20/2023</c:v>
                </c:pt>
                <c:pt idx="2130">
                  <c:v>6/21/2023</c:v>
                </c:pt>
                <c:pt idx="2131">
                  <c:v>6/22/2023</c:v>
                </c:pt>
                <c:pt idx="2132">
                  <c:v>6/23/2023</c:v>
                </c:pt>
                <c:pt idx="2133">
                  <c:v>6/26/2023</c:v>
                </c:pt>
                <c:pt idx="2134">
                  <c:v>6/27/2023</c:v>
                </c:pt>
                <c:pt idx="2135">
                  <c:v>6/28/2023</c:v>
                </c:pt>
                <c:pt idx="2136">
                  <c:v>6/29/2023</c:v>
                </c:pt>
                <c:pt idx="2137">
                  <c:v>6/30/2023</c:v>
                </c:pt>
                <c:pt idx="2138">
                  <c:v>7/3/2023</c:v>
                </c:pt>
                <c:pt idx="2139">
                  <c:v>7/5/2023</c:v>
                </c:pt>
                <c:pt idx="2140">
                  <c:v>7/6/2023</c:v>
                </c:pt>
                <c:pt idx="2141">
                  <c:v>7/7/2023</c:v>
                </c:pt>
                <c:pt idx="2142">
                  <c:v>7/10/2023</c:v>
                </c:pt>
                <c:pt idx="2143">
                  <c:v>7/11/2023</c:v>
                </c:pt>
                <c:pt idx="2144">
                  <c:v>7/12/2023</c:v>
                </c:pt>
                <c:pt idx="2145">
                  <c:v>7/13/2023</c:v>
                </c:pt>
                <c:pt idx="2146">
                  <c:v>7/14/2023</c:v>
                </c:pt>
                <c:pt idx="2147">
                  <c:v>7/17/2023</c:v>
                </c:pt>
                <c:pt idx="2148">
                  <c:v>7/18/2023</c:v>
                </c:pt>
                <c:pt idx="2149">
                  <c:v>7/19/2023</c:v>
                </c:pt>
                <c:pt idx="2150">
                  <c:v>7/20/2023</c:v>
                </c:pt>
                <c:pt idx="2151">
                  <c:v>7/21/2023</c:v>
                </c:pt>
                <c:pt idx="2152">
                  <c:v>7/24/2023</c:v>
                </c:pt>
                <c:pt idx="2153">
                  <c:v>7/25/2023</c:v>
                </c:pt>
                <c:pt idx="2154">
                  <c:v>7/26/2023</c:v>
                </c:pt>
                <c:pt idx="2155">
                  <c:v>7/27/2023</c:v>
                </c:pt>
                <c:pt idx="2156">
                  <c:v>7/28/2023</c:v>
                </c:pt>
                <c:pt idx="2157">
                  <c:v>7/31/2023</c:v>
                </c:pt>
                <c:pt idx="2158">
                  <c:v>8/1/2023</c:v>
                </c:pt>
                <c:pt idx="2159">
                  <c:v>8/2/2023</c:v>
                </c:pt>
                <c:pt idx="2160">
                  <c:v>8/3/2023</c:v>
                </c:pt>
                <c:pt idx="2161">
                  <c:v>8/4/2023</c:v>
                </c:pt>
                <c:pt idx="2162">
                  <c:v>8/7/2023</c:v>
                </c:pt>
                <c:pt idx="2163">
                  <c:v>8/8/2023</c:v>
                </c:pt>
                <c:pt idx="2164">
                  <c:v>8/9/2023</c:v>
                </c:pt>
                <c:pt idx="2165">
                  <c:v>8/10/2023</c:v>
                </c:pt>
                <c:pt idx="2166">
                  <c:v>8/11/2023</c:v>
                </c:pt>
                <c:pt idx="2167">
                  <c:v>8/14/2023</c:v>
                </c:pt>
                <c:pt idx="2168">
                  <c:v>8/15/2023</c:v>
                </c:pt>
                <c:pt idx="2169">
                  <c:v>8/16/2023</c:v>
                </c:pt>
                <c:pt idx="2170">
                  <c:v>8/17/2023</c:v>
                </c:pt>
                <c:pt idx="2171">
                  <c:v>8/18/2023</c:v>
                </c:pt>
                <c:pt idx="2172">
                  <c:v>8/21/2023</c:v>
                </c:pt>
                <c:pt idx="2173">
                  <c:v>8/22/2023</c:v>
                </c:pt>
                <c:pt idx="2174">
                  <c:v>8/23/2023</c:v>
                </c:pt>
                <c:pt idx="2175">
                  <c:v>8/24/2023</c:v>
                </c:pt>
                <c:pt idx="2176">
                  <c:v>8/25/2023</c:v>
                </c:pt>
                <c:pt idx="2177">
                  <c:v>8/28/2023</c:v>
                </c:pt>
                <c:pt idx="2178">
                  <c:v>8/29/2023</c:v>
                </c:pt>
                <c:pt idx="2179">
                  <c:v>8/30/2023</c:v>
                </c:pt>
                <c:pt idx="2180">
                  <c:v>8/31/2023</c:v>
                </c:pt>
                <c:pt idx="2181">
                  <c:v>9/1/2023</c:v>
                </c:pt>
                <c:pt idx="2182">
                  <c:v>9/5/2023</c:v>
                </c:pt>
                <c:pt idx="2183">
                  <c:v>9/6/2023</c:v>
                </c:pt>
                <c:pt idx="2184">
                  <c:v>9/7/2023</c:v>
                </c:pt>
                <c:pt idx="2185">
                  <c:v>9/8/2023</c:v>
                </c:pt>
                <c:pt idx="2186">
                  <c:v>9/11/2023</c:v>
                </c:pt>
                <c:pt idx="2187">
                  <c:v>9/12/2023</c:v>
                </c:pt>
                <c:pt idx="2188">
                  <c:v>9/13/2023</c:v>
                </c:pt>
                <c:pt idx="2189">
                  <c:v>9/14/2023</c:v>
                </c:pt>
                <c:pt idx="2190">
                  <c:v>9/15/2023</c:v>
                </c:pt>
                <c:pt idx="2191">
                  <c:v>9/18/2023</c:v>
                </c:pt>
                <c:pt idx="2192">
                  <c:v>9/19/2023</c:v>
                </c:pt>
                <c:pt idx="2193">
                  <c:v>9/20/2023</c:v>
                </c:pt>
                <c:pt idx="2194">
                  <c:v>9/21/2023</c:v>
                </c:pt>
                <c:pt idx="2195">
                  <c:v>9/22/2023</c:v>
                </c:pt>
                <c:pt idx="2196">
                  <c:v>9/25/2023</c:v>
                </c:pt>
                <c:pt idx="2197">
                  <c:v>9/26/2023</c:v>
                </c:pt>
                <c:pt idx="2198">
                  <c:v>9/27/2023</c:v>
                </c:pt>
                <c:pt idx="2199">
                  <c:v>9/28/2023</c:v>
                </c:pt>
                <c:pt idx="2200">
                  <c:v>9/29/2023</c:v>
                </c:pt>
                <c:pt idx="2201">
                  <c:v>10/2/2023</c:v>
                </c:pt>
                <c:pt idx="2202">
                  <c:v>10/3/2023</c:v>
                </c:pt>
                <c:pt idx="2203">
                  <c:v>10/4/2023</c:v>
                </c:pt>
                <c:pt idx="2204">
                  <c:v>10/5/2023</c:v>
                </c:pt>
                <c:pt idx="2205">
                  <c:v>10/6/2023</c:v>
                </c:pt>
                <c:pt idx="2206">
                  <c:v>10/9/2023</c:v>
                </c:pt>
                <c:pt idx="2207">
                  <c:v>10/10/2023</c:v>
                </c:pt>
                <c:pt idx="2208">
                  <c:v>10/11/2023</c:v>
                </c:pt>
                <c:pt idx="2209">
                  <c:v>10/12/2023</c:v>
                </c:pt>
                <c:pt idx="2210">
                  <c:v>10/13/2023</c:v>
                </c:pt>
                <c:pt idx="2211">
                  <c:v>10/16/2023</c:v>
                </c:pt>
                <c:pt idx="2212">
                  <c:v>10/17/2023</c:v>
                </c:pt>
                <c:pt idx="2213">
                  <c:v>10/18/2023</c:v>
                </c:pt>
                <c:pt idx="2214">
                  <c:v>10/19/2023</c:v>
                </c:pt>
                <c:pt idx="2215">
                  <c:v>10/20/2023</c:v>
                </c:pt>
                <c:pt idx="2216">
                  <c:v>10/23/2023</c:v>
                </c:pt>
                <c:pt idx="2217">
                  <c:v>10/24/2023</c:v>
                </c:pt>
                <c:pt idx="2218">
                  <c:v>10/25/2023</c:v>
                </c:pt>
                <c:pt idx="2219">
                  <c:v>10/26/2023</c:v>
                </c:pt>
                <c:pt idx="2220">
                  <c:v>10/27/2023</c:v>
                </c:pt>
                <c:pt idx="2221">
                  <c:v>10/30/2023</c:v>
                </c:pt>
                <c:pt idx="2222">
                  <c:v>10/31/2023</c:v>
                </c:pt>
              </c:strCache>
            </c:strRef>
          </c:cat>
          <c:val>
            <c:numRef>
              <c:f>price_data!$B$1</c:f>
              <c:numCache>
                <c:formatCode>#,##0.00</c:formatCode>
                <c:ptCount val="2223"/>
                <c:pt idx="0">
                  <c:v>12.177472114562988</c:v>
                </c:pt>
                <c:pt idx="1">
                  <c:v>11.762227058410645</c:v>
                </c:pt>
                <c:pt idx="2">
                  <c:v>11.491621017456055</c:v>
                </c:pt>
                <c:pt idx="3">
                  <c:v>11.612923622131348</c:v>
                </c:pt>
                <c:pt idx="4">
                  <c:v>11.89753246307373</c:v>
                </c:pt>
                <c:pt idx="5">
                  <c:v>11.948855400085449</c:v>
                </c:pt>
                <c:pt idx="6">
                  <c:v>11.990847587585449</c:v>
                </c:pt>
                <c:pt idx="7">
                  <c:v>12.018839836120605</c:v>
                </c:pt>
                <c:pt idx="8">
                  <c:v>11.93952465057373</c:v>
                </c:pt>
                <c:pt idx="9">
                  <c:v>11.832213401794434</c:v>
                </c:pt>
                <c:pt idx="10">
                  <c:v>12.004842758178711</c:v>
                </c:pt>
                <c:pt idx="11">
                  <c:v>12.121488571166992</c:v>
                </c:pt>
                <c:pt idx="12">
                  <c:v>12.247459411621094</c:v>
                </c:pt>
                <c:pt idx="13">
                  <c:v>12.429423332214355</c:v>
                </c:pt>
                <c:pt idx="14">
                  <c:v>12.317445755004883</c:v>
                </c:pt>
                <c:pt idx="15">
                  <c:v>12.182145118713379</c:v>
                </c:pt>
                <c:pt idx="16">
                  <c:v>12.037508010864258</c:v>
                </c:pt>
                <c:pt idx="17">
                  <c:v>11.734232902526855</c:v>
                </c:pt>
                <c:pt idx="18">
                  <c:v>11.580267906188965</c:v>
                </c:pt>
                <c:pt idx="19">
                  <c:v>11.272331237792969</c:v>
                </c:pt>
                <c:pt idx="20">
                  <c:v>11.370309829711914</c:v>
                </c:pt>
                <c:pt idx="21">
                  <c:v>11.314322471618652</c:v>
                </c:pt>
                <c:pt idx="22">
                  <c:v>11.533610343933105</c:v>
                </c:pt>
                <c:pt idx="23">
                  <c:v>11.659582138061523</c:v>
                </c:pt>
                <c:pt idx="24">
                  <c:v>11.790225028991699</c:v>
                </c:pt>
                <c:pt idx="25">
                  <c:v>11.584932327270508</c:v>
                </c:pt>
                <c:pt idx="26">
                  <c:v>11.575600624084473</c:v>
                </c:pt>
                <c:pt idx="27">
                  <c:v>11.598929405212402</c:v>
                </c:pt>
                <c:pt idx="28">
                  <c:v>12.457415580749512</c:v>
                </c:pt>
                <c:pt idx="29">
                  <c:v>12.676703453063965</c:v>
                </c:pt>
                <c:pt idx="30">
                  <c:v>12.714032173156738</c:v>
                </c:pt>
                <c:pt idx="31">
                  <c:v>12.826005935668945</c:v>
                </c:pt>
                <c:pt idx="32">
                  <c:v>12.864124298095703</c:v>
                </c:pt>
                <c:pt idx="33">
                  <c:v>12.94511890411377</c:v>
                </c:pt>
                <c:pt idx="34">
                  <c:v>12.840302467346191</c:v>
                </c:pt>
                <c:pt idx="35">
                  <c:v>12.959413528442383</c:v>
                </c:pt>
                <c:pt idx="36">
                  <c:v>13.08328914642334</c:v>
                </c:pt>
                <c:pt idx="37">
                  <c:v>13.521623611450195</c:v>
                </c:pt>
                <c:pt idx="38">
                  <c:v>13.645500183105469</c:v>
                </c:pt>
                <c:pt idx="39">
                  <c:v>13.826552391052246</c:v>
                </c:pt>
                <c:pt idx="40">
                  <c:v>13.755083084106445</c:v>
                </c:pt>
                <c:pt idx="41">
                  <c:v>13.57879638671875</c:v>
                </c:pt>
                <c:pt idx="42">
                  <c:v>13.616917610168457</c:v>
                </c:pt>
                <c:pt idx="43">
                  <c:v>13.497797966003418</c:v>
                </c:pt>
                <c:pt idx="44">
                  <c:v>13.43586254119873</c:v>
                </c:pt>
                <c:pt idx="45">
                  <c:v>13.364397048950195</c:v>
                </c:pt>
                <c:pt idx="46">
                  <c:v>13.464447975158691</c:v>
                </c:pt>
                <c:pt idx="47">
                  <c:v>13.459683418273926</c:v>
                </c:pt>
                <c:pt idx="48">
                  <c:v>13.574029922485352</c:v>
                </c:pt>
                <c:pt idx="49">
                  <c:v>14.04095458984375</c:v>
                </c:pt>
                <c:pt idx="50">
                  <c:v>13.912315368652344</c:v>
                </c:pt>
                <c:pt idx="51">
                  <c:v>14.469757080078125</c:v>
                </c:pt>
                <c:pt idx="52">
                  <c:v>14.512639045715332</c:v>
                </c:pt>
                <c:pt idx="53">
                  <c:v>14.736568450927734</c:v>
                </c:pt>
                <c:pt idx="54">
                  <c:v>14.536460876464844</c:v>
                </c:pt>
                <c:pt idx="55">
                  <c:v>14.283941268920898</c:v>
                </c:pt>
                <c:pt idx="56">
                  <c:v>14.345876693725586</c:v>
                </c:pt>
                <c:pt idx="57">
                  <c:v>14.374464988708496</c:v>
                </c:pt>
                <c:pt idx="58">
                  <c:v>14.488810539245605</c:v>
                </c:pt>
                <c:pt idx="59">
                  <c:v>14.703214645385742</c:v>
                </c:pt>
                <c:pt idx="60">
                  <c:v>14.707980155944824</c:v>
                </c:pt>
                <c:pt idx="61">
                  <c:v>14.736568450927734</c:v>
                </c:pt>
                <c:pt idx="62">
                  <c:v>14.722277641296387</c:v>
                </c:pt>
                <c:pt idx="63">
                  <c:v>14.55075740814209</c:v>
                </c:pt>
                <c:pt idx="64">
                  <c:v>14.450698852539063</c:v>
                </c:pt>
                <c:pt idx="65">
                  <c:v>14.688922882080078</c:v>
                </c:pt>
                <c:pt idx="66">
                  <c:v>14.793741226196289</c:v>
                </c:pt>
                <c:pt idx="67">
                  <c:v>14.922386169433594</c:v>
                </c:pt>
                <c:pt idx="68">
                  <c:v>14.912856101989746</c:v>
                </c:pt>
                <c:pt idx="69">
                  <c:v>15.122492790222168</c:v>
                </c:pt>
                <c:pt idx="70">
                  <c:v>15.151080131530762</c:v>
                </c:pt>
                <c:pt idx="71">
                  <c:v>15.184427261352539</c:v>
                </c:pt>
                <c:pt idx="72">
                  <c:v>14.917618751525879</c:v>
                </c:pt>
                <c:pt idx="73">
                  <c:v>15.051022529602051</c:v>
                </c:pt>
                <c:pt idx="74">
                  <c:v>14.898565292358398</c:v>
                </c:pt>
                <c:pt idx="75">
                  <c:v>14.950969696044922</c:v>
                </c:pt>
                <c:pt idx="76">
                  <c:v>15.122492790222168</c:v>
                </c:pt>
                <c:pt idx="77">
                  <c:v>15.098668098449707</c:v>
                </c:pt>
                <c:pt idx="78">
                  <c:v>14.908088684082031</c:v>
                </c:pt>
                <c:pt idx="79">
                  <c:v>14.936673164367676</c:v>
                </c:pt>
                <c:pt idx="80">
                  <c:v>14.817560195922852</c:v>
                </c:pt>
                <c:pt idx="81">
                  <c:v>14.936673164367676</c:v>
                </c:pt>
                <c:pt idx="82">
                  <c:v>15.270195007324219</c:v>
                </c:pt>
                <c:pt idx="83">
                  <c:v>15.436949729919434</c:v>
                </c:pt>
                <c:pt idx="84">
                  <c:v>15.151080131530762</c:v>
                </c:pt>
                <c:pt idx="85">
                  <c:v>15.022434234619141</c:v>
                </c:pt>
                <c:pt idx="86">
                  <c:v>15.143275260925293</c:v>
                </c:pt>
                <c:pt idx="87">
                  <c:v>15.06594181060791</c:v>
                </c:pt>
                <c:pt idx="88">
                  <c:v>14.746928215026855</c:v>
                </c:pt>
                <c:pt idx="89">
                  <c:v>14.775930404663086</c:v>
                </c:pt>
                <c:pt idx="90">
                  <c:v>14.645424842834473</c:v>
                </c:pt>
                <c:pt idx="91">
                  <c:v>14.858097076416016</c:v>
                </c:pt>
                <c:pt idx="92">
                  <c:v>14.862933158874512</c:v>
                </c:pt>
                <c:pt idx="93">
                  <c:v>15.075607299804688</c:v>
                </c:pt>
                <c:pt idx="94">
                  <c:v>15.307614326477051</c:v>
                </c:pt>
                <c:pt idx="95">
                  <c:v>15.288276672363281</c:v>
                </c:pt>
                <c:pt idx="96">
                  <c:v>15.341445922851563</c:v>
                </c:pt>
                <c:pt idx="97">
                  <c:v>15.38011646270752</c:v>
                </c:pt>
                <c:pt idx="98">
                  <c:v>15.293110847473145</c:v>
                </c:pt>
                <c:pt idx="99">
                  <c:v>15.254440307617188</c:v>
                </c:pt>
                <c:pt idx="100">
                  <c:v>15.384944915771484</c:v>
                </c:pt>
                <c:pt idx="101">
                  <c:v>15.157774925231934</c:v>
                </c:pt>
                <c:pt idx="102">
                  <c:v>15.384944915771484</c:v>
                </c:pt>
                <c:pt idx="103">
                  <c:v>15.17711067199707</c:v>
                </c:pt>
                <c:pt idx="104">
                  <c:v>15.326947212219238</c:v>
                </c:pt>
                <c:pt idx="105">
                  <c:v>15.123944282531738</c:v>
                </c:pt>
                <c:pt idx="106">
                  <c:v>15.254440307617188</c:v>
                </c:pt>
                <c:pt idx="107">
                  <c:v>14.79042911529541</c:v>
                </c:pt>
                <c:pt idx="108">
                  <c:v>14.336081504821777</c:v>
                </c:pt>
                <c:pt idx="109">
                  <c:v>14.58742618560791</c:v>
                </c:pt>
                <c:pt idx="110">
                  <c:v>14.978934288024902</c:v>
                </c:pt>
                <c:pt idx="111">
                  <c:v>15.017600059509277</c:v>
                </c:pt>
                <c:pt idx="112">
                  <c:v>14.785595893859863</c:v>
                </c:pt>
                <c:pt idx="113">
                  <c:v>14.983768463134766</c:v>
                </c:pt>
                <c:pt idx="114">
                  <c:v>14.872600555419922</c:v>
                </c:pt>
                <c:pt idx="115">
                  <c:v>14.92577075958252</c:v>
                </c:pt>
                <c:pt idx="116">
                  <c:v>14.819429397583008</c:v>
                </c:pt>
                <c:pt idx="117">
                  <c:v>14.703427314758301</c:v>
                </c:pt>
                <c:pt idx="118">
                  <c:v>14.500421524047852</c:v>
                </c:pt>
                <c:pt idx="119">
                  <c:v>14.427920341491699</c:v>
                </c:pt>
                <c:pt idx="120">
                  <c:v>14.065409660339355</c:v>
                </c:pt>
                <c:pt idx="121">
                  <c:v>14.543922424316406</c:v>
                </c:pt>
                <c:pt idx="122">
                  <c:v>14.07024097442627</c:v>
                </c:pt>
                <c:pt idx="123">
                  <c:v>14.273252487182617</c:v>
                </c:pt>
                <c:pt idx="124">
                  <c:v>14.282915115356445</c:v>
                </c:pt>
                <c:pt idx="125">
                  <c:v>14.162075042724609</c:v>
                </c:pt>
                <c:pt idx="126">
                  <c:v>14.157244682312012</c:v>
                </c:pt>
                <c:pt idx="127">
                  <c:v>14.094413757324219</c:v>
                </c:pt>
                <c:pt idx="128">
                  <c:v>13.87690544128418</c:v>
                </c:pt>
                <c:pt idx="129">
                  <c:v>13.881738662719727</c:v>
                </c:pt>
                <c:pt idx="130">
                  <c:v>13.97357177734375</c:v>
                </c:pt>
                <c:pt idx="131">
                  <c:v>13.939736366271973</c:v>
                </c:pt>
                <c:pt idx="132">
                  <c:v>13.644896507263184</c:v>
                </c:pt>
                <c:pt idx="133">
                  <c:v>13.354889869689941</c:v>
                </c:pt>
                <c:pt idx="134">
                  <c:v>13.683564186096191</c:v>
                </c:pt>
                <c:pt idx="135">
                  <c:v>13.775398254394531</c:v>
                </c:pt>
                <c:pt idx="136">
                  <c:v>13.712568283081055</c:v>
                </c:pt>
                <c:pt idx="137">
                  <c:v>13.775398254394531</c:v>
                </c:pt>
                <c:pt idx="138">
                  <c:v>13.504725456237793</c:v>
                </c:pt>
                <c:pt idx="139">
                  <c:v>13.311385154724121</c:v>
                </c:pt>
                <c:pt idx="140">
                  <c:v>12.79903507232666</c:v>
                </c:pt>
                <c:pt idx="141">
                  <c:v>12.929542541503906</c:v>
                </c:pt>
                <c:pt idx="142">
                  <c:v>13.176051139831543</c:v>
                </c:pt>
                <c:pt idx="143">
                  <c:v>13.253387451171875</c:v>
                </c:pt>
                <c:pt idx="144">
                  <c:v>13.13737964630127</c:v>
                </c:pt>
                <c:pt idx="145">
                  <c:v>13.27755069732666</c:v>
                </c:pt>
                <c:pt idx="146">
                  <c:v>13.615898132324219</c:v>
                </c:pt>
                <c:pt idx="147">
                  <c:v>14.026742935180664</c:v>
                </c:pt>
                <c:pt idx="148">
                  <c:v>13.71739673614502</c:v>
                </c:pt>
                <c:pt idx="149">
                  <c:v>13.545315742492676</c:v>
                </c:pt>
                <c:pt idx="150">
                  <c:v>13.796064376831055</c:v>
                </c:pt>
                <c:pt idx="151">
                  <c:v>14.150062561035156</c:v>
                </c:pt>
                <c:pt idx="152">
                  <c:v>13.938647270202637</c:v>
                </c:pt>
                <c:pt idx="153">
                  <c:v>13.71739673614502</c:v>
                </c:pt>
                <c:pt idx="154">
                  <c:v>13.859981536865234</c:v>
                </c:pt>
                <c:pt idx="155">
                  <c:v>14.061561584472656</c:v>
                </c:pt>
                <c:pt idx="156">
                  <c:v>14.194314956665039</c:v>
                </c:pt>
                <c:pt idx="157">
                  <c:v>13.918980598449707</c:v>
                </c:pt>
                <c:pt idx="158">
                  <c:v>13.786235809326172</c:v>
                </c:pt>
                <c:pt idx="159">
                  <c:v>13.427318572998047</c:v>
                </c:pt>
                <c:pt idx="160">
                  <c:v>12.837324142456055</c:v>
                </c:pt>
                <c:pt idx="161">
                  <c:v>12.380073547363281</c:v>
                </c:pt>
                <c:pt idx="162">
                  <c:v>12.498073577880859</c:v>
                </c:pt>
                <c:pt idx="163">
                  <c:v>13.019232749938965</c:v>
                </c:pt>
                <c:pt idx="164">
                  <c:v>13.324068069458008</c:v>
                </c:pt>
                <c:pt idx="165">
                  <c:v>13.432231903076172</c:v>
                </c:pt>
                <c:pt idx="166">
                  <c:v>13.442066192626953</c:v>
                </c:pt>
                <c:pt idx="167">
                  <c:v>12.876656532287598</c:v>
                </c:pt>
                <c:pt idx="168">
                  <c:v>12.807823181152344</c:v>
                </c:pt>
                <c:pt idx="169">
                  <c:v>12.635739326477051</c:v>
                </c:pt>
                <c:pt idx="170">
                  <c:v>12.458739280700684</c:v>
                </c:pt>
                <c:pt idx="171">
                  <c:v>13.004487991333008</c:v>
                </c:pt>
                <c:pt idx="172">
                  <c:v>13.0093994140625</c:v>
                </c:pt>
                <c:pt idx="173">
                  <c:v>12.940567970275879</c:v>
                </c:pt>
                <c:pt idx="174">
                  <c:v>12.950404167175293</c:v>
                </c:pt>
                <c:pt idx="175">
                  <c:v>13.196234703063965</c:v>
                </c:pt>
                <c:pt idx="176">
                  <c:v>13.42240047454834</c:v>
                </c:pt>
                <c:pt idx="177">
                  <c:v>13.39781665802002</c:v>
                </c:pt>
                <c:pt idx="178">
                  <c:v>13.530566215515137</c:v>
                </c:pt>
                <c:pt idx="179">
                  <c:v>13.053652763366699</c:v>
                </c:pt>
                <c:pt idx="180">
                  <c:v>13.269983291625977</c:v>
                </c:pt>
                <c:pt idx="181">
                  <c:v>13.063486099243164</c:v>
                </c:pt>
                <c:pt idx="182">
                  <c:v>13.029071807861328</c:v>
                </c:pt>
                <c:pt idx="183">
                  <c:v>12.915988922119141</c:v>
                </c:pt>
                <c:pt idx="184">
                  <c:v>12.930742263793945</c:v>
                </c:pt>
                <c:pt idx="185">
                  <c:v>12.616070747375488</c:v>
                </c:pt>
                <c:pt idx="186">
                  <c:v>12.768489837646484</c:v>
                </c:pt>
                <c:pt idx="187">
                  <c:v>13.078235626220703</c:v>
                </c:pt>
                <c:pt idx="188">
                  <c:v>12.576742172241211</c:v>
                </c:pt>
                <c:pt idx="189">
                  <c:v>12.734070777893066</c:v>
                </c:pt>
                <c:pt idx="190">
                  <c:v>13.058565139770508</c:v>
                </c:pt>
                <c:pt idx="191">
                  <c:v>13.083152770996094</c:v>
                </c:pt>
                <c:pt idx="192">
                  <c:v>13.161821365356445</c:v>
                </c:pt>
                <c:pt idx="193">
                  <c:v>13.171655654907227</c:v>
                </c:pt>
                <c:pt idx="194">
                  <c:v>13.137235641479492</c:v>
                </c:pt>
                <c:pt idx="195">
                  <c:v>13.117573738098145</c:v>
                </c:pt>
                <c:pt idx="196">
                  <c:v>13.033989906311035</c:v>
                </c:pt>
                <c:pt idx="197">
                  <c:v>12.84715461730957</c:v>
                </c:pt>
                <c:pt idx="198">
                  <c:v>13.230656623840332</c:v>
                </c:pt>
                <c:pt idx="199">
                  <c:v>13.319150924682617</c:v>
                </c:pt>
                <c:pt idx="200">
                  <c:v>13.048735618591309</c:v>
                </c:pt>
                <c:pt idx="201">
                  <c:v>13.029071807861328</c:v>
                </c:pt>
                <c:pt idx="202">
                  <c:v>12.974987030029297</c:v>
                </c:pt>
                <c:pt idx="203">
                  <c:v>13.432231903076172</c:v>
                </c:pt>
                <c:pt idx="204">
                  <c:v>13.476483345031738</c:v>
                </c:pt>
                <c:pt idx="205">
                  <c:v>13.358486175537109</c:v>
                </c:pt>
                <c:pt idx="206">
                  <c:v>13.147068977355957</c:v>
                </c:pt>
                <c:pt idx="207">
                  <c:v>13.132316589355469</c:v>
                </c:pt>
                <c:pt idx="208">
                  <c:v>12.937434196472168</c:v>
                </c:pt>
                <c:pt idx="209">
                  <c:v>12.862481117248535</c:v>
                </c:pt>
                <c:pt idx="210">
                  <c:v>12.802511215209961</c:v>
                </c:pt>
                <c:pt idx="211">
                  <c:v>12.757538795471191</c:v>
                </c:pt>
                <c:pt idx="212">
                  <c:v>12.66759204864502</c:v>
                </c:pt>
                <c:pt idx="213">
                  <c:v>12.642608642578125</c:v>
                </c:pt>
                <c:pt idx="214">
                  <c:v>12.687577247619629</c:v>
                </c:pt>
                <c:pt idx="215">
                  <c:v>12.562651634216309</c:v>
                </c:pt>
                <c:pt idx="216">
                  <c:v>12.577645301818848</c:v>
                </c:pt>
                <c:pt idx="217">
                  <c:v>12.547662734985352</c:v>
                </c:pt>
                <c:pt idx="218">
                  <c:v>12.492693901062012</c:v>
                </c:pt>
                <c:pt idx="219">
                  <c:v>12.252833366394043</c:v>
                </c:pt>
                <c:pt idx="220">
                  <c:v>12.43272876739502</c:v>
                </c:pt>
                <c:pt idx="221">
                  <c:v>12.177879333496094</c:v>
                </c:pt>
                <c:pt idx="222">
                  <c:v>12.327789306640625</c:v>
                </c:pt>
                <c:pt idx="223">
                  <c:v>12.762535095214844</c:v>
                </c:pt>
                <c:pt idx="224">
                  <c:v>12.892460823059082</c:v>
                </c:pt>
                <c:pt idx="225">
                  <c:v>12.927438735961914</c:v>
                </c:pt>
                <c:pt idx="226">
                  <c:v>12.887465476989746</c:v>
                </c:pt>
                <c:pt idx="227">
                  <c:v>12.887465476989746</c:v>
                </c:pt>
                <c:pt idx="228">
                  <c:v>12.682584762573242</c:v>
                </c:pt>
                <c:pt idx="229">
                  <c:v>12.242837905883789</c:v>
                </c:pt>
                <c:pt idx="230">
                  <c:v>12.022966384887695</c:v>
                </c:pt>
                <c:pt idx="231">
                  <c:v>11.698161125183105</c:v>
                </c:pt>
                <c:pt idx="232">
                  <c:v>11.943016052246094</c:v>
                </c:pt>
                <c:pt idx="233">
                  <c:v>12.177879333496094</c:v>
                </c:pt>
                <c:pt idx="234">
                  <c:v>11.918027877807617</c:v>
                </c:pt>
                <c:pt idx="235">
                  <c:v>11.598217010498047</c:v>
                </c:pt>
                <c:pt idx="236">
                  <c:v>11.858062744140625</c:v>
                </c:pt>
                <c:pt idx="237">
                  <c:v>12.147892951965332</c:v>
                </c:pt>
                <c:pt idx="238">
                  <c:v>11.503273963928223</c:v>
                </c:pt>
                <c:pt idx="239">
                  <c:v>10.698742866516113</c:v>
                </c:pt>
                <c:pt idx="240">
                  <c:v>10.993568420410156</c:v>
                </c:pt>
                <c:pt idx="241">
                  <c:v>11.578226089477539</c:v>
                </c:pt>
                <c:pt idx="242">
                  <c:v>11.63819408416748</c:v>
                </c:pt>
                <c:pt idx="243">
                  <c:v>11.63819408416748</c:v>
                </c:pt>
                <c:pt idx="244">
                  <c:v>11.958006858825684</c:v>
                </c:pt>
                <c:pt idx="245">
                  <c:v>12.162885665893555</c:v>
                </c:pt>
                <c:pt idx="246">
                  <c:v>12.442719459533691</c:v>
                </c:pt>
                <c:pt idx="247">
                  <c:v>12.422734260559082</c:v>
                </c:pt>
                <c:pt idx="248">
                  <c:v>12.267823219299316</c:v>
                </c:pt>
                <c:pt idx="249">
                  <c:v>12.337784767150879</c:v>
                </c:pt>
                <c:pt idx="250">
                  <c:v>12.247835159301758</c:v>
                </c:pt>
                <c:pt idx="251">
                  <c:v>11.918027877807617</c:v>
                </c:pt>
                <c:pt idx="252">
                  <c:v>11.813091278076172</c:v>
                </c:pt>
                <c:pt idx="253">
                  <c:v>11.543249130249023</c:v>
                </c:pt>
                <c:pt idx="254">
                  <c:v>11.478285789489746</c:v>
                </c:pt>
                <c:pt idx="255">
                  <c:v>11.218441009521484</c:v>
                </c:pt>
                <c:pt idx="256">
                  <c:v>10.908618927001953</c:v>
                </c:pt>
                <c:pt idx="257">
                  <c:v>10.298976898193359</c:v>
                </c:pt>
                <c:pt idx="258">
                  <c:v>10.493864059448242</c:v>
                </c:pt>
                <c:pt idx="259">
                  <c:v>9.8942136764526367</c:v>
                </c:pt>
                <c:pt idx="260">
                  <c:v>10.089099884033203</c:v>
                </c:pt>
                <c:pt idx="261">
                  <c:v>9.7193164825439453</c:v>
                </c:pt>
                <c:pt idx="262">
                  <c:v>9.3295431137084961</c:v>
                </c:pt>
                <c:pt idx="263">
                  <c:v>9.0696945190429688</c:v>
                </c:pt>
                <c:pt idx="264">
                  <c:v>9.2895660400390625</c:v>
                </c:pt>
                <c:pt idx="265">
                  <c:v>9.869227409362793</c:v>
                </c:pt>
                <c:pt idx="266">
                  <c:v>9.5144367218017578</c:v>
                </c:pt>
                <c:pt idx="267">
                  <c:v>9.5294275283813477</c:v>
                </c:pt>
                <c:pt idx="268">
                  <c:v>9.3295431137084961</c:v>
                </c:pt>
                <c:pt idx="269">
                  <c:v>9.1146707534790039</c:v>
                </c:pt>
                <c:pt idx="270">
                  <c:v>9.2146129608154297</c:v>
                </c:pt>
                <c:pt idx="271">
                  <c:v>9.4045009613037109</c:v>
                </c:pt>
                <c:pt idx="272">
                  <c:v>8.9797487258911133</c:v>
                </c:pt>
                <c:pt idx="273">
                  <c:v>9.0497093200683594</c:v>
                </c:pt>
                <c:pt idx="274">
                  <c:v>9.0297183990478516</c:v>
                </c:pt>
                <c:pt idx="275">
                  <c:v>9.0197210311889648</c:v>
                </c:pt>
                <c:pt idx="276">
                  <c:v>8.3950891494750977</c:v>
                </c:pt>
                <c:pt idx="277">
                  <c:v>8.6299533843994141</c:v>
                </c:pt>
                <c:pt idx="278">
                  <c:v>8.6349506378173828</c:v>
                </c:pt>
                <c:pt idx="279">
                  <c:v>8.4550561904907227</c:v>
                </c:pt>
                <c:pt idx="280">
                  <c:v>8.6499404907226563</c:v>
                </c:pt>
                <c:pt idx="281">
                  <c:v>9.2445926666259766</c:v>
                </c:pt>
                <c:pt idx="282">
                  <c:v>9.4944477081298828</c:v>
                </c:pt>
                <c:pt idx="283">
                  <c:v>9.7664508819580078</c:v>
                </c:pt>
                <c:pt idx="284">
                  <c:v>9.5970897674560547</c:v>
                </c:pt>
                <c:pt idx="285">
                  <c:v>9.6740732192993164</c:v>
                </c:pt>
                <c:pt idx="286">
                  <c:v>9.5611629486083984</c:v>
                </c:pt>
                <c:pt idx="287">
                  <c:v>9.7099971771240234</c:v>
                </c:pt>
                <c:pt idx="288">
                  <c:v>9.8485660552978516</c:v>
                </c:pt>
                <c:pt idx="289">
                  <c:v>10.017927169799805</c:v>
                </c:pt>
                <c:pt idx="290">
                  <c:v>10.151362419128418</c:v>
                </c:pt>
                <c:pt idx="291">
                  <c:v>10.351515769958496</c:v>
                </c:pt>
                <c:pt idx="292">
                  <c:v>10.577326774597168</c:v>
                </c:pt>
                <c:pt idx="293">
                  <c:v>10.916048049926758</c:v>
                </c:pt>
                <c:pt idx="294">
                  <c:v>11.064879417419434</c:v>
                </c:pt>
                <c:pt idx="295">
                  <c:v>11.146993637084961</c:v>
                </c:pt>
                <c:pt idx="296">
                  <c:v>11.111067771911621</c:v>
                </c:pt>
                <c:pt idx="297">
                  <c:v>11.311225891113281</c:v>
                </c:pt>
                <c:pt idx="298">
                  <c:v>11.290694236755371</c:v>
                </c:pt>
                <c:pt idx="299">
                  <c:v>11.42413330078125</c:v>
                </c:pt>
                <c:pt idx="300">
                  <c:v>11.377939224243164</c:v>
                </c:pt>
                <c:pt idx="301">
                  <c:v>11.162392616271973</c:v>
                </c:pt>
                <c:pt idx="302">
                  <c:v>11.562698364257813</c:v>
                </c:pt>
                <c:pt idx="303">
                  <c:v>11.855232238769531</c:v>
                </c:pt>
                <c:pt idx="304">
                  <c:v>11.993797302246094</c:v>
                </c:pt>
                <c:pt idx="305">
                  <c:v>11.737188339233398</c:v>
                </c:pt>
                <c:pt idx="306">
                  <c:v>11.665340423583984</c:v>
                </c:pt>
                <c:pt idx="307">
                  <c:v>11.418996810913086</c:v>
                </c:pt>
                <c:pt idx="308">
                  <c:v>11.42926025390625</c:v>
                </c:pt>
                <c:pt idx="309">
                  <c:v>11.562698364257813</c:v>
                </c:pt>
                <c:pt idx="310">
                  <c:v>11.649946212768555</c:v>
                </c:pt>
                <c:pt idx="311">
                  <c:v>11.511375427246094</c:v>
                </c:pt>
                <c:pt idx="312">
                  <c:v>12.024591445922852</c:v>
                </c:pt>
                <c:pt idx="313">
                  <c:v>12.517274856567383</c:v>
                </c:pt>
                <c:pt idx="314">
                  <c:v>12.383837699890137</c:v>
                </c:pt>
                <c:pt idx="315">
                  <c:v>12.322253227233887</c:v>
                </c:pt>
                <c:pt idx="316">
                  <c:v>12.322253227233887</c:v>
                </c:pt>
                <c:pt idx="317">
                  <c:v>11.988664627075195</c:v>
                </c:pt>
                <c:pt idx="318">
                  <c:v>12.091307640075684</c:v>
                </c:pt>
                <c:pt idx="319">
                  <c:v>12.22474193572998</c:v>
                </c:pt>
                <c:pt idx="320">
                  <c:v>12.152894973754883</c:v>
                </c:pt>
                <c:pt idx="321">
                  <c:v>12.214476585388184</c:v>
                </c:pt>
                <c:pt idx="322">
                  <c:v>12.178553581237793</c:v>
                </c:pt>
                <c:pt idx="323">
                  <c:v>12.152894973754883</c:v>
                </c:pt>
                <c:pt idx="324">
                  <c:v>12.024591445922852</c:v>
                </c:pt>
                <c:pt idx="325">
                  <c:v>12.342782020568848</c:v>
                </c:pt>
                <c:pt idx="326">
                  <c:v>12.532669067382813</c:v>
                </c:pt>
                <c:pt idx="327">
                  <c:v>12.378706932067871</c:v>
                </c:pt>
                <c:pt idx="328">
                  <c:v>12.486483573913574</c:v>
                </c:pt>
                <c:pt idx="329">
                  <c:v>12.522405624389648</c:v>
                </c:pt>
                <c:pt idx="330">
                  <c:v>12.460820198059082</c:v>
                </c:pt>
                <c:pt idx="331">
                  <c:v>12.558332443237305</c:v>
                </c:pt>
                <c:pt idx="332">
                  <c:v>12.086175918579102</c:v>
                </c:pt>
                <c:pt idx="333">
                  <c:v>12.05538272857666</c:v>
                </c:pt>
                <c:pt idx="334">
                  <c:v>12.235010147094727</c:v>
                </c:pt>
                <c:pt idx="335">
                  <c:v>11.752590179443359</c:v>
                </c:pt>
                <c:pt idx="336">
                  <c:v>11.829568862915039</c:v>
                </c:pt>
                <c:pt idx="337">
                  <c:v>11.66243839263916</c:v>
                </c:pt>
                <c:pt idx="338">
                  <c:v>11.934020042419434</c:v>
                </c:pt>
                <c:pt idx="339">
                  <c:v>11.860906600952148</c:v>
                </c:pt>
                <c:pt idx="340">
                  <c:v>12.116822242736816</c:v>
                </c:pt>
                <c:pt idx="341">
                  <c:v>11.975805282592773</c:v>
                </c:pt>
                <c:pt idx="342">
                  <c:v>11.98102855682373</c:v>
                </c:pt>
                <c:pt idx="343">
                  <c:v>11.704218864440918</c:v>
                </c:pt>
                <c:pt idx="344">
                  <c:v>11.63632869720459</c:v>
                </c:pt>
                <c:pt idx="345">
                  <c:v>11.678107261657715</c:v>
                </c:pt>
                <c:pt idx="346">
                  <c:v>11.90791130065918</c:v>
                </c:pt>
                <c:pt idx="347">
                  <c:v>11.824348449707031</c:v>
                </c:pt>
                <c:pt idx="348">
                  <c:v>12.132492065429688</c:v>
                </c:pt>
                <c:pt idx="349">
                  <c:v>11.986250877380371</c:v>
                </c:pt>
                <c:pt idx="350">
                  <c:v>12.132492065429688</c:v>
                </c:pt>
                <c:pt idx="351">
                  <c:v>12.210832595825195</c:v>
                </c:pt>
                <c:pt idx="352">
                  <c:v>12.184715270996094</c:v>
                </c:pt>
                <c:pt idx="353">
                  <c:v>12.231724739074707</c:v>
                </c:pt>
                <c:pt idx="354">
                  <c:v>12.278727531433105</c:v>
                </c:pt>
                <c:pt idx="355">
                  <c:v>12.28917121887207</c:v>
                </c:pt>
                <c:pt idx="356">
                  <c:v>12.310063362121582</c:v>
                </c:pt>
                <c:pt idx="357">
                  <c:v>12.257834434509277</c:v>
                </c:pt>
                <c:pt idx="358">
                  <c:v>12.398848533630371</c:v>
                </c:pt>
                <c:pt idx="359">
                  <c:v>12.330953598022461</c:v>
                </c:pt>
                <c:pt idx="360">
                  <c:v>12.393627166748047</c:v>
                </c:pt>
                <c:pt idx="361">
                  <c:v>12.294397354125977</c:v>
                </c:pt>
                <c:pt idx="362">
                  <c:v>12.001921653747559</c:v>
                </c:pt>
                <c:pt idx="363">
                  <c:v>12.043703079223633</c:v>
                </c:pt>
                <c:pt idx="364">
                  <c:v>11.730334281921387</c:v>
                </c:pt>
                <c:pt idx="365">
                  <c:v>11.751228332519531</c:v>
                </c:pt>
                <c:pt idx="366">
                  <c:v>11.772120475769043</c:v>
                </c:pt>
                <c:pt idx="367">
                  <c:v>12.001921653747559</c:v>
                </c:pt>
                <c:pt idx="368">
                  <c:v>12.038478851318359</c:v>
                </c:pt>
                <c:pt idx="369">
                  <c:v>11.991477966308594</c:v>
                </c:pt>
                <c:pt idx="370">
                  <c:v>12.132492065429688</c:v>
                </c:pt>
                <c:pt idx="371">
                  <c:v>12.122044563293457</c:v>
                </c:pt>
                <c:pt idx="372">
                  <c:v>11.798233985900879</c:v>
                </c:pt>
                <c:pt idx="373">
                  <c:v>11.260285377502441</c:v>
                </c:pt>
                <c:pt idx="374">
                  <c:v>11.589320182800293</c:v>
                </c:pt>
                <c:pt idx="375">
                  <c:v>11.986250877380371</c:v>
                </c:pt>
                <c:pt idx="376">
                  <c:v>12.169049263000488</c:v>
                </c:pt>
                <c:pt idx="377">
                  <c:v>12.101150512695313</c:v>
                </c:pt>
                <c:pt idx="378">
                  <c:v>11.798233985900879</c:v>
                </c:pt>
                <c:pt idx="379">
                  <c:v>11.923576354980469</c:v>
                </c:pt>
                <c:pt idx="380">
                  <c:v>11.991477966308594</c:v>
                </c:pt>
                <c:pt idx="381">
                  <c:v>12.106374740600586</c:v>
                </c:pt>
                <c:pt idx="382">
                  <c:v>12.268281936645508</c:v>
                </c:pt>
                <c:pt idx="383">
                  <c:v>12.28917121887207</c:v>
                </c:pt>
                <c:pt idx="384">
                  <c:v>12.226499557495117</c:v>
                </c:pt>
                <c:pt idx="385">
                  <c:v>12.226499557495117</c:v>
                </c:pt>
                <c:pt idx="386">
                  <c:v>12.357067108154297</c:v>
                </c:pt>
                <c:pt idx="387">
                  <c:v>12.440630912780762</c:v>
                </c:pt>
                <c:pt idx="388">
                  <c:v>12.404073715209961</c:v>
                </c:pt>
                <c:pt idx="389">
                  <c:v>12.62865161895752</c:v>
                </c:pt>
                <c:pt idx="390">
                  <c:v>12.555534362792969</c:v>
                </c:pt>
                <c:pt idx="391">
                  <c:v>12.753995895385742</c:v>
                </c:pt>
                <c:pt idx="392">
                  <c:v>12.84800910949707</c:v>
                </c:pt>
                <c:pt idx="393">
                  <c:v>12.59209156036377</c:v>
                </c:pt>
                <c:pt idx="394">
                  <c:v>12.686101913452148</c:v>
                </c:pt>
                <c:pt idx="395">
                  <c:v>12.498083114624023</c:v>
                </c:pt>
                <c:pt idx="396">
                  <c:v>12.513754844665527</c:v>
                </c:pt>
                <c:pt idx="397">
                  <c:v>12.310063362121582</c:v>
                </c:pt>
                <c:pt idx="398">
                  <c:v>11.725114822387695</c:v>
                </c:pt>
                <c:pt idx="399">
                  <c:v>11.484866142272949</c:v>
                </c:pt>
                <c:pt idx="400">
                  <c:v>11.607217788696289</c:v>
                </c:pt>
                <c:pt idx="401">
                  <c:v>11.35188102722168</c:v>
                </c:pt>
                <c:pt idx="402">
                  <c:v>11.639131546020508</c:v>
                </c:pt>
                <c:pt idx="403">
                  <c:v>11.527424812316895</c:v>
                </c:pt>
                <c:pt idx="404">
                  <c:v>11.463587760925293</c:v>
                </c:pt>
                <c:pt idx="405">
                  <c:v>11.431670188903809</c:v>
                </c:pt>
                <c:pt idx="406">
                  <c:v>11.665730476379395</c:v>
                </c:pt>
                <c:pt idx="407">
                  <c:v>11.809358596801758</c:v>
                </c:pt>
                <c:pt idx="408">
                  <c:v>11.628493309020996</c:v>
                </c:pt>
                <c:pt idx="409">
                  <c:v>11.676370620727539</c:v>
                </c:pt>
                <c:pt idx="410">
                  <c:v>11.697647094726563</c:v>
                </c:pt>
                <c:pt idx="411">
                  <c:v>11.708286285400391</c:v>
                </c:pt>
                <c:pt idx="412">
                  <c:v>11.665730476379395</c:v>
                </c:pt>
                <c:pt idx="413">
                  <c:v>11.708286285400391</c:v>
                </c:pt>
                <c:pt idx="414">
                  <c:v>11.617854118347168</c:v>
                </c:pt>
                <c:pt idx="415">
                  <c:v>11.628493309020996</c:v>
                </c:pt>
                <c:pt idx="416">
                  <c:v>11.64976978302002</c:v>
                </c:pt>
                <c:pt idx="417">
                  <c:v>11.734882354736328</c:v>
                </c:pt>
                <c:pt idx="418">
                  <c:v>11.692330360412598</c:v>
                </c:pt>
                <c:pt idx="419">
                  <c:v>11.644450187683105</c:v>
                </c:pt>
                <c:pt idx="420">
                  <c:v>11.484869956970215</c:v>
                </c:pt>
                <c:pt idx="421">
                  <c:v>11.708286285400391</c:v>
                </c:pt>
                <c:pt idx="422">
                  <c:v>11.745523452758789</c:v>
                </c:pt>
                <c:pt idx="423">
                  <c:v>11.718923568725586</c:v>
                </c:pt>
                <c:pt idx="424">
                  <c:v>11.734882354736328</c:v>
                </c:pt>
                <c:pt idx="425">
                  <c:v>11.697647094726563</c:v>
                </c:pt>
                <c:pt idx="426">
                  <c:v>11.750843048095703</c:v>
                </c:pt>
                <c:pt idx="427">
                  <c:v>11.665730476379395</c:v>
                </c:pt>
                <c:pt idx="428">
                  <c:v>11.70296573638916</c:v>
                </c:pt>
                <c:pt idx="429">
                  <c:v>12.091293334960938</c:v>
                </c:pt>
                <c:pt idx="430">
                  <c:v>12.080656051635742</c:v>
                </c:pt>
                <c:pt idx="431">
                  <c:v>12.10724925994873</c:v>
                </c:pt>
                <c:pt idx="432">
                  <c:v>12.016819000244141</c:v>
                </c:pt>
                <c:pt idx="433">
                  <c:v>12.208321571350098</c:v>
                </c:pt>
                <c:pt idx="434">
                  <c:v>12.282795906066895</c:v>
                </c:pt>
                <c:pt idx="435">
                  <c:v>12.282795906066895</c:v>
                </c:pt>
                <c:pt idx="436">
                  <c:v>11.857234001159668</c:v>
                </c:pt>
                <c:pt idx="437">
                  <c:v>11.841278076171875</c:v>
                </c:pt>
                <c:pt idx="438">
                  <c:v>11.835954666137695</c:v>
                </c:pt>
                <c:pt idx="439">
                  <c:v>11.750843048095703</c:v>
                </c:pt>
                <c:pt idx="440">
                  <c:v>12.12852954864502</c:v>
                </c:pt>
                <c:pt idx="441">
                  <c:v>12.117892265319824</c:v>
                </c:pt>
                <c:pt idx="442">
                  <c:v>11.841278076171875</c:v>
                </c:pt>
                <c:pt idx="443">
                  <c:v>11.979585647583008</c:v>
                </c:pt>
                <c:pt idx="444">
                  <c:v>12.011501312255859</c:v>
                </c:pt>
                <c:pt idx="445">
                  <c:v>11.979585647583008</c:v>
                </c:pt>
                <c:pt idx="446">
                  <c:v>11.835954666137695</c:v>
                </c:pt>
                <c:pt idx="447">
                  <c:v>11.623175621032715</c:v>
                </c:pt>
                <c:pt idx="448">
                  <c:v>11.782760620117188</c:v>
                </c:pt>
                <c:pt idx="449">
                  <c:v>11.623175621032715</c:v>
                </c:pt>
                <c:pt idx="450">
                  <c:v>11.676370620727539</c:v>
                </c:pt>
                <c:pt idx="451">
                  <c:v>11.623175621032715</c:v>
                </c:pt>
                <c:pt idx="452">
                  <c:v>11.596576690673828</c:v>
                </c:pt>
                <c:pt idx="453">
                  <c:v>11.70296573638916</c:v>
                </c:pt>
                <c:pt idx="454">
                  <c:v>11.70296573638916</c:v>
                </c:pt>
                <c:pt idx="455">
                  <c:v>11.676370620727539</c:v>
                </c:pt>
                <c:pt idx="456">
                  <c:v>11.64976978302002</c:v>
                </c:pt>
                <c:pt idx="457">
                  <c:v>11.569978713989258</c:v>
                </c:pt>
                <c:pt idx="458">
                  <c:v>11.915745735168457</c:v>
                </c:pt>
                <c:pt idx="459">
                  <c:v>11.569978713989258</c:v>
                </c:pt>
                <c:pt idx="460">
                  <c:v>11.596576690673828</c:v>
                </c:pt>
                <c:pt idx="461">
                  <c:v>11.596576690673828</c:v>
                </c:pt>
                <c:pt idx="462">
                  <c:v>11.463587760925293</c:v>
                </c:pt>
                <c:pt idx="463">
                  <c:v>11.330598831176758</c:v>
                </c:pt>
                <c:pt idx="464">
                  <c:v>11.412115097045898</c:v>
                </c:pt>
                <c:pt idx="465">
                  <c:v>11.439285278320313</c:v>
                </c:pt>
                <c:pt idx="466">
                  <c:v>11.466458320617676</c:v>
                </c:pt>
                <c:pt idx="467">
                  <c:v>11.357769012451172</c:v>
                </c:pt>
                <c:pt idx="468">
                  <c:v>11.765344619750977</c:v>
                </c:pt>
                <c:pt idx="469">
                  <c:v>12.444642066955566</c:v>
                </c:pt>
                <c:pt idx="470">
                  <c:v>12.553330421447754</c:v>
                </c:pt>
                <c:pt idx="471">
                  <c:v>12.960898399353027</c:v>
                </c:pt>
                <c:pt idx="472">
                  <c:v>12.662013053894043</c:v>
                </c:pt>
                <c:pt idx="473">
                  <c:v>12.63483715057373</c:v>
                </c:pt>
                <c:pt idx="474">
                  <c:v>12.662013053894043</c:v>
                </c:pt>
                <c:pt idx="475">
                  <c:v>12.662013053894043</c:v>
                </c:pt>
                <c:pt idx="476">
                  <c:v>12.770702362060547</c:v>
                </c:pt>
                <c:pt idx="477">
                  <c:v>12.879384994506836</c:v>
                </c:pt>
                <c:pt idx="478">
                  <c:v>12.662013053894043</c:v>
                </c:pt>
                <c:pt idx="479">
                  <c:v>13.015244483947754</c:v>
                </c:pt>
                <c:pt idx="480">
                  <c:v>12.580499649047852</c:v>
                </c:pt>
                <c:pt idx="481">
                  <c:v>12.335954666137695</c:v>
                </c:pt>
                <c:pt idx="482">
                  <c:v>12.281608581542969</c:v>
                </c:pt>
                <c:pt idx="483">
                  <c:v>12.444642066955566</c:v>
                </c:pt>
                <c:pt idx="484">
                  <c:v>12.390293121337891</c:v>
                </c:pt>
                <c:pt idx="485">
                  <c:v>12.444642066955566</c:v>
                </c:pt>
                <c:pt idx="486">
                  <c:v>12.498984336853027</c:v>
                </c:pt>
                <c:pt idx="487">
                  <c:v>12.825041770935059</c:v>
                </c:pt>
                <c:pt idx="488">
                  <c:v>12.498984336853027</c:v>
                </c:pt>
                <c:pt idx="489">
                  <c:v>12.607670783996582</c:v>
                </c:pt>
                <c:pt idx="490">
                  <c:v>12.417466163635254</c:v>
                </c:pt>
                <c:pt idx="491">
                  <c:v>12.390293121337891</c:v>
                </c:pt>
                <c:pt idx="492">
                  <c:v>12.227266311645508</c:v>
                </c:pt>
                <c:pt idx="493">
                  <c:v>12.172922134399414</c:v>
                </c:pt>
                <c:pt idx="494">
                  <c:v>12.172922134399414</c:v>
                </c:pt>
                <c:pt idx="495">
                  <c:v>12.308781623840332</c:v>
                </c:pt>
                <c:pt idx="496">
                  <c:v>12.308781623840332</c:v>
                </c:pt>
                <c:pt idx="497">
                  <c:v>12.471809387207031</c:v>
                </c:pt>
                <c:pt idx="498">
                  <c:v>12.716357231140137</c:v>
                </c:pt>
                <c:pt idx="499">
                  <c:v>12.879384994506836</c:v>
                </c:pt>
                <c:pt idx="500">
                  <c:v>12.906558036804199</c:v>
                </c:pt>
                <c:pt idx="501">
                  <c:v>12.770702362060547</c:v>
                </c:pt>
                <c:pt idx="502">
                  <c:v>12.879384994506836</c:v>
                </c:pt>
                <c:pt idx="503">
                  <c:v>12.743526458740234</c:v>
                </c:pt>
                <c:pt idx="504">
                  <c:v>13.06959056854248</c:v>
                </c:pt>
                <c:pt idx="505">
                  <c:v>13.123931884765625</c:v>
                </c:pt>
                <c:pt idx="506">
                  <c:v>13.232620239257813</c:v>
                </c:pt>
                <c:pt idx="507">
                  <c:v>13.232620239257813</c:v>
                </c:pt>
                <c:pt idx="508">
                  <c:v>12.960898399353027</c:v>
                </c:pt>
                <c:pt idx="509">
                  <c:v>12.417466163635254</c:v>
                </c:pt>
                <c:pt idx="510">
                  <c:v>12.553330421447754</c:v>
                </c:pt>
                <c:pt idx="511">
                  <c:v>12.743526458740234</c:v>
                </c:pt>
                <c:pt idx="512">
                  <c:v>12.879384994506836</c:v>
                </c:pt>
                <c:pt idx="513">
                  <c:v>12.580499649047852</c:v>
                </c:pt>
                <c:pt idx="514">
                  <c:v>12.526153564453125</c:v>
                </c:pt>
                <c:pt idx="515">
                  <c:v>12.553330421447754</c:v>
                </c:pt>
                <c:pt idx="516">
                  <c:v>12.553330421447754</c:v>
                </c:pt>
                <c:pt idx="517">
                  <c:v>12.553330421447754</c:v>
                </c:pt>
                <c:pt idx="518">
                  <c:v>12.716357231140137</c:v>
                </c:pt>
                <c:pt idx="519">
                  <c:v>12.743526458740234</c:v>
                </c:pt>
                <c:pt idx="520">
                  <c:v>12.689187049865723</c:v>
                </c:pt>
                <c:pt idx="521">
                  <c:v>12.580499649047852</c:v>
                </c:pt>
                <c:pt idx="522">
                  <c:v>12.662013053894043</c:v>
                </c:pt>
                <c:pt idx="523">
                  <c:v>12.689187049865723</c:v>
                </c:pt>
                <c:pt idx="524">
                  <c:v>12.63483715057373</c:v>
                </c:pt>
                <c:pt idx="525">
                  <c:v>12.825041770935059</c:v>
                </c:pt>
                <c:pt idx="526">
                  <c:v>12.906558036804199</c:v>
                </c:pt>
                <c:pt idx="527">
                  <c:v>12.743526458740234</c:v>
                </c:pt>
                <c:pt idx="528">
                  <c:v>12.63483715057373</c:v>
                </c:pt>
                <c:pt idx="529">
                  <c:v>12.553330421447754</c:v>
                </c:pt>
                <c:pt idx="530">
                  <c:v>12.63483715057373</c:v>
                </c:pt>
                <c:pt idx="531">
                  <c:v>12.716357231140137</c:v>
                </c:pt>
                <c:pt idx="532">
                  <c:v>12.906558036804199</c:v>
                </c:pt>
                <c:pt idx="533">
                  <c:v>13.314130783081055</c:v>
                </c:pt>
                <c:pt idx="534">
                  <c:v>12.852216720581055</c:v>
                </c:pt>
                <c:pt idx="535">
                  <c:v>12.960898399353027</c:v>
                </c:pt>
                <c:pt idx="536">
                  <c:v>13.151103019714355</c:v>
                </c:pt>
                <c:pt idx="537">
                  <c:v>13.422821044921875</c:v>
                </c:pt>
                <c:pt idx="538">
                  <c:v>13.350204467773438</c:v>
                </c:pt>
                <c:pt idx="539">
                  <c:v>13.322271347045898</c:v>
                </c:pt>
                <c:pt idx="540">
                  <c:v>13.238489151000977</c:v>
                </c:pt>
                <c:pt idx="541">
                  <c:v>13.210556983947754</c:v>
                </c:pt>
                <c:pt idx="542">
                  <c:v>13.238489151000977</c:v>
                </c:pt>
                <c:pt idx="543">
                  <c:v>13.12677001953125</c:v>
                </c:pt>
                <c:pt idx="544">
                  <c:v>13.042981147766113</c:v>
                </c:pt>
                <c:pt idx="545">
                  <c:v>12.819547653198242</c:v>
                </c:pt>
                <c:pt idx="546">
                  <c:v>12.847476005554199</c:v>
                </c:pt>
                <c:pt idx="547">
                  <c:v>12.847476005554199</c:v>
                </c:pt>
                <c:pt idx="548">
                  <c:v>12.791619300842285</c:v>
                </c:pt>
                <c:pt idx="549">
                  <c:v>12.735759735107422</c:v>
                </c:pt>
                <c:pt idx="550">
                  <c:v>12.707831382751465</c:v>
                </c:pt>
                <c:pt idx="551">
                  <c:v>12.707831382751465</c:v>
                </c:pt>
                <c:pt idx="552">
                  <c:v>12.596112251281738</c:v>
                </c:pt>
                <c:pt idx="553">
                  <c:v>12.596112251281738</c:v>
                </c:pt>
                <c:pt idx="554">
                  <c:v>12.651968955993652</c:v>
                </c:pt>
                <c:pt idx="555">
                  <c:v>12.484397888183594</c:v>
                </c:pt>
                <c:pt idx="556">
                  <c:v>12.484397888183594</c:v>
                </c:pt>
                <c:pt idx="557">
                  <c:v>12.260961532592773</c:v>
                </c:pt>
                <c:pt idx="558">
                  <c:v>12.12131404876709</c:v>
                </c:pt>
                <c:pt idx="559">
                  <c:v>12.093382835388184</c:v>
                </c:pt>
                <c:pt idx="560">
                  <c:v>12.12131404876709</c:v>
                </c:pt>
                <c:pt idx="561">
                  <c:v>12.065455436706543</c:v>
                </c:pt>
                <c:pt idx="562">
                  <c:v>12.260961532592773</c:v>
                </c:pt>
                <c:pt idx="563">
                  <c:v>12.260961532592773</c:v>
                </c:pt>
                <c:pt idx="564">
                  <c:v>12.568181991577148</c:v>
                </c:pt>
                <c:pt idx="565">
                  <c:v>12.763687133789063</c:v>
                </c:pt>
                <c:pt idx="566">
                  <c:v>12.624043464660645</c:v>
                </c:pt>
                <c:pt idx="567">
                  <c:v>12.596112251281738</c:v>
                </c:pt>
                <c:pt idx="568">
                  <c:v>12.540256500244141</c:v>
                </c:pt>
                <c:pt idx="569">
                  <c:v>12.763687133789063</c:v>
                </c:pt>
                <c:pt idx="570">
                  <c:v>12.651968955993652</c:v>
                </c:pt>
                <c:pt idx="571">
                  <c:v>12.679899215698242</c:v>
                </c:pt>
                <c:pt idx="572">
                  <c:v>12.484397888183594</c:v>
                </c:pt>
                <c:pt idx="573">
                  <c:v>12.819547653198242</c:v>
                </c:pt>
                <c:pt idx="574">
                  <c:v>12.819547653198242</c:v>
                </c:pt>
                <c:pt idx="575">
                  <c:v>12.875409126281738</c:v>
                </c:pt>
                <c:pt idx="576">
                  <c:v>12.875409126281738</c:v>
                </c:pt>
                <c:pt idx="577">
                  <c:v>12.847476005554199</c:v>
                </c:pt>
                <c:pt idx="578">
                  <c:v>12.875409126281738</c:v>
                </c:pt>
                <c:pt idx="579">
                  <c:v>12.791619300842285</c:v>
                </c:pt>
                <c:pt idx="580">
                  <c:v>12.707831382751465</c:v>
                </c:pt>
                <c:pt idx="581">
                  <c:v>12.735759735107422</c:v>
                </c:pt>
                <c:pt idx="582">
                  <c:v>12.707831382751465</c:v>
                </c:pt>
                <c:pt idx="583">
                  <c:v>12.735759735107422</c:v>
                </c:pt>
                <c:pt idx="584">
                  <c:v>12.791619300842285</c:v>
                </c:pt>
                <c:pt idx="585">
                  <c:v>12.372678756713867</c:v>
                </c:pt>
                <c:pt idx="586">
                  <c:v>12.037524223327637</c:v>
                </c:pt>
                <c:pt idx="587">
                  <c:v>11.981672286987305</c:v>
                </c:pt>
                <c:pt idx="588">
                  <c:v>11.759044647216797</c:v>
                </c:pt>
                <c:pt idx="589">
                  <c:v>11.930291175842285</c:v>
                </c:pt>
                <c:pt idx="590">
                  <c:v>11.901752471923828</c:v>
                </c:pt>
                <c:pt idx="591">
                  <c:v>12.01591682434082</c:v>
                </c:pt>
                <c:pt idx="592">
                  <c:v>11.901752471923828</c:v>
                </c:pt>
                <c:pt idx="593">
                  <c:v>12.044461250305176</c:v>
                </c:pt>
                <c:pt idx="594">
                  <c:v>12.072999954223633</c:v>
                </c:pt>
                <c:pt idx="595">
                  <c:v>12.130081176757813</c:v>
                </c:pt>
                <c:pt idx="596">
                  <c:v>12.130081176757813</c:v>
                </c:pt>
                <c:pt idx="597">
                  <c:v>11.98737621307373</c:v>
                </c:pt>
                <c:pt idx="598">
                  <c:v>11.98737621307373</c:v>
                </c:pt>
                <c:pt idx="599">
                  <c:v>11.958836555480957</c:v>
                </c:pt>
                <c:pt idx="600">
                  <c:v>11.958836555480957</c:v>
                </c:pt>
                <c:pt idx="601">
                  <c:v>12.044461250305176</c:v>
                </c:pt>
                <c:pt idx="602">
                  <c:v>11.958836555480957</c:v>
                </c:pt>
                <c:pt idx="603">
                  <c:v>12.130081176757813</c:v>
                </c:pt>
                <c:pt idx="604">
                  <c:v>12.444036483764648</c:v>
                </c:pt>
                <c:pt idx="605">
                  <c:v>12.643830299377441</c:v>
                </c:pt>
                <c:pt idx="606">
                  <c:v>12.872157096862793</c:v>
                </c:pt>
                <c:pt idx="607">
                  <c:v>13.129030227661133</c:v>
                </c:pt>
                <c:pt idx="608">
                  <c:v>13.014867782592773</c:v>
                </c:pt>
                <c:pt idx="609">
                  <c:v>12.929240226745605</c:v>
                </c:pt>
                <c:pt idx="610">
                  <c:v>12.986327171325684</c:v>
                </c:pt>
                <c:pt idx="611">
                  <c:v>13.071950912475586</c:v>
                </c:pt>
                <c:pt idx="612">
                  <c:v>13.129030227661133</c:v>
                </c:pt>
                <c:pt idx="613">
                  <c:v>13.271736145019531</c:v>
                </c:pt>
                <c:pt idx="614">
                  <c:v>13.186114311218262</c:v>
                </c:pt>
                <c:pt idx="615">
                  <c:v>13.271736145019531</c:v>
                </c:pt>
                <c:pt idx="616">
                  <c:v>13.300280570983887</c:v>
                </c:pt>
                <c:pt idx="617">
                  <c:v>13.186114311218262</c:v>
                </c:pt>
                <c:pt idx="618">
                  <c:v>13.300280570983887</c:v>
                </c:pt>
                <c:pt idx="619">
                  <c:v>13.271736145019531</c:v>
                </c:pt>
                <c:pt idx="620">
                  <c:v>13.300280570983887</c:v>
                </c:pt>
                <c:pt idx="621">
                  <c:v>13.300280570983887</c:v>
                </c:pt>
                <c:pt idx="622">
                  <c:v>13.385905265808105</c:v>
                </c:pt>
                <c:pt idx="623">
                  <c:v>13.414445877075195</c:v>
                </c:pt>
                <c:pt idx="624">
                  <c:v>13.471529006958008</c:v>
                </c:pt>
                <c:pt idx="625">
                  <c:v>13.271736145019531</c:v>
                </c:pt>
                <c:pt idx="626">
                  <c:v>13.328821182250977</c:v>
                </c:pt>
                <c:pt idx="627">
                  <c:v>13.300280570983887</c:v>
                </c:pt>
                <c:pt idx="628">
                  <c:v>13.500068664550781</c:v>
                </c:pt>
                <c:pt idx="629">
                  <c:v>13.585693359375</c:v>
                </c:pt>
                <c:pt idx="630">
                  <c:v>13.500068664550781</c:v>
                </c:pt>
                <c:pt idx="631">
                  <c:v>13.442985534667969</c:v>
                </c:pt>
                <c:pt idx="632">
                  <c:v>13.699862480163574</c:v>
                </c:pt>
                <c:pt idx="633">
                  <c:v>13.728400230407715</c:v>
                </c:pt>
                <c:pt idx="634">
                  <c:v>13.699862480163574</c:v>
                </c:pt>
                <c:pt idx="635">
                  <c:v>13.842565536499023</c:v>
                </c:pt>
                <c:pt idx="636">
                  <c:v>14.013814926147461</c:v>
                </c:pt>
                <c:pt idx="637">
                  <c:v>13.985270500183105</c:v>
                </c:pt>
                <c:pt idx="638">
                  <c:v>14.127978324890137</c:v>
                </c:pt>
                <c:pt idx="639">
                  <c:v>14.070896148681641</c:v>
                </c:pt>
                <c:pt idx="640">
                  <c:v>14.099433898925781</c:v>
                </c:pt>
                <c:pt idx="641">
                  <c:v>14.070896148681641</c:v>
                </c:pt>
                <c:pt idx="642">
                  <c:v>14.127978324890137</c:v>
                </c:pt>
                <c:pt idx="643">
                  <c:v>14.127978324890137</c:v>
                </c:pt>
                <c:pt idx="644">
                  <c:v>14.327764511108398</c:v>
                </c:pt>
                <c:pt idx="645">
                  <c:v>14.213603973388672</c:v>
                </c:pt>
                <c:pt idx="646">
                  <c:v>14.299230575561523</c:v>
                </c:pt>
                <c:pt idx="647">
                  <c:v>13.842565536499023</c:v>
                </c:pt>
                <c:pt idx="648">
                  <c:v>14.127978324890137</c:v>
                </c:pt>
                <c:pt idx="649">
                  <c:v>14.242143630981445</c:v>
                </c:pt>
                <c:pt idx="650">
                  <c:v>14.156517028808594</c:v>
                </c:pt>
                <c:pt idx="651">
                  <c:v>14.150694847106934</c:v>
                </c:pt>
                <c:pt idx="652">
                  <c:v>14.150694847106934</c:v>
                </c:pt>
                <c:pt idx="653">
                  <c:v>14.354515075683594</c:v>
                </c:pt>
                <c:pt idx="654">
                  <c:v>14.383626937866211</c:v>
                </c:pt>
                <c:pt idx="655">
                  <c:v>14.208929061889648</c:v>
                </c:pt>
                <c:pt idx="656">
                  <c:v>13.859530448913574</c:v>
                </c:pt>
                <c:pt idx="657">
                  <c:v>13.830412864685059</c:v>
                </c:pt>
                <c:pt idx="658">
                  <c:v>13.975996017456055</c:v>
                </c:pt>
                <c:pt idx="659">
                  <c:v>13.88864803314209</c:v>
                </c:pt>
                <c:pt idx="660">
                  <c:v>13.743063926696777</c:v>
                </c:pt>
                <c:pt idx="661">
                  <c:v>13.481016159057617</c:v>
                </c:pt>
                <c:pt idx="662">
                  <c:v>13.451896667480469</c:v>
                </c:pt>
                <c:pt idx="663">
                  <c:v>13.597481727600098</c:v>
                </c:pt>
                <c:pt idx="664">
                  <c:v>13.743063926696777</c:v>
                </c:pt>
                <c:pt idx="665">
                  <c:v>13.713946342468262</c:v>
                </c:pt>
                <c:pt idx="666">
                  <c:v>13.539247512817383</c:v>
                </c:pt>
                <c:pt idx="667">
                  <c:v>13.597481727600098</c:v>
                </c:pt>
                <c:pt idx="668">
                  <c:v>13.568360328674316</c:v>
                </c:pt>
                <c:pt idx="669">
                  <c:v>13.5101318359375</c:v>
                </c:pt>
                <c:pt idx="670">
                  <c:v>13.539247512817383</c:v>
                </c:pt>
                <c:pt idx="671">
                  <c:v>13.655716896057129</c:v>
                </c:pt>
                <c:pt idx="672">
                  <c:v>13.743063926696777</c:v>
                </c:pt>
                <c:pt idx="673">
                  <c:v>13.597481727600098</c:v>
                </c:pt>
                <c:pt idx="674">
                  <c:v>13.743063926696777</c:v>
                </c:pt>
                <c:pt idx="675">
                  <c:v>13.597481727600098</c:v>
                </c:pt>
                <c:pt idx="676">
                  <c:v>13.626598358154297</c:v>
                </c:pt>
                <c:pt idx="677">
                  <c:v>13.743063926696777</c:v>
                </c:pt>
                <c:pt idx="678">
                  <c:v>13.801298141479492</c:v>
                </c:pt>
                <c:pt idx="679">
                  <c:v>13.975996017456055</c:v>
                </c:pt>
                <c:pt idx="680">
                  <c:v>13.917762756347656</c:v>
                </c:pt>
                <c:pt idx="681">
                  <c:v>14.092462539672852</c:v>
                </c:pt>
                <c:pt idx="682">
                  <c:v>14.23804759979248</c:v>
                </c:pt>
                <c:pt idx="683">
                  <c:v>14.208929061889648</c:v>
                </c:pt>
                <c:pt idx="684">
                  <c:v>14.121582984924316</c:v>
                </c:pt>
                <c:pt idx="685">
                  <c:v>13.946883201599121</c:v>
                </c:pt>
                <c:pt idx="686">
                  <c:v>14.267162322998047</c:v>
                </c:pt>
                <c:pt idx="687">
                  <c:v>14.23804759979248</c:v>
                </c:pt>
                <c:pt idx="688">
                  <c:v>14.150694847106934</c:v>
                </c:pt>
                <c:pt idx="689">
                  <c:v>14.23804759979248</c:v>
                </c:pt>
                <c:pt idx="690">
                  <c:v>14.179813385009766</c:v>
                </c:pt>
                <c:pt idx="691">
                  <c:v>14.150694847106934</c:v>
                </c:pt>
                <c:pt idx="692">
                  <c:v>14.034232139587402</c:v>
                </c:pt>
                <c:pt idx="693">
                  <c:v>14.267162322998047</c:v>
                </c:pt>
                <c:pt idx="694">
                  <c:v>14.354515075683594</c:v>
                </c:pt>
                <c:pt idx="695">
                  <c:v>14.383626937866211</c:v>
                </c:pt>
                <c:pt idx="696">
                  <c:v>14.412746429443359</c:v>
                </c:pt>
                <c:pt idx="697">
                  <c:v>14.50009822845459</c:v>
                </c:pt>
                <c:pt idx="698">
                  <c:v>14.470981597900391</c:v>
                </c:pt>
                <c:pt idx="699">
                  <c:v>14.703908920288086</c:v>
                </c:pt>
                <c:pt idx="700">
                  <c:v>14.674796104431152</c:v>
                </c:pt>
                <c:pt idx="701">
                  <c:v>14.558328628540039</c:v>
                </c:pt>
                <c:pt idx="702">
                  <c:v>14.558328628540039</c:v>
                </c:pt>
                <c:pt idx="703">
                  <c:v>14.558328628540039</c:v>
                </c:pt>
                <c:pt idx="704">
                  <c:v>14.674796104431152</c:v>
                </c:pt>
                <c:pt idx="705">
                  <c:v>14.616560935974121</c:v>
                </c:pt>
                <c:pt idx="706">
                  <c:v>14.762148857116699</c:v>
                </c:pt>
                <c:pt idx="707">
                  <c:v>14.674796104431152</c:v>
                </c:pt>
                <c:pt idx="708">
                  <c:v>14.907733917236328</c:v>
                </c:pt>
                <c:pt idx="709">
                  <c:v>14.99507999420166</c:v>
                </c:pt>
                <c:pt idx="710">
                  <c:v>15.111546516418457</c:v>
                </c:pt>
                <c:pt idx="711">
                  <c:v>15.315362930297852</c:v>
                </c:pt>
                <c:pt idx="712">
                  <c:v>15.198895454406738</c:v>
                </c:pt>
                <c:pt idx="713">
                  <c:v>15.053313255310059</c:v>
                </c:pt>
                <c:pt idx="714">
                  <c:v>15.082427978515625</c:v>
                </c:pt>
                <c:pt idx="715">
                  <c:v>15.169778823852539</c:v>
                </c:pt>
                <c:pt idx="716">
                  <c:v>15.23511791229248</c:v>
                </c:pt>
                <c:pt idx="717">
                  <c:v>15.116323471069336</c:v>
                </c:pt>
                <c:pt idx="718">
                  <c:v>14.849040031433105</c:v>
                </c:pt>
                <c:pt idx="719">
                  <c:v>14.789647102355957</c:v>
                </c:pt>
                <c:pt idx="720">
                  <c:v>14.730247497558594</c:v>
                </c:pt>
                <c:pt idx="721">
                  <c:v>14.878738403320313</c:v>
                </c:pt>
                <c:pt idx="722">
                  <c:v>14.700550079345703</c:v>
                </c:pt>
                <c:pt idx="723">
                  <c:v>14.730247497558594</c:v>
                </c:pt>
                <c:pt idx="724">
                  <c:v>14.967832565307617</c:v>
                </c:pt>
                <c:pt idx="725">
                  <c:v>15.17572021484375</c:v>
                </c:pt>
                <c:pt idx="726">
                  <c:v>15.086625099182129</c:v>
                </c:pt>
                <c:pt idx="727">
                  <c:v>15.23511791229248</c:v>
                </c:pt>
                <c:pt idx="728">
                  <c:v>15.23511791229248</c:v>
                </c:pt>
                <c:pt idx="729">
                  <c:v>15.146022796630859</c:v>
                </c:pt>
                <c:pt idx="730">
                  <c:v>15.027230262756348</c:v>
                </c:pt>
                <c:pt idx="731">
                  <c:v>14.967832565307617</c:v>
                </c:pt>
                <c:pt idx="732">
                  <c:v>15.146022796630859</c:v>
                </c:pt>
                <c:pt idx="733">
                  <c:v>14.789647102355957</c:v>
                </c:pt>
                <c:pt idx="734">
                  <c:v>14.849040031433105</c:v>
                </c:pt>
                <c:pt idx="735">
                  <c:v>14.759949684143066</c:v>
                </c:pt>
                <c:pt idx="736">
                  <c:v>15.027230262756348</c:v>
                </c:pt>
                <c:pt idx="737">
                  <c:v>15.086625099182129</c:v>
                </c:pt>
                <c:pt idx="738">
                  <c:v>15.23511791229248</c:v>
                </c:pt>
                <c:pt idx="739">
                  <c:v>15.38360595703125</c:v>
                </c:pt>
                <c:pt idx="740">
                  <c:v>15.353910446166992</c:v>
                </c:pt>
                <c:pt idx="741">
                  <c:v>14.908435821533203</c:v>
                </c:pt>
                <c:pt idx="742">
                  <c:v>14.819342613220215</c:v>
                </c:pt>
                <c:pt idx="743">
                  <c:v>14.878738403320313</c:v>
                </c:pt>
                <c:pt idx="744">
                  <c:v>14.759949684143066</c:v>
                </c:pt>
                <c:pt idx="745">
                  <c:v>14.849040031433105</c:v>
                </c:pt>
                <c:pt idx="746">
                  <c:v>15.23511791229248</c:v>
                </c:pt>
                <c:pt idx="747">
                  <c:v>15.086625099182129</c:v>
                </c:pt>
                <c:pt idx="748">
                  <c:v>15.056927680969238</c:v>
                </c:pt>
                <c:pt idx="749">
                  <c:v>15.116323471069336</c:v>
                </c:pt>
                <c:pt idx="750">
                  <c:v>15.086625099182129</c:v>
                </c:pt>
                <c:pt idx="751">
                  <c:v>15.086625099182129</c:v>
                </c:pt>
                <c:pt idx="752">
                  <c:v>15.027230262756348</c:v>
                </c:pt>
                <c:pt idx="753">
                  <c:v>14.908435821533203</c:v>
                </c:pt>
                <c:pt idx="754">
                  <c:v>14.878738403320313</c:v>
                </c:pt>
                <c:pt idx="755">
                  <c:v>14.967832565307617</c:v>
                </c:pt>
                <c:pt idx="756">
                  <c:v>15.116323471069336</c:v>
                </c:pt>
                <c:pt idx="757">
                  <c:v>15.353910446166992</c:v>
                </c:pt>
                <c:pt idx="758">
                  <c:v>15.561794281005859</c:v>
                </c:pt>
                <c:pt idx="759">
                  <c:v>15.858777046203613</c:v>
                </c:pt>
                <c:pt idx="760">
                  <c:v>16.333948135375977</c:v>
                </c:pt>
                <c:pt idx="761">
                  <c:v>16.09636116027832</c:v>
                </c:pt>
                <c:pt idx="762">
                  <c:v>16.126058578491211</c:v>
                </c:pt>
                <c:pt idx="763">
                  <c:v>16.155759811401367</c:v>
                </c:pt>
                <c:pt idx="764">
                  <c:v>15.888476371765137</c:v>
                </c:pt>
                <c:pt idx="765">
                  <c:v>16.066661834716797</c:v>
                </c:pt>
                <c:pt idx="766">
                  <c:v>16.126058578491211</c:v>
                </c:pt>
                <c:pt idx="767">
                  <c:v>16.333948135375977</c:v>
                </c:pt>
                <c:pt idx="768">
                  <c:v>16.304250717163086</c:v>
                </c:pt>
                <c:pt idx="769">
                  <c:v>16.274547576904297</c:v>
                </c:pt>
                <c:pt idx="770">
                  <c:v>16.274547576904297</c:v>
                </c:pt>
                <c:pt idx="771">
                  <c:v>16.304250717163086</c:v>
                </c:pt>
                <c:pt idx="772">
                  <c:v>16.541833877563477</c:v>
                </c:pt>
                <c:pt idx="773">
                  <c:v>16.452735900878906</c:v>
                </c:pt>
                <c:pt idx="774">
                  <c:v>16.393339157104492</c:v>
                </c:pt>
                <c:pt idx="775">
                  <c:v>16.215150833129883</c:v>
                </c:pt>
                <c:pt idx="776">
                  <c:v>16.185459136962891</c:v>
                </c:pt>
                <c:pt idx="777">
                  <c:v>15.799379348754883</c:v>
                </c:pt>
                <c:pt idx="778">
                  <c:v>14.938135147094727</c:v>
                </c:pt>
                <c:pt idx="779">
                  <c:v>15.294513702392578</c:v>
                </c:pt>
                <c:pt idx="780">
                  <c:v>15.205421447753906</c:v>
                </c:pt>
                <c:pt idx="781">
                  <c:v>14.611455917358398</c:v>
                </c:pt>
                <c:pt idx="782">
                  <c:v>14.730247497558594</c:v>
                </c:pt>
                <c:pt idx="783">
                  <c:v>15.086625099182129</c:v>
                </c:pt>
                <c:pt idx="784">
                  <c:v>15.65089225769043</c:v>
                </c:pt>
                <c:pt idx="785">
                  <c:v>15.739983558654785</c:v>
                </c:pt>
                <c:pt idx="786">
                  <c:v>16.09636116027832</c:v>
                </c:pt>
                <c:pt idx="787">
                  <c:v>16.244853973388672</c:v>
                </c:pt>
                <c:pt idx="788">
                  <c:v>16.482433319091797</c:v>
                </c:pt>
                <c:pt idx="789">
                  <c:v>16.541833877563477</c:v>
                </c:pt>
                <c:pt idx="790">
                  <c:v>16.56633186340332</c:v>
                </c:pt>
                <c:pt idx="791">
                  <c:v>16.596950531005859</c:v>
                </c:pt>
                <c:pt idx="792">
                  <c:v>16.53570556640625</c:v>
                </c:pt>
                <c:pt idx="793">
                  <c:v>16.198873519897461</c:v>
                </c:pt>
                <c:pt idx="794">
                  <c:v>16.290735244750977</c:v>
                </c:pt>
                <c:pt idx="795">
                  <c:v>16.076383590698242</c:v>
                </c:pt>
                <c:pt idx="796">
                  <c:v>16.076383590698242</c:v>
                </c:pt>
                <c:pt idx="797">
                  <c:v>16.290735244750977</c:v>
                </c:pt>
                <c:pt idx="798">
                  <c:v>16.56633186340332</c:v>
                </c:pt>
                <c:pt idx="799">
                  <c:v>16.53570556640625</c:v>
                </c:pt>
                <c:pt idx="800">
                  <c:v>16.596950531005859</c:v>
                </c:pt>
                <c:pt idx="801">
                  <c:v>16.688819885253906</c:v>
                </c:pt>
                <c:pt idx="802">
                  <c:v>16.596950531005859</c:v>
                </c:pt>
                <c:pt idx="803">
                  <c:v>16.382600784301758</c:v>
                </c:pt>
                <c:pt idx="804">
                  <c:v>16.137628555297852</c:v>
                </c:pt>
                <c:pt idx="805">
                  <c:v>16.076383590698242</c:v>
                </c:pt>
                <c:pt idx="806">
                  <c:v>16.290735244750977</c:v>
                </c:pt>
                <c:pt idx="807">
                  <c:v>16.260108947753906</c:v>
                </c:pt>
                <c:pt idx="808">
                  <c:v>16.260108947753906</c:v>
                </c:pt>
                <c:pt idx="809">
                  <c:v>16.198873519897461</c:v>
                </c:pt>
                <c:pt idx="810">
                  <c:v>15.862029075622559</c:v>
                </c:pt>
                <c:pt idx="811">
                  <c:v>15.953898429870605</c:v>
                </c:pt>
                <c:pt idx="812">
                  <c:v>16.2294921875</c:v>
                </c:pt>
                <c:pt idx="813">
                  <c:v>16.045759201049805</c:v>
                </c:pt>
                <c:pt idx="814">
                  <c:v>16.137628555297852</c:v>
                </c:pt>
                <c:pt idx="815">
                  <c:v>16.443843841552734</c:v>
                </c:pt>
                <c:pt idx="816">
                  <c:v>15.984515190124512</c:v>
                </c:pt>
                <c:pt idx="817">
                  <c:v>16.107004165649414</c:v>
                </c:pt>
                <c:pt idx="818">
                  <c:v>16.321357727050781</c:v>
                </c:pt>
                <c:pt idx="819">
                  <c:v>16.382600784301758</c:v>
                </c:pt>
                <c:pt idx="820">
                  <c:v>16.137628555297852</c:v>
                </c:pt>
                <c:pt idx="821">
                  <c:v>16.382600784301758</c:v>
                </c:pt>
                <c:pt idx="822">
                  <c:v>16.56633186340332</c:v>
                </c:pt>
                <c:pt idx="823">
                  <c:v>16.2294921875</c:v>
                </c:pt>
                <c:pt idx="824">
                  <c:v>16.413215637207031</c:v>
                </c:pt>
                <c:pt idx="825">
                  <c:v>16.260108947753906</c:v>
                </c:pt>
                <c:pt idx="826">
                  <c:v>16.474468231201172</c:v>
                </c:pt>
                <c:pt idx="827">
                  <c:v>16.321357727050781</c:v>
                </c:pt>
                <c:pt idx="828">
                  <c:v>16.260108947753906</c:v>
                </c:pt>
                <c:pt idx="829">
                  <c:v>16.168245315551758</c:v>
                </c:pt>
                <c:pt idx="830">
                  <c:v>16.045759201049805</c:v>
                </c:pt>
                <c:pt idx="831">
                  <c:v>16.076383590698242</c:v>
                </c:pt>
                <c:pt idx="832">
                  <c:v>16.137628555297852</c:v>
                </c:pt>
                <c:pt idx="833">
                  <c:v>15.984515190124512</c:v>
                </c:pt>
                <c:pt idx="834">
                  <c:v>16.076383590698242</c:v>
                </c:pt>
                <c:pt idx="835">
                  <c:v>16.474468231201172</c:v>
                </c:pt>
                <c:pt idx="836">
                  <c:v>16.658193588256836</c:v>
                </c:pt>
                <c:pt idx="837">
                  <c:v>16.596950531005859</c:v>
                </c:pt>
                <c:pt idx="838">
                  <c:v>16.53570556640625</c:v>
                </c:pt>
                <c:pt idx="839">
                  <c:v>16.474468231201172</c:v>
                </c:pt>
                <c:pt idx="840">
                  <c:v>16.776634216308594</c:v>
                </c:pt>
                <c:pt idx="841">
                  <c:v>16.99696159362793</c:v>
                </c:pt>
                <c:pt idx="842">
                  <c:v>16.934013366699219</c:v>
                </c:pt>
                <c:pt idx="843">
                  <c:v>16.713678359985352</c:v>
                </c:pt>
                <c:pt idx="844">
                  <c:v>16.808109283447266</c:v>
                </c:pt>
                <c:pt idx="845">
                  <c:v>16.965492248535156</c:v>
                </c:pt>
                <c:pt idx="846">
                  <c:v>16.965492248535156</c:v>
                </c:pt>
                <c:pt idx="847">
                  <c:v>16.934013366699219</c:v>
                </c:pt>
                <c:pt idx="848">
                  <c:v>17.185815811157227</c:v>
                </c:pt>
                <c:pt idx="849">
                  <c:v>17.4376220703125</c:v>
                </c:pt>
                <c:pt idx="850">
                  <c:v>17.532051086425781</c:v>
                </c:pt>
                <c:pt idx="851">
                  <c:v>17.657955169677734</c:v>
                </c:pt>
                <c:pt idx="852">
                  <c:v>17.909763336181641</c:v>
                </c:pt>
                <c:pt idx="853">
                  <c:v>17.752382278442383</c:v>
                </c:pt>
                <c:pt idx="854">
                  <c:v>17.783863067626953</c:v>
                </c:pt>
                <c:pt idx="855">
                  <c:v>17.878286361694336</c:v>
                </c:pt>
                <c:pt idx="856">
                  <c:v>17.595005035400391</c:v>
                </c:pt>
                <c:pt idx="857">
                  <c:v>17.878286361694336</c:v>
                </c:pt>
                <c:pt idx="858">
                  <c:v>17.846807479858398</c:v>
                </c:pt>
                <c:pt idx="859">
                  <c:v>17.972713470458984</c:v>
                </c:pt>
                <c:pt idx="860">
                  <c:v>18.161567687988281</c:v>
                </c:pt>
                <c:pt idx="861">
                  <c:v>18.067142486572266</c:v>
                </c:pt>
                <c:pt idx="862">
                  <c:v>18.381902694702148</c:v>
                </c:pt>
                <c:pt idx="863">
                  <c:v>18.193042755126953</c:v>
                </c:pt>
                <c:pt idx="864">
                  <c:v>18.413375854492188</c:v>
                </c:pt>
                <c:pt idx="865">
                  <c:v>18.570755004882813</c:v>
                </c:pt>
                <c:pt idx="866">
                  <c:v>18.413375854492188</c:v>
                </c:pt>
                <c:pt idx="867">
                  <c:v>18.444850921630859</c:v>
                </c:pt>
                <c:pt idx="868">
                  <c:v>18.350425720214844</c:v>
                </c:pt>
                <c:pt idx="869">
                  <c:v>18.318950653076172</c:v>
                </c:pt>
                <c:pt idx="870">
                  <c:v>18.570755004882813</c:v>
                </c:pt>
                <c:pt idx="871">
                  <c:v>18.539278030395508</c:v>
                </c:pt>
                <c:pt idx="872">
                  <c:v>18.381902694702148</c:v>
                </c:pt>
                <c:pt idx="873">
                  <c:v>18.224523544311523</c:v>
                </c:pt>
                <c:pt idx="874">
                  <c:v>18.350425720214844</c:v>
                </c:pt>
                <c:pt idx="875">
                  <c:v>18.161567687988281</c:v>
                </c:pt>
                <c:pt idx="876">
                  <c:v>18.004192352294922</c:v>
                </c:pt>
                <c:pt idx="877">
                  <c:v>17.878286361694336</c:v>
                </c:pt>
                <c:pt idx="878">
                  <c:v>18.067142486572266</c:v>
                </c:pt>
                <c:pt idx="879">
                  <c:v>17.972713470458984</c:v>
                </c:pt>
                <c:pt idx="880">
                  <c:v>18.130096435546875</c:v>
                </c:pt>
                <c:pt idx="881">
                  <c:v>17.94123649597168</c:v>
                </c:pt>
                <c:pt idx="882">
                  <c:v>18.098617553710938</c:v>
                </c:pt>
                <c:pt idx="883">
                  <c:v>18.318950653076172</c:v>
                </c:pt>
                <c:pt idx="884">
                  <c:v>18.507797241210938</c:v>
                </c:pt>
                <c:pt idx="885">
                  <c:v>18.633707046508789</c:v>
                </c:pt>
                <c:pt idx="886">
                  <c:v>18.318950653076172</c:v>
                </c:pt>
                <c:pt idx="887">
                  <c:v>18.161567687988281</c:v>
                </c:pt>
                <c:pt idx="888">
                  <c:v>18.287469863891602</c:v>
                </c:pt>
                <c:pt idx="889">
                  <c:v>18.444850921630859</c:v>
                </c:pt>
                <c:pt idx="890">
                  <c:v>18.570755004882813</c:v>
                </c:pt>
                <c:pt idx="891">
                  <c:v>18.822561264038086</c:v>
                </c:pt>
                <c:pt idx="892">
                  <c:v>18.88551139831543</c:v>
                </c:pt>
                <c:pt idx="893">
                  <c:v>18.822561264038086</c:v>
                </c:pt>
                <c:pt idx="894">
                  <c:v>19.042896270751953</c:v>
                </c:pt>
                <c:pt idx="895">
                  <c:v>19.074369430541992</c:v>
                </c:pt>
                <c:pt idx="896">
                  <c:v>18.948461532592773</c:v>
                </c:pt>
                <c:pt idx="897">
                  <c:v>19.137319564819336</c:v>
                </c:pt>
                <c:pt idx="898">
                  <c:v>19.074369430541992</c:v>
                </c:pt>
                <c:pt idx="899">
                  <c:v>19.168794631958008</c:v>
                </c:pt>
                <c:pt idx="900">
                  <c:v>19.011417388916016</c:v>
                </c:pt>
                <c:pt idx="901">
                  <c:v>18.6966552734375</c:v>
                </c:pt>
                <c:pt idx="902">
                  <c:v>17.815332412719727</c:v>
                </c:pt>
                <c:pt idx="903">
                  <c:v>18.085651397705078</c:v>
                </c:pt>
                <c:pt idx="904">
                  <c:v>18.407468795776367</c:v>
                </c:pt>
                <c:pt idx="905">
                  <c:v>18.697088241577148</c:v>
                </c:pt>
                <c:pt idx="906">
                  <c:v>18.922355651855469</c:v>
                </c:pt>
                <c:pt idx="907">
                  <c:v>18.95454216003418</c:v>
                </c:pt>
                <c:pt idx="908">
                  <c:v>18.890178680419922</c:v>
                </c:pt>
                <c:pt idx="909">
                  <c:v>18.922355651855469</c:v>
                </c:pt>
                <c:pt idx="910">
                  <c:v>19.179801940917969</c:v>
                </c:pt>
                <c:pt idx="911">
                  <c:v>19.083259582519531</c:v>
                </c:pt>
                <c:pt idx="912">
                  <c:v>19.244165420532227</c:v>
                </c:pt>
                <c:pt idx="913">
                  <c:v>19.147626876831055</c:v>
                </c:pt>
                <c:pt idx="914">
                  <c:v>19.276348114013672</c:v>
                </c:pt>
                <c:pt idx="915">
                  <c:v>19.308526992797852</c:v>
                </c:pt>
                <c:pt idx="916">
                  <c:v>19.340707778930664</c:v>
                </c:pt>
                <c:pt idx="917">
                  <c:v>19.276348114013672</c:v>
                </c:pt>
                <c:pt idx="918">
                  <c:v>19.437250137329102</c:v>
                </c:pt>
                <c:pt idx="919">
                  <c:v>19.598159790039063</c:v>
                </c:pt>
                <c:pt idx="920">
                  <c:v>19.405073165893555</c:v>
                </c:pt>
                <c:pt idx="921">
                  <c:v>19.437250137329102</c:v>
                </c:pt>
                <c:pt idx="922">
                  <c:v>19.244165420532227</c:v>
                </c:pt>
                <c:pt idx="923">
                  <c:v>19.340707778930664</c:v>
                </c:pt>
                <c:pt idx="924">
                  <c:v>19.179801940917969</c:v>
                </c:pt>
                <c:pt idx="925">
                  <c:v>19.533796310424805</c:v>
                </c:pt>
                <c:pt idx="926">
                  <c:v>19.533796310424805</c:v>
                </c:pt>
                <c:pt idx="927">
                  <c:v>19.437250137329102</c:v>
                </c:pt>
                <c:pt idx="928">
                  <c:v>19.694694519042969</c:v>
                </c:pt>
                <c:pt idx="929">
                  <c:v>19.533796310424805</c:v>
                </c:pt>
                <c:pt idx="930">
                  <c:v>19.598159790039063</c:v>
                </c:pt>
                <c:pt idx="931">
                  <c:v>19.598159790039063</c:v>
                </c:pt>
                <c:pt idx="932">
                  <c:v>19.919961929321289</c:v>
                </c:pt>
                <c:pt idx="933">
                  <c:v>19.598159790039063</c:v>
                </c:pt>
                <c:pt idx="934">
                  <c:v>19.372888565063477</c:v>
                </c:pt>
                <c:pt idx="935">
                  <c:v>19.662515640258789</c:v>
                </c:pt>
                <c:pt idx="936">
                  <c:v>19.726882934570313</c:v>
                </c:pt>
                <c:pt idx="937">
                  <c:v>19.630336761474609</c:v>
                </c:pt>
                <c:pt idx="938">
                  <c:v>19.533796310424805</c:v>
                </c:pt>
                <c:pt idx="939">
                  <c:v>19.598159790039063</c:v>
                </c:pt>
                <c:pt idx="940">
                  <c:v>19.630336761474609</c:v>
                </c:pt>
                <c:pt idx="941">
                  <c:v>19.662515640258789</c:v>
                </c:pt>
                <c:pt idx="942">
                  <c:v>19.598159790039063</c:v>
                </c:pt>
                <c:pt idx="943">
                  <c:v>19.75262451171875</c:v>
                </c:pt>
                <c:pt idx="944">
                  <c:v>19.61102294921875</c:v>
                </c:pt>
                <c:pt idx="945">
                  <c:v>19.617467880249023</c:v>
                </c:pt>
                <c:pt idx="946">
                  <c:v>19.85560417175293</c:v>
                </c:pt>
                <c:pt idx="947">
                  <c:v>19.668951034545898</c:v>
                </c:pt>
                <c:pt idx="948">
                  <c:v>19.482305526733398</c:v>
                </c:pt>
                <c:pt idx="949">
                  <c:v>19.405073165893555</c:v>
                </c:pt>
                <c:pt idx="950">
                  <c:v>18.838687896728516</c:v>
                </c:pt>
                <c:pt idx="951">
                  <c:v>18.188632965087891</c:v>
                </c:pt>
                <c:pt idx="952">
                  <c:v>18.793634414672852</c:v>
                </c:pt>
                <c:pt idx="953">
                  <c:v>19.244165420532227</c:v>
                </c:pt>
                <c:pt idx="954">
                  <c:v>19.630336761474609</c:v>
                </c:pt>
                <c:pt idx="955">
                  <c:v>19.726882934570313</c:v>
                </c:pt>
                <c:pt idx="956">
                  <c:v>19.224855422973633</c:v>
                </c:pt>
                <c:pt idx="957">
                  <c:v>19.475862503051758</c:v>
                </c:pt>
                <c:pt idx="958">
                  <c:v>19.166927337646484</c:v>
                </c:pt>
                <c:pt idx="959">
                  <c:v>19.083259582519531</c:v>
                </c:pt>
                <c:pt idx="960">
                  <c:v>18.388153076171875</c:v>
                </c:pt>
                <c:pt idx="961">
                  <c:v>18.742145538330078</c:v>
                </c:pt>
                <c:pt idx="962">
                  <c:v>18.182195663452148</c:v>
                </c:pt>
                <c:pt idx="963">
                  <c:v>18.317358016967773</c:v>
                </c:pt>
                <c:pt idx="964">
                  <c:v>18.542623519897461</c:v>
                </c:pt>
                <c:pt idx="965">
                  <c:v>18.606986999511719</c:v>
                </c:pt>
                <c:pt idx="966">
                  <c:v>18.767887115478516</c:v>
                </c:pt>
                <c:pt idx="967">
                  <c:v>18.774478912353516</c:v>
                </c:pt>
                <c:pt idx="968">
                  <c:v>19.064538955688477</c:v>
                </c:pt>
                <c:pt idx="969">
                  <c:v>19.163419723510742</c:v>
                </c:pt>
                <c:pt idx="970">
                  <c:v>19.789676666259766</c:v>
                </c:pt>
                <c:pt idx="971">
                  <c:v>19.835821151733398</c:v>
                </c:pt>
                <c:pt idx="972">
                  <c:v>19.743532180786133</c:v>
                </c:pt>
                <c:pt idx="973">
                  <c:v>19.49962043762207</c:v>
                </c:pt>
                <c:pt idx="974">
                  <c:v>19.822635650634766</c:v>
                </c:pt>
                <c:pt idx="975">
                  <c:v>19.8094482421875</c:v>
                </c:pt>
                <c:pt idx="976">
                  <c:v>19.611688613891602</c:v>
                </c:pt>
                <c:pt idx="977">
                  <c:v>19.54576301574707</c:v>
                </c:pt>
                <c:pt idx="978">
                  <c:v>19.328222274780273</c:v>
                </c:pt>
                <c:pt idx="979">
                  <c:v>19.348001480102539</c:v>
                </c:pt>
                <c:pt idx="980">
                  <c:v>19.697383880615234</c:v>
                </c:pt>
                <c:pt idx="981">
                  <c:v>19.7698974609375</c:v>
                </c:pt>
                <c:pt idx="982">
                  <c:v>19.723751068115234</c:v>
                </c:pt>
                <c:pt idx="983">
                  <c:v>19.677606582641602</c:v>
                </c:pt>
                <c:pt idx="984">
                  <c:v>19.835821151733398</c:v>
                </c:pt>
                <c:pt idx="985">
                  <c:v>19.796266555786133</c:v>
                </c:pt>
                <c:pt idx="986">
                  <c:v>19.914924621582031</c:v>
                </c:pt>
                <c:pt idx="987">
                  <c:v>20.336828231811523</c:v>
                </c:pt>
                <c:pt idx="988">
                  <c:v>19.7633056640625</c:v>
                </c:pt>
                <c:pt idx="989">
                  <c:v>18.194370269775391</c:v>
                </c:pt>
                <c:pt idx="990">
                  <c:v>18.570127487182617</c:v>
                </c:pt>
                <c:pt idx="991">
                  <c:v>17.871355056762695</c:v>
                </c:pt>
                <c:pt idx="992">
                  <c:v>17.594484329223633</c:v>
                </c:pt>
                <c:pt idx="993">
                  <c:v>17.963645935058594</c:v>
                </c:pt>
                <c:pt idx="994">
                  <c:v>18.161411285400391</c:v>
                </c:pt>
                <c:pt idx="995">
                  <c:v>17.370353698730469</c:v>
                </c:pt>
                <c:pt idx="996">
                  <c:v>16.71113395690918</c:v>
                </c:pt>
                <c:pt idx="997">
                  <c:v>16.994596481323242</c:v>
                </c:pt>
                <c:pt idx="998">
                  <c:v>16.559514999389648</c:v>
                </c:pt>
                <c:pt idx="999">
                  <c:v>16.447446823120117</c:v>
                </c:pt>
                <c:pt idx="1000">
                  <c:v>16.012367248535156</c:v>
                </c:pt>
                <c:pt idx="1001">
                  <c:v>15.610244750976563</c:v>
                </c:pt>
                <c:pt idx="1002">
                  <c:v>16.928676605224609</c:v>
                </c:pt>
                <c:pt idx="1003">
                  <c:v>17.179176330566406</c:v>
                </c:pt>
                <c:pt idx="1004">
                  <c:v>17.680181503295898</c:v>
                </c:pt>
                <c:pt idx="1005">
                  <c:v>18.009794235229492</c:v>
                </c:pt>
                <c:pt idx="1006">
                  <c:v>17.976829528808594</c:v>
                </c:pt>
                <c:pt idx="1007">
                  <c:v>18.108673095703125</c:v>
                </c:pt>
                <c:pt idx="1008">
                  <c:v>18.523977279663086</c:v>
                </c:pt>
                <c:pt idx="1009">
                  <c:v>18.431690216064453</c:v>
                </c:pt>
                <c:pt idx="1010">
                  <c:v>18.523977279663086</c:v>
                </c:pt>
                <c:pt idx="1011">
                  <c:v>18.497610092163086</c:v>
                </c:pt>
                <c:pt idx="1012">
                  <c:v>18.563531875610352</c:v>
                </c:pt>
                <c:pt idx="1013">
                  <c:v>18.767890930175781</c:v>
                </c:pt>
                <c:pt idx="1014">
                  <c:v>18.675600051879883</c:v>
                </c:pt>
                <c:pt idx="1015">
                  <c:v>19.011800765991211</c:v>
                </c:pt>
                <c:pt idx="1016">
                  <c:v>19.427103042602539</c:v>
                </c:pt>
                <c:pt idx="1017">
                  <c:v>19.479841232299805</c:v>
                </c:pt>
                <c:pt idx="1018">
                  <c:v>19.835821151733398</c:v>
                </c:pt>
                <c:pt idx="1019">
                  <c:v>19.446880340576172</c:v>
                </c:pt>
                <c:pt idx="1020">
                  <c:v>19.651239395141602</c:v>
                </c:pt>
                <c:pt idx="1021">
                  <c:v>19.783082962036133</c:v>
                </c:pt>
                <c:pt idx="1022">
                  <c:v>19.875373840332031</c:v>
                </c:pt>
                <c:pt idx="1023">
                  <c:v>19.98744010925293</c:v>
                </c:pt>
                <c:pt idx="1024">
                  <c:v>19.868782043457031</c:v>
                </c:pt>
                <c:pt idx="1025">
                  <c:v>19.796266555786133</c:v>
                </c:pt>
                <c:pt idx="1026">
                  <c:v>20.099502563476563</c:v>
                </c:pt>
                <c:pt idx="1027">
                  <c:v>20.204982757568359</c:v>
                </c:pt>
                <c:pt idx="1028">
                  <c:v>20.158836364746094</c:v>
                </c:pt>
                <c:pt idx="1029">
                  <c:v>19.829225540161133</c:v>
                </c:pt>
                <c:pt idx="1030">
                  <c:v>19.756715774536133</c:v>
                </c:pt>
                <c:pt idx="1031">
                  <c:v>19.842411041259766</c:v>
                </c:pt>
                <c:pt idx="1032">
                  <c:v>20.106101989746094</c:v>
                </c:pt>
                <c:pt idx="1033">
                  <c:v>20.534587860107422</c:v>
                </c:pt>
                <c:pt idx="1034">
                  <c:v>20.547773361206055</c:v>
                </c:pt>
                <c:pt idx="1035">
                  <c:v>20.237941741943359</c:v>
                </c:pt>
                <c:pt idx="1036">
                  <c:v>19.671016693115234</c:v>
                </c:pt>
                <c:pt idx="1037">
                  <c:v>19.7764892578125</c:v>
                </c:pt>
                <c:pt idx="1038">
                  <c:v>19.881963729858398</c:v>
                </c:pt>
                <c:pt idx="1039">
                  <c:v>19.934700012207031</c:v>
                </c:pt>
                <c:pt idx="1040">
                  <c:v>20.086315155029297</c:v>
                </c:pt>
                <c:pt idx="1041">
                  <c:v>19.978586196899414</c:v>
                </c:pt>
                <c:pt idx="1042">
                  <c:v>19.709243774414063</c:v>
                </c:pt>
                <c:pt idx="1043">
                  <c:v>19.460098266601563</c:v>
                </c:pt>
                <c:pt idx="1044">
                  <c:v>19.57457160949707</c:v>
                </c:pt>
                <c:pt idx="1045">
                  <c:v>19.614971160888672</c:v>
                </c:pt>
                <c:pt idx="1046">
                  <c:v>19.89777946472168</c:v>
                </c:pt>
                <c:pt idx="1047">
                  <c:v>20.086318969726563</c:v>
                </c:pt>
                <c:pt idx="1048">
                  <c:v>20.025718688964844</c:v>
                </c:pt>
                <c:pt idx="1049">
                  <c:v>20.093057632446289</c:v>
                </c:pt>
                <c:pt idx="1050">
                  <c:v>19.527433395385742</c:v>
                </c:pt>
                <c:pt idx="1051">
                  <c:v>19.527433395385742</c:v>
                </c:pt>
                <c:pt idx="1052">
                  <c:v>19.57457160949707</c:v>
                </c:pt>
                <c:pt idx="1053">
                  <c:v>19.581302642822266</c:v>
                </c:pt>
                <c:pt idx="1054">
                  <c:v>19.621700286865234</c:v>
                </c:pt>
                <c:pt idx="1055">
                  <c:v>19.621700286865234</c:v>
                </c:pt>
                <c:pt idx="1056">
                  <c:v>19.675571441650391</c:v>
                </c:pt>
                <c:pt idx="1057">
                  <c:v>19.790044784545898</c:v>
                </c:pt>
                <c:pt idx="1058">
                  <c:v>19.57457160949707</c:v>
                </c:pt>
                <c:pt idx="1059">
                  <c:v>19.419696807861328</c:v>
                </c:pt>
                <c:pt idx="1060">
                  <c:v>19.446624755859375</c:v>
                </c:pt>
                <c:pt idx="1061">
                  <c:v>18.732866287231445</c:v>
                </c:pt>
                <c:pt idx="1062">
                  <c:v>18.56452751159668</c:v>
                </c:pt>
                <c:pt idx="1063">
                  <c:v>18.988744735717773</c:v>
                </c:pt>
                <c:pt idx="1064">
                  <c:v>19.177286148071289</c:v>
                </c:pt>
                <c:pt idx="1065">
                  <c:v>19.473564147949219</c:v>
                </c:pt>
                <c:pt idx="1066">
                  <c:v>19.453363418579102</c:v>
                </c:pt>
                <c:pt idx="1067">
                  <c:v>19.57457160949707</c:v>
                </c:pt>
                <c:pt idx="1068">
                  <c:v>19.386026382446289</c:v>
                </c:pt>
                <c:pt idx="1069">
                  <c:v>19.608236312866211</c:v>
                </c:pt>
                <c:pt idx="1070">
                  <c:v>19.763111114501953</c:v>
                </c:pt>
                <c:pt idx="1071">
                  <c:v>19.857378005981445</c:v>
                </c:pt>
                <c:pt idx="1072">
                  <c:v>19.742908477783203</c:v>
                </c:pt>
                <c:pt idx="1073">
                  <c:v>19.540899276733398</c:v>
                </c:pt>
                <c:pt idx="1074">
                  <c:v>19.769842147827148</c:v>
                </c:pt>
                <c:pt idx="1075">
                  <c:v>19.749639511108398</c:v>
                </c:pt>
                <c:pt idx="1076">
                  <c:v>19.837179183959961</c:v>
                </c:pt>
                <c:pt idx="1077">
                  <c:v>19.790044784545898</c:v>
                </c:pt>
                <c:pt idx="1078">
                  <c:v>20.045917510986328</c:v>
                </c:pt>
                <c:pt idx="1079">
                  <c:v>20.160388946533203</c:v>
                </c:pt>
                <c:pt idx="1080">
                  <c:v>20.173856735229492</c:v>
                </c:pt>
                <c:pt idx="1081">
                  <c:v>20.025718688964844</c:v>
                </c:pt>
                <c:pt idx="1082">
                  <c:v>20.274862289428711</c:v>
                </c:pt>
                <c:pt idx="1083">
                  <c:v>20.207527160644531</c:v>
                </c:pt>
                <c:pt idx="1084">
                  <c:v>19.57457160949707</c:v>
                </c:pt>
                <c:pt idx="1085">
                  <c:v>19.621700286865234</c:v>
                </c:pt>
                <c:pt idx="1086">
                  <c:v>19.655372619628906</c:v>
                </c:pt>
                <c:pt idx="1087">
                  <c:v>19.870851516723633</c:v>
                </c:pt>
                <c:pt idx="1088">
                  <c:v>19.891048431396484</c:v>
                </c:pt>
                <c:pt idx="1089">
                  <c:v>19.864110946655273</c:v>
                </c:pt>
                <c:pt idx="1090">
                  <c:v>20.069534301757813</c:v>
                </c:pt>
                <c:pt idx="1091">
                  <c:v>20.048990249633789</c:v>
                </c:pt>
                <c:pt idx="1092">
                  <c:v>19.419034957885742</c:v>
                </c:pt>
                <c:pt idx="1093">
                  <c:v>19.720315933227539</c:v>
                </c:pt>
                <c:pt idx="1094">
                  <c:v>19.850419998168945</c:v>
                </c:pt>
                <c:pt idx="1095">
                  <c:v>20.096921920776367</c:v>
                </c:pt>
                <c:pt idx="1096">
                  <c:v>19.747707366943359</c:v>
                </c:pt>
                <c:pt idx="1097">
                  <c:v>20.035293579101563</c:v>
                </c:pt>
                <c:pt idx="1098">
                  <c:v>19.829875946044922</c:v>
                </c:pt>
                <c:pt idx="1099">
                  <c:v>20.09007453918457</c:v>
                </c:pt>
                <c:pt idx="1100">
                  <c:v>19.850419998168945</c:v>
                </c:pt>
                <c:pt idx="1101">
                  <c:v>19.672386169433594</c:v>
                </c:pt>
                <c:pt idx="1102">
                  <c:v>19.88465690612793</c:v>
                </c:pt>
                <c:pt idx="1103">
                  <c:v>19.624454498291016</c:v>
                </c:pt>
                <c:pt idx="1104">
                  <c:v>19.336868286132813</c:v>
                </c:pt>
                <c:pt idx="1105">
                  <c:v>19.549137115478516</c:v>
                </c:pt>
                <c:pt idx="1106">
                  <c:v>19.165685653686523</c:v>
                </c:pt>
                <c:pt idx="1107">
                  <c:v>19.213613510131836</c:v>
                </c:pt>
                <c:pt idx="1108">
                  <c:v>19.028739929199219</c:v>
                </c:pt>
                <c:pt idx="1109">
                  <c:v>18.617895126342773</c:v>
                </c:pt>
                <c:pt idx="1110">
                  <c:v>18.795927047729492</c:v>
                </c:pt>
                <c:pt idx="1111">
                  <c:v>19.254695892333984</c:v>
                </c:pt>
                <c:pt idx="1112">
                  <c:v>19.275241851806641</c:v>
                </c:pt>
                <c:pt idx="1113">
                  <c:v>19.261547088623047</c:v>
                </c:pt>
                <c:pt idx="1114">
                  <c:v>19.172529220581055</c:v>
                </c:pt>
                <c:pt idx="1115">
                  <c:v>19.364255905151367</c:v>
                </c:pt>
                <c:pt idx="1116">
                  <c:v>19.220458984375</c:v>
                </c:pt>
                <c:pt idx="1117">
                  <c:v>19.76824951171875</c:v>
                </c:pt>
                <c:pt idx="1118">
                  <c:v>20.425596237182617</c:v>
                </c:pt>
                <c:pt idx="1119">
                  <c:v>20.240713119506836</c:v>
                </c:pt>
                <c:pt idx="1120">
                  <c:v>19.843570709228516</c:v>
                </c:pt>
                <c:pt idx="1121">
                  <c:v>20.09007453918457</c:v>
                </c:pt>
                <c:pt idx="1122">
                  <c:v>20.001054763793945</c:v>
                </c:pt>
                <c:pt idx="1123">
                  <c:v>20.124309539794922</c:v>
                </c:pt>
                <c:pt idx="1124">
                  <c:v>20.220170974731445</c:v>
                </c:pt>
                <c:pt idx="1125">
                  <c:v>20.055839538574219</c:v>
                </c:pt>
                <c:pt idx="1126">
                  <c:v>19.727165222167969</c:v>
                </c:pt>
                <c:pt idx="1127">
                  <c:v>19.823028564453125</c:v>
                </c:pt>
                <c:pt idx="1128">
                  <c:v>19.912042617797852</c:v>
                </c:pt>
                <c:pt idx="1129">
                  <c:v>20.350271224975586</c:v>
                </c:pt>
                <c:pt idx="1130">
                  <c:v>20.47352409362793</c:v>
                </c:pt>
                <c:pt idx="1131">
                  <c:v>20.425596237182617</c:v>
                </c:pt>
                <c:pt idx="1132">
                  <c:v>20.747413635253906</c:v>
                </c:pt>
                <c:pt idx="1133">
                  <c:v>20.685794830322266</c:v>
                </c:pt>
                <c:pt idx="1134">
                  <c:v>20.685794830322266</c:v>
                </c:pt>
                <c:pt idx="1135">
                  <c:v>20.596776962280273</c:v>
                </c:pt>
                <c:pt idx="1136">
                  <c:v>20.795351028442383</c:v>
                </c:pt>
                <c:pt idx="1137">
                  <c:v>21.028156280517578</c:v>
                </c:pt>
                <c:pt idx="1138">
                  <c:v>20.877513885498047</c:v>
                </c:pt>
                <c:pt idx="1139">
                  <c:v>20.856971740722656</c:v>
                </c:pt>
                <c:pt idx="1140">
                  <c:v>21.076091766357422</c:v>
                </c:pt>
                <c:pt idx="1141">
                  <c:v>20.856971740722656</c:v>
                </c:pt>
                <c:pt idx="1142">
                  <c:v>20.877513885498047</c:v>
                </c:pt>
                <c:pt idx="1143">
                  <c:v>20.692642211914063</c:v>
                </c:pt>
                <c:pt idx="1144">
                  <c:v>20.466676712036133</c:v>
                </c:pt>
                <c:pt idx="1145">
                  <c:v>20.548845291137695</c:v>
                </c:pt>
                <c:pt idx="1146">
                  <c:v>20.411899566650391</c:v>
                </c:pt>
                <c:pt idx="1147">
                  <c:v>19.980514526367188</c:v>
                </c:pt>
                <c:pt idx="1148">
                  <c:v>20.363967895507813</c:v>
                </c:pt>
                <c:pt idx="1149">
                  <c:v>20.19963264465332</c:v>
                </c:pt>
                <c:pt idx="1150">
                  <c:v>20.47352409362793</c:v>
                </c:pt>
                <c:pt idx="1151">
                  <c:v>20.65839958190918</c:v>
                </c:pt>
                <c:pt idx="1152">
                  <c:v>20.138006210327148</c:v>
                </c:pt>
                <c:pt idx="1153">
                  <c:v>20.047260284423828</c:v>
                </c:pt>
                <c:pt idx="1154">
                  <c:v>18.86760139465332</c:v>
                </c:pt>
                <c:pt idx="1155">
                  <c:v>19.649387359619141</c:v>
                </c:pt>
                <c:pt idx="1156">
                  <c:v>19.544683456420898</c:v>
                </c:pt>
                <c:pt idx="1157">
                  <c:v>19.551662445068359</c:v>
                </c:pt>
                <c:pt idx="1158">
                  <c:v>19.356218338012695</c:v>
                </c:pt>
                <c:pt idx="1159">
                  <c:v>18.825717926025391</c:v>
                </c:pt>
                <c:pt idx="1160">
                  <c:v>19.146806716918945</c:v>
                </c:pt>
                <c:pt idx="1161">
                  <c:v>18.504629135131836</c:v>
                </c:pt>
                <c:pt idx="1162">
                  <c:v>18.413883209228516</c:v>
                </c:pt>
                <c:pt idx="1163">
                  <c:v>18.86760139465332</c:v>
                </c:pt>
                <c:pt idx="1164">
                  <c:v>19.09794807434082</c:v>
                </c:pt>
                <c:pt idx="1165">
                  <c:v>19.195672988891602</c:v>
                </c:pt>
                <c:pt idx="1166">
                  <c:v>19.558645248413086</c:v>
                </c:pt>
                <c:pt idx="1167">
                  <c:v>19.858793258666992</c:v>
                </c:pt>
                <c:pt idx="1168">
                  <c:v>19.342252731323242</c:v>
                </c:pt>
                <c:pt idx="1169">
                  <c:v>19.621465682983398</c:v>
                </c:pt>
                <c:pt idx="1170">
                  <c:v>19.684289932250977</c:v>
                </c:pt>
                <c:pt idx="1171">
                  <c:v>19.809930801391602</c:v>
                </c:pt>
                <c:pt idx="1172">
                  <c:v>19.956516265869141</c:v>
                </c:pt>
                <c:pt idx="1173">
                  <c:v>19.740129470825195</c:v>
                </c:pt>
                <c:pt idx="1174">
                  <c:v>19.684289932250977</c:v>
                </c:pt>
                <c:pt idx="1175">
                  <c:v>19.963502883911133</c:v>
                </c:pt>
                <c:pt idx="1176">
                  <c:v>20.277608871459961</c:v>
                </c:pt>
                <c:pt idx="1177">
                  <c:v>20.096122741699219</c:v>
                </c:pt>
                <c:pt idx="1178">
                  <c:v>20.521915435791016</c:v>
                </c:pt>
                <c:pt idx="1179">
                  <c:v>20.417215347290039</c:v>
                </c:pt>
                <c:pt idx="1180">
                  <c:v>20.766227722167969</c:v>
                </c:pt>
                <c:pt idx="1181">
                  <c:v>20.926773071289063</c:v>
                </c:pt>
                <c:pt idx="1182">
                  <c:v>20.633602142333984</c:v>
                </c:pt>
                <c:pt idx="1183">
                  <c:v>20.703403472900391</c:v>
                </c:pt>
                <c:pt idx="1184">
                  <c:v>20.5777587890625</c:v>
                </c:pt>
                <c:pt idx="1185">
                  <c:v>20.612661361694336</c:v>
                </c:pt>
                <c:pt idx="1186">
                  <c:v>20.521915435791016</c:v>
                </c:pt>
                <c:pt idx="1187">
                  <c:v>20.493999481201172</c:v>
                </c:pt>
                <c:pt idx="1188">
                  <c:v>20.445137023925781</c:v>
                </c:pt>
                <c:pt idx="1189">
                  <c:v>20.110086441040039</c:v>
                </c:pt>
                <c:pt idx="1190">
                  <c:v>20.256668090820313</c:v>
                </c:pt>
                <c:pt idx="1191">
                  <c:v>20.5777587890625</c:v>
                </c:pt>
                <c:pt idx="1192">
                  <c:v>20.507957458496094</c:v>
                </c:pt>
                <c:pt idx="1193">
                  <c:v>20.487020492553711</c:v>
                </c:pt>
                <c:pt idx="1194">
                  <c:v>20.319492340087891</c:v>
                </c:pt>
                <c:pt idx="1195">
                  <c:v>19.782012939453125</c:v>
                </c:pt>
                <c:pt idx="1196">
                  <c:v>19.963502883911133</c:v>
                </c:pt>
                <c:pt idx="1197">
                  <c:v>20.033304214477539</c:v>
                </c:pt>
                <c:pt idx="1198">
                  <c:v>20.165925979614258</c:v>
                </c:pt>
                <c:pt idx="1199">
                  <c:v>19.872756958007813</c:v>
                </c:pt>
                <c:pt idx="1200">
                  <c:v>19.942556381225586</c:v>
                </c:pt>
                <c:pt idx="1201">
                  <c:v>20.082164764404297</c:v>
                </c:pt>
                <c:pt idx="1202">
                  <c:v>19.886713027954102</c:v>
                </c:pt>
                <c:pt idx="1203">
                  <c:v>19.663347244262695</c:v>
                </c:pt>
                <c:pt idx="1204">
                  <c:v>19.558645248413086</c:v>
                </c:pt>
                <c:pt idx="1205">
                  <c:v>19.391115188598633</c:v>
                </c:pt>
                <c:pt idx="1206">
                  <c:v>19.223592758178711</c:v>
                </c:pt>
                <c:pt idx="1207">
                  <c:v>19.60052490234375</c:v>
                </c:pt>
                <c:pt idx="1208">
                  <c:v>19.775032043457031</c:v>
                </c:pt>
                <c:pt idx="1209">
                  <c:v>19.433000564575195</c:v>
                </c:pt>
                <c:pt idx="1210">
                  <c:v>19.656366348266602</c:v>
                </c:pt>
                <c:pt idx="1211">
                  <c:v>20.417215347290039</c:v>
                </c:pt>
                <c:pt idx="1212">
                  <c:v>20.110086441040039</c:v>
                </c:pt>
                <c:pt idx="1213">
                  <c:v>20.340429306030273</c:v>
                </c:pt>
                <c:pt idx="1214">
                  <c:v>20.696426391601563</c:v>
                </c:pt>
                <c:pt idx="1215">
                  <c:v>20.487020492553711</c:v>
                </c:pt>
                <c:pt idx="1216">
                  <c:v>20.493999481201172</c:v>
                </c:pt>
                <c:pt idx="1217">
                  <c:v>20.729396820068359</c:v>
                </c:pt>
                <c:pt idx="1218">
                  <c:v>20.814994812011719</c:v>
                </c:pt>
                <c:pt idx="1219">
                  <c:v>21.071796417236328</c:v>
                </c:pt>
                <c:pt idx="1220">
                  <c:v>21.128862380981445</c:v>
                </c:pt>
                <c:pt idx="1221">
                  <c:v>21.093198776245117</c:v>
                </c:pt>
                <c:pt idx="1222">
                  <c:v>20.936262130737305</c:v>
                </c:pt>
                <c:pt idx="1223">
                  <c:v>20.900596618652344</c:v>
                </c:pt>
                <c:pt idx="1224">
                  <c:v>21.135993957519531</c:v>
                </c:pt>
                <c:pt idx="1225">
                  <c:v>21.271530151367188</c:v>
                </c:pt>
                <c:pt idx="1226">
                  <c:v>21.292930603027344</c:v>
                </c:pt>
                <c:pt idx="1227">
                  <c:v>21.185932159423828</c:v>
                </c:pt>
                <c:pt idx="1228">
                  <c:v>21.007596969604492</c:v>
                </c:pt>
                <c:pt idx="1229">
                  <c:v>21.000467300415039</c:v>
                </c:pt>
                <c:pt idx="1230">
                  <c:v>20.900596618652344</c:v>
                </c:pt>
                <c:pt idx="1231">
                  <c:v>20.85066032409668</c:v>
                </c:pt>
                <c:pt idx="1232">
                  <c:v>20.829261779785156</c:v>
                </c:pt>
                <c:pt idx="1233">
                  <c:v>20.658061981201172</c:v>
                </c:pt>
                <c:pt idx="1234">
                  <c:v>20.543928146362305</c:v>
                </c:pt>
                <c:pt idx="1235">
                  <c:v>20.600997924804688</c:v>
                </c:pt>
                <c:pt idx="1236">
                  <c:v>20.665201187133789</c:v>
                </c:pt>
                <c:pt idx="1237">
                  <c:v>20.408397674560547</c:v>
                </c:pt>
                <c:pt idx="1238">
                  <c:v>20.258598327636719</c:v>
                </c:pt>
                <c:pt idx="1239">
                  <c:v>20.465465545654297</c:v>
                </c:pt>
                <c:pt idx="1240">
                  <c:v>20.444063186645508</c:v>
                </c:pt>
                <c:pt idx="1241">
                  <c:v>20.914861679077148</c:v>
                </c:pt>
                <c:pt idx="1242">
                  <c:v>20.451198577880859</c:v>
                </c:pt>
                <c:pt idx="1243">
                  <c:v>20.508266448974609</c:v>
                </c:pt>
                <c:pt idx="1244">
                  <c:v>20.543928146362305</c:v>
                </c:pt>
                <c:pt idx="1245">
                  <c:v>21.535457611083984</c:v>
                </c:pt>
                <c:pt idx="1246">
                  <c:v>21.699531555175781</c:v>
                </c:pt>
                <c:pt idx="1247">
                  <c:v>21.563995361328125</c:v>
                </c:pt>
                <c:pt idx="1248">
                  <c:v>21.514060974121094</c:v>
                </c:pt>
                <c:pt idx="1249">
                  <c:v>21.407062530517578</c:v>
                </c:pt>
                <c:pt idx="1250">
                  <c:v>21.407062530517578</c:v>
                </c:pt>
                <c:pt idx="1251">
                  <c:v>21.385660171508789</c:v>
                </c:pt>
                <c:pt idx="1252">
                  <c:v>21.47126579284668</c:v>
                </c:pt>
                <c:pt idx="1253">
                  <c:v>21.506929397583008</c:v>
                </c:pt>
                <c:pt idx="1254">
                  <c:v>21.563995361328125</c:v>
                </c:pt>
                <c:pt idx="1255">
                  <c:v>21.364265441894531</c:v>
                </c:pt>
                <c:pt idx="1256">
                  <c:v>21.578262329101563</c:v>
                </c:pt>
                <c:pt idx="1257">
                  <c:v>21.585393905639648</c:v>
                </c:pt>
                <c:pt idx="1258">
                  <c:v>21.563995361328125</c:v>
                </c:pt>
                <c:pt idx="1259">
                  <c:v>21.542596817016602</c:v>
                </c:pt>
                <c:pt idx="1260">
                  <c:v>21.656723022460938</c:v>
                </c:pt>
                <c:pt idx="1261">
                  <c:v>22.255924224853516</c:v>
                </c:pt>
                <c:pt idx="1262">
                  <c:v>22.655389785766602</c:v>
                </c:pt>
                <c:pt idx="1263">
                  <c:v>22.619726181030273</c:v>
                </c:pt>
                <c:pt idx="1264">
                  <c:v>22.740989685058594</c:v>
                </c:pt>
                <c:pt idx="1265">
                  <c:v>23.097658157348633</c:v>
                </c:pt>
                <c:pt idx="1266">
                  <c:v>23.090518951416016</c:v>
                </c:pt>
                <c:pt idx="1267">
                  <c:v>23.297391891479492</c:v>
                </c:pt>
                <c:pt idx="1268">
                  <c:v>23.582721710205078</c:v>
                </c:pt>
                <c:pt idx="1269">
                  <c:v>23.618391036987305</c:v>
                </c:pt>
                <c:pt idx="1270">
                  <c:v>23.525653839111328</c:v>
                </c:pt>
                <c:pt idx="1271">
                  <c:v>23.711118698120117</c:v>
                </c:pt>
                <c:pt idx="1272">
                  <c:v>24.060651779174805</c:v>
                </c:pt>
                <c:pt idx="1273">
                  <c:v>23.982187271118164</c:v>
                </c:pt>
                <c:pt idx="1274">
                  <c:v>23.839517593383789</c:v>
                </c:pt>
                <c:pt idx="1275">
                  <c:v>24.053520202636719</c:v>
                </c:pt>
                <c:pt idx="1276">
                  <c:v>24.096319198608398</c:v>
                </c:pt>
                <c:pt idx="1277">
                  <c:v>23.932254791259766</c:v>
                </c:pt>
                <c:pt idx="1278">
                  <c:v>23.361587524414063</c:v>
                </c:pt>
                <c:pt idx="1279">
                  <c:v>23.711118698120117</c:v>
                </c:pt>
                <c:pt idx="1280">
                  <c:v>24.20332145690918</c:v>
                </c:pt>
                <c:pt idx="1281">
                  <c:v>24.474384307861328</c:v>
                </c:pt>
                <c:pt idx="1282">
                  <c:v>24.510049819946289</c:v>
                </c:pt>
                <c:pt idx="1283">
                  <c:v>24.467252731323242</c:v>
                </c:pt>
                <c:pt idx="1284">
                  <c:v>24.77398681640625</c:v>
                </c:pt>
                <c:pt idx="1285">
                  <c:v>24.873847961425781</c:v>
                </c:pt>
                <c:pt idx="1286">
                  <c:v>24.98084831237793</c:v>
                </c:pt>
                <c:pt idx="1287">
                  <c:v>24.645586013793945</c:v>
                </c:pt>
                <c:pt idx="1288">
                  <c:v>24.552850723266602</c:v>
                </c:pt>
                <c:pt idx="1289">
                  <c:v>25.209114074707031</c:v>
                </c:pt>
                <c:pt idx="1290">
                  <c:v>25.458780288696289</c:v>
                </c:pt>
                <c:pt idx="1291">
                  <c:v>25.551513671875</c:v>
                </c:pt>
                <c:pt idx="1292">
                  <c:v>24.915826797485352</c:v>
                </c:pt>
                <c:pt idx="1293">
                  <c:v>24.126707077026367</c:v>
                </c:pt>
                <c:pt idx="1294">
                  <c:v>23.637161254882813</c:v>
                </c:pt>
                <c:pt idx="1295">
                  <c:v>23.417959213256836</c:v>
                </c:pt>
                <c:pt idx="1296">
                  <c:v>22.292730331420898</c:v>
                </c:pt>
                <c:pt idx="1297">
                  <c:v>22.219659805297852</c:v>
                </c:pt>
                <c:pt idx="1298">
                  <c:v>23.849050521850586</c:v>
                </c:pt>
                <c:pt idx="1299">
                  <c:v>23.05262565612793</c:v>
                </c:pt>
                <c:pt idx="1300">
                  <c:v>23.885587692260742</c:v>
                </c:pt>
                <c:pt idx="1301">
                  <c:v>22.760354995727539</c:v>
                </c:pt>
                <c:pt idx="1302">
                  <c:v>22.292730331420898</c:v>
                </c:pt>
                <c:pt idx="1303">
                  <c:v>20.10072135925293</c:v>
                </c:pt>
                <c:pt idx="1304">
                  <c:v>21.605899810791016</c:v>
                </c:pt>
                <c:pt idx="1305">
                  <c:v>19.443115234375</c:v>
                </c:pt>
                <c:pt idx="1306">
                  <c:v>16.483903884887695</c:v>
                </c:pt>
                <c:pt idx="1307">
                  <c:v>17.652976989746094</c:v>
                </c:pt>
                <c:pt idx="1308">
                  <c:v>14.591471672058105</c:v>
                </c:pt>
                <c:pt idx="1309">
                  <c:v>13.743892669677734</c:v>
                </c:pt>
                <c:pt idx="1310">
                  <c:v>10.711613655090332</c:v>
                </c:pt>
                <c:pt idx="1311">
                  <c:v>14.101921081542969</c:v>
                </c:pt>
                <c:pt idx="1312">
                  <c:v>12.465221405029297</c:v>
                </c:pt>
                <c:pt idx="1313">
                  <c:v>11.186551094055176</c:v>
                </c:pt>
                <c:pt idx="1314">
                  <c:v>12.355621337890625</c:v>
                </c:pt>
                <c:pt idx="1315">
                  <c:v>13.166666984558105</c:v>
                </c:pt>
                <c:pt idx="1316">
                  <c:v>14.445338249206543</c:v>
                </c:pt>
                <c:pt idx="1317">
                  <c:v>13.678131103515625</c:v>
                </c:pt>
                <c:pt idx="1318">
                  <c:v>13.736584663391113</c:v>
                </c:pt>
                <c:pt idx="1319">
                  <c:v>13.583148956298828</c:v>
                </c:pt>
                <c:pt idx="1320">
                  <c:v>12.39946174621582</c:v>
                </c:pt>
                <c:pt idx="1321">
                  <c:v>13.51008129119873</c:v>
                </c:pt>
                <c:pt idx="1322">
                  <c:v>12.669809341430664</c:v>
                </c:pt>
                <c:pt idx="1323">
                  <c:v>13.656213760375977</c:v>
                </c:pt>
                <c:pt idx="1324">
                  <c:v>14.715685844421387</c:v>
                </c:pt>
                <c:pt idx="1325">
                  <c:v>15.278303146362305</c:v>
                </c:pt>
                <c:pt idx="1326">
                  <c:v>16.045501708984375</c:v>
                </c:pt>
                <c:pt idx="1327">
                  <c:v>14.788749694824219</c:v>
                </c:pt>
                <c:pt idx="1328">
                  <c:v>15.241764068603516</c:v>
                </c:pt>
                <c:pt idx="1329">
                  <c:v>14.591471672058105</c:v>
                </c:pt>
                <c:pt idx="1330">
                  <c:v>14.51109790802002</c:v>
                </c:pt>
                <c:pt idx="1331">
                  <c:v>15.037179946899414</c:v>
                </c:pt>
                <c:pt idx="1332">
                  <c:v>14.715685844421387</c:v>
                </c:pt>
                <c:pt idx="1333">
                  <c:v>14.145761489868164</c:v>
                </c:pt>
                <c:pt idx="1334">
                  <c:v>14.364959716796875</c:v>
                </c:pt>
                <c:pt idx="1335">
                  <c:v>14.321122169494629</c:v>
                </c:pt>
                <c:pt idx="1336">
                  <c:v>14.715685844421387</c:v>
                </c:pt>
                <c:pt idx="1337">
                  <c:v>15.380592346191406</c:v>
                </c:pt>
                <c:pt idx="1338">
                  <c:v>16.235475540161133</c:v>
                </c:pt>
                <c:pt idx="1339">
                  <c:v>16.878469467163086</c:v>
                </c:pt>
                <c:pt idx="1340">
                  <c:v>17.112279891967773</c:v>
                </c:pt>
                <c:pt idx="1341">
                  <c:v>15.892060279846191</c:v>
                </c:pt>
                <c:pt idx="1342">
                  <c:v>16.469291687011719</c:v>
                </c:pt>
                <c:pt idx="1343">
                  <c:v>16.264707565307617</c:v>
                </c:pt>
                <c:pt idx="1344">
                  <c:v>16.001663208007813</c:v>
                </c:pt>
                <c:pt idx="1345">
                  <c:v>16.513132095336914</c:v>
                </c:pt>
                <c:pt idx="1346">
                  <c:v>17.144781112670898</c:v>
                </c:pt>
                <c:pt idx="1347">
                  <c:v>16.926712036132813</c:v>
                </c:pt>
                <c:pt idx="1348">
                  <c:v>16.122110366821289</c:v>
                </c:pt>
                <c:pt idx="1349">
                  <c:v>15.90404224395752</c:v>
                </c:pt>
                <c:pt idx="1350">
                  <c:v>16.204828262329102</c:v>
                </c:pt>
                <c:pt idx="1351">
                  <c:v>15.994277000427246</c:v>
                </c:pt>
                <c:pt idx="1352">
                  <c:v>17.144781112670898</c:v>
                </c:pt>
                <c:pt idx="1353">
                  <c:v>17.204936981201172</c:v>
                </c:pt>
                <c:pt idx="1354">
                  <c:v>17.814027786254883</c:v>
                </c:pt>
                <c:pt idx="1355">
                  <c:v>17.986978530883789</c:v>
                </c:pt>
                <c:pt idx="1356">
                  <c:v>18.25016975402832</c:v>
                </c:pt>
                <c:pt idx="1357">
                  <c:v>18.746463775634766</c:v>
                </c:pt>
                <c:pt idx="1358">
                  <c:v>19.603702545166016</c:v>
                </c:pt>
                <c:pt idx="1359">
                  <c:v>18.987094879150391</c:v>
                </c:pt>
                <c:pt idx="1360">
                  <c:v>18.776542663574219</c:v>
                </c:pt>
                <c:pt idx="1361">
                  <c:v>19.212682723999023</c:v>
                </c:pt>
                <c:pt idx="1362">
                  <c:v>19.551067352294922</c:v>
                </c:pt>
                <c:pt idx="1363">
                  <c:v>19.799215316772461</c:v>
                </c:pt>
                <c:pt idx="1364">
                  <c:v>19.761619567871094</c:v>
                </c:pt>
                <c:pt idx="1365">
                  <c:v>19.776655197143555</c:v>
                </c:pt>
                <c:pt idx="1366">
                  <c:v>20.062400817871094</c:v>
                </c:pt>
                <c:pt idx="1367">
                  <c:v>19.979684829711914</c:v>
                </c:pt>
                <c:pt idx="1368">
                  <c:v>19.739057540893555</c:v>
                </c:pt>
                <c:pt idx="1369">
                  <c:v>18.423118591308594</c:v>
                </c:pt>
                <c:pt idx="1370">
                  <c:v>19.107406616210938</c:v>
                </c:pt>
                <c:pt idx="1371">
                  <c:v>19.430753707885742</c:v>
                </c:pt>
                <c:pt idx="1372">
                  <c:v>20.039846420288086</c:v>
                </c:pt>
                <c:pt idx="1373">
                  <c:v>20.212797164916992</c:v>
                </c:pt>
                <c:pt idx="1374">
                  <c:v>20.75421142578125</c:v>
                </c:pt>
                <c:pt idx="1375">
                  <c:v>20.04736328125</c:v>
                </c:pt>
                <c:pt idx="1376">
                  <c:v>20.00224494934082</c:v>
                </c:pt>
                <c:pt idx="1377">
                  <c:v>19.648818969726563</c:v>
                </c:pt>
                <c:pt idx="1378">
                  <c:v>18.836698532104492</c:v>
                </c:pt>
                <c:pt idx="1379">
                  <c:v>19.393154144287109</c:v>
                </c:pt>
                <c:pt idx="1380">
                  <c:v>19.032211303710938</c:v>
                </c:pt>
                <c:pt idx="1381">
                  <c:v>19.874412536621094</c:v>
                </c:pt>
                <c:pt idx="1382">
                  <c:v>20.483499526977539</c:v>
                </c:pt>
                <c:pt idx="1383">
                  <c:v>20.017284393310547</c:v>
                </c:pt>
                <c:pt idx="1384">
                  <c:v>20.054880142211914</c:v>
                </c:pt>
                <c:pt idx="1385">
                  <c:v>20.16767692565918</c:v>
                </c:pt>
                <c:pt idx="1386">
                  <c:v>19.927047729492188</c:v>
                </c:pt>
                <c:pt idx="1387">
                  <c:v>20.528614044189453</c:v>
                </c:pt>
                <c:pt idx="1388">
                  <c:v>20.16767692565918</c:v>
                </c:pt>
                <c:pt idx="1389">
                  <c:v>20.235353469848633</c:v>
                </c:pt>
                <c:pt idx="1390">
                  <c:v>20.355667114257813</c:v>
                </c:pt>
                <c:pt idx="1391">
                  <c:v>20.957239151000977</c:v>
                </c:pt>
                <c:pt idx="1392">
                  <c:v>21.5362548828125</c:v>
                </c:pt>
                <c:pt idx="1393">
                  <c:v>21.483615875244141</c:v>
                </c:pt>
                <c:pt idx="1394">
                  <c:v>21.250507354736328</c:v>
                </c:pt>
                <c:pt idx="1395">
                  <c:v>21.085073471069336</c:v>
                </c:pt>
                <c:pt idx="1396">
                  <c:v>21.694164276123047</c:v>
                </c:pt>
                <c:pt idx="1397">
                  <c:v>21.776880264282227</c:v>
                </c:pt>
                <c:pt idx="1398">
                  <c:v>21.491130828857422</c:v>
                </c:pt>
                <c:pt idx="1399">
                  <c:v>21.227949142456055</c:v>
                </c:pt>
                <c:pt idx="1400">
                  <c:v>21.513692855834961</c:v>
                </c:pt>
                <c:pt idx="1401">
                  <c:v>21.491130828857422</c:v>
                </c:pt>
                <c:pt idx="1402">
                  <c:v>22.009990692138672</c:v>
                </c:pt>
                <c:pt idx="1403">
                  <c:v>21.91975212097168</c:v>
                </c:pt>
                <c:pt idx="1404">
                  <c:v>21.819908142089844</c:v>
                </c:pt>
                <c:pt idx="1405">
                  <c:v>21.681661605834961</c:v>
                </c:pt>
                <c:pt idx="1406">
                  <c:v>21.205478668212891</c:v>
                </c:pt>
                <c:pt idx="1407">
                  <c:v>21.366765975952148</c:v>
                </c:pt>
                <c:pt idx="1408">
                  <c:v>21.051872253417969</c:v>
                </c:pt>
                <c:pt idx="1409">
                  <c:v>21.566455841064453</c:v>
                </c:pt>
                <c:pt idx="1410">
                  <c:v>21.704700469970703</c:v>
                </c:pt>
                <c:pt idx="1411">
                  <c:v>21.91975212097168</c:v>
                </c:pt>
                <c:pt idx="1412">
                  <c:v>22.226968765258789</c:v>
                </c:pt>
                <c:pt idx="1413">
                  <c:v>22.618663787841797</c:v>
                </c:pt>
                <c:pt idx="1414">
                  <c:v>22.326812744140625</c:v>
                </c:pt>
                <c:pt idx="1415">
                  <c:v>22.096401214599609</c:v>
                </c:pt>
                <c:pt idx="1416">
                  <c:v>21.91975212097168</c:v>
                </c:pt>
                <c:pt idx="1417">
                  <c:v>21.950473785400391</c:v>
                </c:pt>
                <c:pt idx="1418">
                  <c:v>21.635580062866211</c:v>
                </c:pt>
                <c:pt idx="1419">
                  <c:v>22.004234313964844</c:v>
                </c:pt>
                <c:pt idx="1420">
                  <c:v>22.296091079711914</c:v>
                </c:pt>
                <c:pt idx="1421">
                  <c:v>22.134799957275391</c:v>
                </c:pt>
                <c:pt idx="1422">
                  <c:v>21.819908142089844</c:v>
                </c:pt>
                <c:pt idx="1423">
                  <c:v>21.91975212097168</c:v>
                </c:pt>
                <c:pt idx="1424">
                  <c:v>22.242330551147461</c:v>
                </c:pt>
                <c:pt idx="1425">
                  <c:v>21.881349563598633</c:v>
                </c:pt>
                <c:pt idx="1426">
                  <c:v>22.019599914550781</c:v>
                </c:pt>
                <c:pt idx="1427">
                  <c:v>22.203927993774414</c:v>
                </c:pt>
                <c:pt idx="1428">
                  <c:v>21.766143798828125</c:v>
                </c:pt>
                <c:pt idx="1429">
                  <c:v>21.581817626953125</c:v>
                </c:pt>
                <c:pt idx="1430">
                  <c:v>20.721612930297852</c:v>
                </c:pt>
                <c:pt idx="1431">
                  <c:v>20.875225067138672</c:v>
                </c:pt>
                <c:pt idx="1432">
                  <c:v>20.614089965820313</c:v>
                </c:pt>
                <c:pt idx="1433">
                  <c:v>20.898269653320313</c:v>
                </c:pt>
                <c:pt idx="1434">
                  <c:v>20.967386245727539</c:v>
                </c:pt>
                <c:pt idx="1435">
                  <c:v>21.159395217895508</c:v>
                </c:pt>
                <c:pt idx="1436">
                  <c:v>21.428207397460938</c:v>
                </c:pt>
                <c:pt idx="1437">
                  <c:v>21.359086990356445</c:v>
                </c:pt>
                <c:pt idx="1438">
                  <c:v>21.313007354736328</c:v>
                </c:pt>
                <c:pt idx="1439">
                  <c:v>20.844499588012695</c:v>
                </c:pt>
                <c:pt idx="1440">
                  <c:v>21.021150588989258</c:v>
                </c:pt>
                <c:pt idx="1441">
                  <c:v>20.744657516479492</c:v>
                </c:pt>
                <c:pt idx="1442">
                  <c:v>20.621770858764648</c:v>
                </c:pt>
                <c:pt idx="1443">
                  <c:v>21.028827667236328</c:v>
                </c:pt>
                <c:pt idx="1444">
                  <c:v>21.082595825195313</c:v>
                </c:pt>
                <c:pt idx="1445">
                  <c:v>20.760019302368164</c:v>
                </c:pt>
                <c:pt idx="1446">
                  <c:v>20.7677001953125</c:v>
                </c:pt>
                <c:pt idx="1447">
                  <c:v>20.598733901977539</c:v>
                </c:pt>
                <c:pt idx="1448">
                  <c:v>20.706256866455078</c:v>
                </c:pt>
                <c:pt idx="1449">
                  <c:v>20.998109817504883</c:v>
                </c:pt>
                <c:pt idx="1450">
                  <c:v>21.213159561157227</c:v>
                </c:pt>
                <c:pt idx="1451">
                  <c:v>21.581817626953125</c:v>
                </c:pt>
                <c:pt idx="1452">
                  <c:v>22.841398239135742</c:v>
                </c:pt>
                <c:pt idx="1453">
                  <c:v>23.240776062011719</c:v>
                </c:pt>
                <c:pt idx="1454">
                  <c:v>24.53875732421875</c:v>
                </c:pt>
                <c:pt idx="1455">
                  <c:v>24.861330032348633</c:v>
                </c:pt>
                <c:pt idx="1456">
                  <c:v>25.329835891723633</c:v>
                </c:pt>
                <c:pt idx="1457">
                  <c:v>25.475757598876953</c:v>
                </c:pt>
                <c:pt idx="1458">
                  <c:v>25.314472198486328</c:v>
                </c:pt>
                <c:pt idx="1459">
                  <c:v>25.030298233032227</c:v>
                </c:pt>
                <c:pt idx="1460">
                  <c:v>25.314472198486328</c:v>
                </c:pt>
                <c:pt idx="1461">
                  <c:v>24.83061408996582</c:v>
                </c:pt>
                <c:pt idx="1462">
                  <c:v>24.700040817260742</c:v>
                </c:pt>
                <c:pt idx="1463">
                  <c:v>24.231540679931641</c:v>
                </c:pt>
                <c:pt idx="1464">
                  <c:v>23.632474899291992</c:v>
                </c:pt>
                <c:pt idx="1465">
                  <c:v>23.386703491210938</c:v>
                </c:pt>
                <c:pt idx="1466">
                  <c:v>22.726190567016602</c:v>
                </c:pt>
                <c:pt idx="1467">
                  <c:v>22.956600189208984</c:v>
                </c:pt>
                <c:pt idx="1468">
                  <c:v>22.846536636352539</c:v>
                </c:pt>
                <c:pt idx="1469">
                  <c:v>22.956600189208984</c:v>
                </c:pt>
                <c:pt idx="1470">
                  <c:v>23.483345031738281</c:v>
                </c:pt>
                <c:pt idx="1471">
                  <c:v>23.789955139160156</c:v>
                </c:pt>
                <c:pt idx="1472">
                  <c:v>24.253807067871094</c:v>
                </c:pt>
                <c:pt idx="1473">
                  <c:v>23.687753677368164</c:v>
                </c:pt>
                <c:pt idx="1474">
                  <c:v>24.253807067871094</c:v>
                </c:pt>
                <c:pt idx="1475">
                  <c:v>25.063581466674805</c:v>
                </c:pt>
                <c:pt idx="1476">
                  <c:v>24.906343460083008</c:v>
                </c:pt>
                <c:pt idx="1477">
                  <c:v>24.678346633911133</c:v>
                </c:pt>
                <c:pt idx="1478">
                  <c:v>24.874895095825195</c:v>
                </c:pt>
                <c:pt idx="1479">
                  <c:v>25.165781021118164</c:v>
                </c:pt>
                <c:pt idx="1480">
                  <c:v>24.544692993164063</c:v>
                </c:pt>
                <c:pt idx="1481">
                  <c:v>24.678346633911133</c:v>
                </c:pt>
                <c:pt idx="1482">
                  <c:v>24.914203643798828</c:v>
                </c:pt>
                <c:pt idx="1483">
                  <c:v>24.906343460083008</c:v>
                </c:pt>
                <c:pt idx="1484">
                  <c:v>24.922063827514648</c:v>
                </c:pt>
                <c:pt idx="1485">
                  <c:v>25.275848388671875</c:v>
                </c:pt>
                <c:pt idx="1486">
                  <c:v>25.071439743041992</c:v>
                </c:pt>
                <c:pt idx="1487">
                  <c:v>25.440948486328125</c:v>
                </c:pt>
                <c:pt idx="1488">
                  <c:v>25.055719375610352</c:v>
                </c:pt>
                <c:pt idx="1489">
                  <c:v>25.629627227783203</c:v>
                </c:pt>
                <c:pt idx="1490">
                  <c:v>26.038444519042969</c:v>
                </c:pt>
                <c:pt idx="1491">
                  <c:v>26.565193176269531</c:v>
                </c:pt>
                <c:pt idx="1492">
                  <c:v>26.266441345214844</c:v>
                </c:pt>
                <c:pt idx="1493">
                  <c:v>25.771142959594727</c:v>
                </c:pt>
                <c:pt idx="1494">
                  <c:v>26.046308517456055</c:v>
                </c:pt>
                <c:pt idx="1495">
                  <c:v>24.654762268066406</c:v>
                </c:pt>
                <c:pt idx="1496">
                  <c:v>25.18150520324707</c:v>
                </c:pt>
                <c:pt idx="1497">
                  <c:v>25.236539840698242</c:v>
                </c:pt>
                <c:pt idx="1498">
                  <c:v>25.205089569091797</c:v>
                </c:pt>
                <c:pt idx="1499">
                  <c:v>25.519567489624023</c:v>
                </c:pt>
                <c:pt idx="1500">
                  <c:v>26.006999969482422</c:v>
                </c:pt>
                <c:pt idx="1501">
                  <c:v>26.470848083496094</c:v>
                </c:pt>
                <c:pt idx="1502">
                  <c:v>26.423677444458008</c:v>
                </c:pt>
                <c:pt idx="1503">
                  <c:v>26.35291862487793</c:v>
                </c:pt>
                <c:pt idx="1504">
                  <c:v>26.234991073608398</c:v>
                </c:pt>
                <c:pt idx="1505">
                  <c:v>26.242855072021484</c:v>
                </c:pt>
                <c:pt idx="1506">
                  <c:v>26.234991073608398</c:v>
                </c:pt>
                <c:pt idx="1507">
                  <c:v>26.046308517456055</c:v>
                </c:pt>
                <c:pt idx="1508">
                  <c:v>25.841901779174805</c:v>
                </c:pt>
                <c:pt idx="1509">
                  <c:v>26.12492561340332</c:v>
                </c:pt>
                <c:pt idx="1510">
                  <c:v>26.549467086791992</c:v>
                </c:pt>
                <c:pt idx="1511">
                  <c:v>26.140651702880859</c:v>
                </c:pt>
                <c:pt idx="1512">
                  <c:v>26.093479156494141</c:v>
                </c:pt>
                <c:pt idx="1513">
                  <c:v>26.997592926025391</c:v>
                </c:pt>
                <c:pt idx="1514">
                  <c:v>27.492889404296875</c:v>
                </c:pt>
                <c:pt idx="1515">
                  <c:v>27.429994583129883</c:v>
                </c:pt>
                <c:pt idx="1516">
                  <c:v>27.571510314941406</c:v>
                </c:pt>
                <c:pt idx="1517">
                  <c:v>28.224040985107422</c:v>
                </c:pt>
                <c:pt idx="1518">
                  <c:v>28.247625350952148</c:v>
                </c:pt>
                <c:pt idx="1519">
                  <c:v>27.893844604492188</c:v>
                </c:pt>
                <c:pt idx="1520">
                  <c:v>27.626543045043945</c:v>
                </c:pt>
                <c:pt idx="1521">
                  <c:v>28.34196662902832</c:v>
                </c:pt>
                <c:pt idx="1522">
                  <c:v>28.483484268188477</c:v>
                </c:pt>
                <c:pt idx="1523">
                  <c:v>27.99604606628418</c:v>
                </c:pt>
                <c:pt idx="1524">
                  <c:v>28.326244354248047</c:v>
                </c:pt>
                <c:pt idx="1525">
                  <c:v>28.774368286132813</c:v>
                </c:pt>
                <c:pt idx="1526">
                  <c:v>29.591997146606445</c:v>
                </c:pt>
                <c:pt idx="1527">
                  <c:v>28.774368286132813</c:v>
                </c:pt>
                <c:pt idx="1528">
                  <c:v>28.986642837524414</c:v>
                </c:pt>
                <c:pt idx="1529">
                  <c:v>27.791641235351563</c:v>
                </c:pt>
                <c:pt idx="1530">
                  <c:v>28.397001266479492</c:v>
                </c:pt>
                <c:pt idx="1531">
                  <c:v>29.002363204956055</c:v>
                </c:pt>
                <c:pt idx="1532">
                  <c:v>29.104568481445313</c:v>
                </c:pt>
                <c:pt idx="1533">
                  <c:v>29.764968872070313</c:v>
                </c:pt>
                <c:pt idx="1534">
                  <c:v>30.244541168212891</c:v>
                </c:pt>
                <c:pt idx="1535">
                  <c:v>31.05430793762207</c:v>
                </c:pt>
                <c:pt idx="1536">
                  <c:v>30.441078186035156</c:v>
                </c:pt>
                <c:pt idx="1537">
                  <c:v>29.159603118896484</c:v>
                </c:pt>
                <c:pt idx="1538">
                  <c:v>30.425359725952148</c:v>
                </c:pt>
                <c:pt idx="1539">
                  <c:v>29.607725143432617</c:v>
                </c:pt>
                <c:pt idx="1540">
                  <c:v>30.165918350219727</c:v>
                </c:pt>
                <c:pt idx="1541">
                  <c:v>30.283847808837891</c:v>
                </c:pt>
                <c:pt idx="1542">
                  <c:v>29.788549423217773</c:v>
                </c:pt>
                <c:pt idx="1543">
                  <c:v>29.893440246582031</c:v>
                </c:pt>
                <c:pt idx="1544">
                  <c:v>29.707868576049805</c:v>
                </c:pt>
                <c:pt idx="1545">
                  <c:v>29.199556350708008</c:v>
                </c:pt>
                <c:pt idx="1546">
                  <c:v>29.506155014038086</c:v>
                </c:pt>
                <c:pt idx="1547">
                  <c:v>29.425479888916016</c:v>
                </c:pt>
                <c:pt idx="1548">
                  <c:v>29.498085021972656</c:v>
                </c:pt>
                <c:pt idx="1549">
                  <c:v>30.095149993896484</c:v>
                </c:pt>
                <c:pt idx="1550">
                  <c:v>30.280723571777344</c:v>
                </c:pt>
                <c:pt idx="1551">
                  <c:v>30.490503311157227</c:v>
                </c:pt>
                <c:pt idx="1552">
                  <c:v>29.417407989501953</c:v>
                </c:pt>
                <c:pt idx="1553">
                  <c:v>30.167758941650391</c:v>
                </c:pt>
                <c:pt idx="1554">
                  <c:v>30.434024810791016</c:v>
                </c:pt>
                <c:pt idx="1555">
                  <c:v>30.506641387939453</c:v>
                </c:pt>
                <c:pt idx="1556">
                  <c:v>31.305404663085938</c:v>
                </c:pt>
                <c:pt idx="1557">
                  <c:v>31.442573547363281</c:v>
                </c:pt>
                <c:pt idx="1558">
                  <c:v>31.144041061401367</c:v>
                </c:pt>
                <c:pt idx="1559">
                  <c:v>31.845993041992188</c:v>
                </c:pt>
                <c:pt idx="1560">
                  <c:v>31.628149032592773</c:v>
                </c:pt>
                <c:pt idx="1561">
                  <c:v>32.5721435546875</c:v>
                </c:pt>
                <c:pt idx="1562">
                  <c:v>33.475814819335938</c:v>
                </c:pt>
                <c:pt idx="1563">
                  <c:v>34.177764892578125</c:v>
                </c:pt>
                <c:pt idx="1564">
                  <c:v>33.782405853271484</c:v>
                </c:pt>
                <c:pt idx="1565">
                  <c:v>32.967502593994141</c:v>
                </c:pt>
                <c:pt idx="1566">
                  <c:v>32.273616790771484</c:v>
                </c:pt>
                <c:pt idx="1567">
                  <c:v>31.797580718994141</c:v>
                </c:pt>
                <c:pt idx="1568">
                  <c:v>31.91053581237793</c:v>
                </c:pt>
                <c:pt idx="1569">
                  <c:v>31.410301208496094</c:v>
                </c:pt>
                <c:pt idx="1570">
                  <c:v>32.0638427734375</c:v>
                </c:pt>
                <c:pt idx="1571">
                  <c:v>32.265544891357422</c:v>
                </c:pt>
                <c:pt idx="1572">
                  <c:v>33.03204345703125</c:v>
                </c:pt>
                <c:pt idx="1573">
                  <c:v>33.387062072753906</c:v>
                </c:pt>
                <c:pt idx="1574">
                  <c:v>32.878742218017578</c:v>
                </c:pt>
                <c:pt idx="1575">
                  <c:v>32.741592407226563</c:v>
                </c:pt>
                <c:pt idx="1576">
                  <c:v>32.822269439697266</c:v>
                </c:pt>
                <c:pt idx="1577">
                  <c:v>32.507598876953125</c:v>
                </c:pt>
                <c:pt idx="1578">
                  <c:v>32.475330352783203</c:v>
                </c:pt>
                <c:pt idx="1579">
                  <c:v>32.668968200683594</c:v>
                </c:pt>
                <c:pt idx="1580">
                  <c:v>32.556011199951172</c:v>
                </c:pt>
                <c:pt idx="1581">
                  <c:v>32.176795959472656</c:v>
                </c:pt>
                <c:pt idx="1582">
                  <c:v>32.370445251464844</c:v>
                </c:pt>
                <c:pt idx="1583">
                  <c:v>32.112247467041016</c:v>
                </c:pt>
                <c:pt idx="1584">
                  <c:v>32.168720245361328</c:v>
                </c:pt>
                <c:pt idx="1585">
                  <c:v>32.830333709716797</c:v>
                </c:pt>
                <c:pt idx="1586">
                  <c:v>33.508087158203125</c:v>
                </c:pt>
                <c:pt idx="1587">
                  <c:v>34.056732177734375</c:v>
                </c:pt>
                <c:pt idx="1588">
                  <c:v>34.395610809326172</c:v>
                </c:pt>
                <c:pt idx="1589">
                  <c:v>34.669933319091797</c:v>
                </c:pt>
                <c:pt idx="1590">
                  <c:v>33.766277313232422</c:v>
                </c:pt>
                <c:pt idx="1591">
                  <c:v>34.314926147460938</c:v>
                </c:pt>
                <c:pt idx="1592">
                  <c:v>34.782890319824219</c:v>
                </c:pt>
                <c:pt idx="1593">
                  <c:v>35.968948364257813</c:v>
                </c:pt>
                <c:pt idx="1594">
                  <c:v>35.734970092773438</c:v>
                </c:pt>
                <c:pt idx="1595">
                  <c:v>36.428848266601563</c:v>
                </c:pt>
                <c:pt idx="1596">
                  <c:v>37.356708526611328</c:v>
                </c:pt>
                <c:pt idx="1597">
                  <c:v>36.642261505126953</c:v>
                </c:pt>
                <c:pt idx="1598">
                  <c:v>36.814723968505859</c:v>
                </c:pt>
                <c:pt idx="1599">
                  <c:v>35.68145751953125</c:v>
                </c:pt>
                <c:pt idx="1600">
                  <c:v>34.252548217773438</c:v>
                </c:pt>
                <c:pt idx="1601">
                  <c:v>35.402236938476563</c:v>
                </c:pt>
                <c:pt idx="1602">
                  <c:v>36.436965942382813</c:v>
                </c:pt>
                <c:pt idx="1603">
                  <c:v>35.870334625244141</c:v>
                </c:pt>
                <c:pt idx="1604">
                  <c:v>35.738937377929688</c:v>
                </c:pt>
                <c:pt idx="1605">
                  <c:v>35.550060272216797</c:v>
                </c:pt>
                <c:pt idx="1606">
                  <c:v>35.640396118164063</c:v>
                </c:pt>
                <c:pt idx="1607">
                  <c:v>36.551933288574219</c:v>
                </c:pt>
                <c:pt idx="1608">
                  <c:v>36.40411376953125</c:v>
                </c:pt>
                <c:pt idx="1609">
                  <c:v>35.878543853759766</c:v>
                </c:pt>
                <c:pt idx="1610">
                  <c:v>36.379474639892578</c:v>
                </c:pt>
                <c:pt idx="1611">
                  <c:v>37.003593444824219</c:v>
                </c:pt>
                <c:pt idx="1612">
                  <c:v>36.978958129882813</c:v>
                </c:pt>
                <c:pt idx="1613">
                  <c:v>37.061084747314453</c:v>
                </c:pt>
                <c:pt idx="1614">
                  <c:v>36.962535858154297</c:v>
                </c:pt>
                <c:pt idx="1615">
                  <c:v>37.27459716796875</c:v>
                </c:pt>
                <c:pt idx="1616">
                  <c:v>37.028228759765625</c:v>
                </c:pt>
                <c:pt idx="1617">
                  <c:v>36.946113586425781</c:v>
                </c:pt>
                <c:pt idx="1618">
                  <c:v>37.660564422607422</c:v>
                </c:pt>
                <c:pt idx="1619">
                  <c:v>37.947982788085938</c:v>
                </c:pt>
                <c:pt idx="1620">
                  <c:v>37.364925384521484</c:v>
                </c:pt>
                <c:pt idx="1621">
                  <c:v>37.693408966064453</c:v>
                </c:pt>
                <c:pt idx="1622">
                  <c:v>37.373138427734375</c:v>
                </c:pt>
                <c:pt idx="1623">
                  <c:v>37.241744995117188</c:v>
                </c:pt>
                <c:pt idx="1624">
                  <c:v>37.233531951904297</c:v>
                </c:pt>
                <c:pt idx="1625">
                  <c:v>36.666900634765625</c:v>
                </c:pt>
                <c:pt idx="1626">
                  <c:v>35.525417327880859</c:v>
                </c:pt>
                <c:pt idx="1627">
                  <c:v>36.346626281738281</c:v>
                </c:pt>
                <c:pt idx="1628">
                  <c:v>36.905052185058594</c:v>
                </c:pt>
                <c:pt idx="1629">
                  <c:v>37.069286346435547</c:v>
                </c:pt>
                <c:pt idx="1630">
                  <c:v>37.652347564697266</c:v>
                </c:pt>
                <c:pt idx="1631">
                  <c:v>37.742679595947266</c:v>
                </c:pt>
                <c:pt idx="1632">
                  <c:v>38.3421630859375</c:v>
                </c:pt>
                <c:pt idx="1633">
                  <c:v>37.890495300292969</c:v>
                </c:pt>
                <c:pt idx="1634">
                  <c:v>38.23541259765625</c:v>
                </c:pt>
                <c:pt idx="1635">
                  <c:v>38.407859802246094</c:v>
                </c:pt>
                <c:pt idx="1636">
                  <c:v>38.5228271484375</c:v>
                </c:pt>
                <c:pt idx="1637">
                  <c:v>38.834888458251953</c:v>
                </c:pt>
                <c:pt idx="1638">
                  <c:v>37.627712249755859</c:v>
                </c:pt>
                <c:pt idx="1639">
                  <c:v>36.855777740478516</c:v>
                </c:pt>
                <c:pt idx="1640">
                  <c:v>38.013687133789063</c:v>
                </c:pt>
                <c:pt idx="1641">
                  <c:v>38.301101684570313</c:v>
                </c:pt>
                <c:pt idx="1642">
                  <c:v>37.545589447021484</c:v>
                </c:pt>
                <c:pt idx="1643">
                  <c:v>37.562015533447266</c:v>
                </c:pt>
                <c:pt idx="1644">
                  <c:v>37.356712341308594</c:v>
                </c:pt>
                <c:pt idx="1645">
                  <c:v>37.085716247558594</c:v>
                </c:pt>
                <c:pt idx="1646">
                  <c:v>36.420536041259766</c:v>
                </c:pt>
                <c:pt idx="1647">
                  <c:v>37.028228759765625</c:v>
                </c:pt>
                <c:pt idx="1648">
                  <c:v>37.800163269042969</c:v>
                </c:pt>
                <c:pt idx="1649">
                  <c:v>37.627712249755859</c:v>
                </c:pt>
                <c:pt idx="1650">
                  <c:v>38.284675598144531</c:v>
                </c:pt>
                <c:pt idx="1651">
                  <c:v>38.859523773193359</c:v>
                </c:pt>
                <c:pt idx="1652">
                  <c:v>38.260040283203125</c:v>
                </c:pt>
                <c:pt idx="1653">
                  <c:v>38.1614990234375</c:v>
                </c:pt>
                <c:pt idx="1654">
                  <c:v>39.565761566162109</c:v>
                </c:pt>
                <c:pt idx="1655">
                  <c:v>39.639675140380859</c:v>
                </c:pt>
                <c:pt idx="1656">
                  <c:v>40.403392791748047</c:v>
                </c:pt>
                <c:pt idx="1657">
                  <c:v>41.249233245849609</c:v>
                </c:pt>
                <c:pt idx="1658">
                  <c:v>41.216384887695313</c:v>
                </c:pt>
                <c:pt idx="1659">
                  <c:v>41.668056488037109</c:v>
                </c:pt>
                <c:pt idx="1660">
                  <c:v>41.793483734130859</c:v>
                </c:pt>
                <c:pt idx="1661">
                  <c:v>40.764949798583984</c:v>
                </c:pt>
                <c:pt idx="1662">
                  <c:v>41.584434509277344</c:v>
                </c:pt>
                <c:pt idx="1663">
                  <c:v>41.718219757080078</c:v>
                </c:pt>
                <c:pt idx="1664">
                  <c:v>41.818565368652344</c:v>
                </c:pt>
                <c:pt idx="1665">
                  <c:v>42.362106323242188</c:v>
                </c:pt>
                <c:pt idx="1666">
                  <c:v>42.253391265869141</c:v>
                </c:pt>
                <c:pt idx="1667">
                  <c:v>40.9405517578125</c:v>
                </c:pt>
                <c:pt idx="1668">
                  <c:v>41.709861755371094</c:v>
                </c:pt>
                <c:pt idx="1669">
                  <c:v>42.069427490234375</c:v>
                </c:pt>
                <c:pt idx="1670">
                  <c:v>42.470809936523438</c:v>
                </c:pt>
                <c:pt idx="1671">
                  <c:v>42.554428100585938</c:v>
                </c:pt>
                <c:pt idx="1672">
                  <c:v>42.796928405761719</c:v>
                </c:pt>
                <c:pt idx="1673">
                  <c:v>42.462444305419922</c:v>
                </c:pt>
                <c:pt idx="1674">
                  <c:v>42.454082489013672</c:v>
                </c:pt>
                <c:pt idx="1675">
                  <c:v>43.516063690185547</c:v>
                </c:pt>
                <c:pt idx="1676">
                  <c:v>43.641494750976563</c:v>
                </c:pt>
                <c:pt idx="1677">
                  <c:v>43.792011260986328</c:v>
                </c:pt>
                <c:pt idx="1678">
                  <c:v>43.683303833007813</c:v>
                </c:pt>
                <c:pt idx="1679">
                  <c:v>43.315372467041016</c:v>
                </c:pt>
                <c:pt idx="1680">
                  <c:v>43.031063079833984</c:v>
                </c:pt>
                <c:pt idx="1681">
                  <c:v>42.646408081054688</c:v>
                </c:pt>
                <c:pt idx="1682">
                  <c:v>42.370464324951172</c:v>
                </c:pt>
                <c:pt idx="1683">
                  <c:v>42.897270202636719</c:v>
                </c:pt>
                <c:pt idx="1684">
                  <c:v>43.307018280029297</c:v>
                </c:pt>
                <c:pt idx="1685">
                  <c:v>43.415721893310547</c:v>
                </c:pt>
                <c:pt idx="1686">
                  <c:v>42.621322631835938</c:v>
                </c:pt>
                <c:pt idx="1687">
                  <c:v>43.499340057373047</c:v>
                </c:pt>
                <c:pt idx="1688">
                  <c:v>43.290287017822266</c:v>
                </c:pt>
                <c:pt idx="1689">
                  <c:v>43.532783508300781</c:v>
                </c:pt>
                <c:pt idx="1690">
                  <c:v>40.371929168701172</c:v>
                </c:pt>
                <c:pt idx="1691">
                  <c:v>41.534259796142578</c:v>
                </c:pt>
                <c:pt idx="1692">
                  <c:v>42.495895385742188</c:v>
                </c:pt>
                <c:pt idx="1693">
                  <c:v>43.465885162353516</c:v>
                </c:pt>
                <c:pt idx="1694">
                  <c:v>43.633132934570313</c:v>
                </c:pt>
                <c:pt idx="1695">
                  <c:v>43.206668853759766</c:v>
                </c:pt>
                <c:pt idx="1696">
                  <c:v>41.584434509277344</c:v>
                </c:pt>
                <c:pt idx="1697">
                  <c:v>41.642963409423828</c:v>
                </c:pt>
                <c:pt idx="1698">
                  <c:v>41.458999633789063</c:v>
                </c:pt>
                <c:pt idx="1699">
                  <c:v>42.470809936523438</c:v>
                </c:pt>
                <c:pt idx="1700">
                  <c:v>42.086151123046875</c:v>
                </c:pt>
                <c:pt idx="1701">
                  <c:v>42.295204162597656</c:v>
                </c:pt>
                <c:pt idx="1702">
                  <c:v>41.860378265380859</c:v>
                </c:pt>
                <c:pt idx="1703">
                  <c:v>41.985809326171875</c:v>
                </c:pt>
                <c:pt idx="1704">
                  <c:v>42.395545959472656</c:v>
                </c:pt>
                <c:pt idx="1705">
                  <c:v>41.751670837402344</c:v>
                </c:pt>
                <c:pt idx="1706">
                  <c:v>41.408832550048828</c:v>
                </c:pt>
                <c:pt idx="1707">
                  <c:v>41.969081878662109</c:v>
                </c:pt>
                <c:pt idx="1708">
                  <c:v>43.674945831298828</c:v>
                </c:pt>
                <c:pt idx="1709">
                  <c:v>43.616405487060547</c:v>
                </c:pt>
                <c:pt idx="1710">
                  <c:v>43.741840362548828</c:v>
                </c:pt>
                <c:pt idx="1711">
                  <c:v>44.151580810546875</c:v>
                </c:pt>
                <c:pt idx="1712">
                  <c:v>44.502784729003906</c:v>
                </c:pt>
                <c:pt idx="1713">
                  <c:v>44.929244995117188</c:v>
                </c:pt>
                <c:pt idx="1714">
                  <c:v>45.941051483154297</c:v>
                </c:pt>
                <c:pt idx="1715">
                  <c:v>46.492942810058594</c:v>
                </c:pt>
                <c:pt idx="1716">
                  <c:v>46.434413909912109</c:v>
                </c:pt>
                <c:pt idx="1717">
                  <c:v>46.610019683837891</c:v>
                </c:pt>
                <c:pt idx="1718">
                  <c:v>46.693637847900391</c:v>
                </c:pt>
                <c:pt idx="1719">
                  <c:v>47.153553009033203</c:v>
                </c:pt>
                <c:pt idx="1720">
                  <c:v>47.287345886230469</c:v>
                </c:pt>
                <c:pt idx="1721">
                  <c:v>46.927776336669922</c:v>
                </c:pt>
                <c:pt idx="1722">
                  <c:v>47.111743927001953</c:v>
                </c:pt>
                <c:pt idx="1723">
                  <c:v>47.546566009521484</c:v>
                </c:pt>
                <c:pt idx="1724">
                  <c:v>48.081752777099609</c:v>
                </c:pt>
                <c:pt idx="1725">
                  <c:v>48.005294799804688</c:v>
                </c:pt>
                <c:pt idx="1726">
                  <c:v>48.073257446289063</c:v>
                </c:pt>
                <c:pt idx="1727">
                  <c:v>46.8074951171875</c:v>
                </c:pt>
                <c:pt idx="1728">
                  <c:v>47.17279052734375</c:v>
                </c:pt>
                <c:pt idx="1729">
                  <c:v>47.894863128662109</c:v>
                </c:pt>
                <c:pt idx="1730">
                  <c:v>47.563564300537109</c:v>
                </c:pt>
                <c:pt idx="1731">
                  <c:v>47.707965850830078</c:v>
                </c:pt>
                <c:pt idx="1732">
                  <c:v>46.909442901611328</c:v>
                </c:pt>
                <c:pt idx="1733">
                  <c:v>46.552642822265625</c:v>
                </c:pt>
                <c:pt idx="1734">
                  <c:v>45.388832092285156</c:v>
                </c:pt>
                <c:pt idx="1735">
                  <c:v>45.754119873046875</c:v>
                </c:pt>
                <c:pt idx="1736">
                  <c:v>46.6630859375</c:v>
                </c:pt>
                <c:pt idx="1737">
                  <c:v>47.181282043457031</c:v>
                </c:pt>
                <c:pt idx="1738">
                  <c:v>46.025959014892578</c:v>
                </c:pt>
                <c:pt idx="1739">
                  <c:v>45.12548828125</c:v>
                </c:pt>
                <c:pt idx="1740">
                  <c:v>42.576988220214844</c:v>
                </c:pt>
                <c:pt idx="1741">
                  <c:v>42.432571411132813</c:v>
                </c:pt>
                <c:pt idx="1742">
                  <c:v>43.154651641845703</c:v>
                </c:pt>
                <c:pt idx="1743">
                  <c:v>43.146148681640625</c:v>
                </c:pt>
                <c:pt idx="1744">
                  <c:v>44.547828674316406</c:v>
                </c:pt>
                <c:pt idx="1745">
                  <c:v>44.921611785888672</c:v>
                </c:pt>
                <c:pt idx="1746">
                  <c:v>43.987155914306641</c:v>
                </c:pt>
                <c:pt idx="1747">
                  <c:v>42.347614288330078</c:v>
                </c:pt>
                <c:pt idx="1748">
                  <c:v>43.273574829101563</c:v>
                </c:pt>
                <c:pt idx="1749">
                  <c:v>42.169223785400391</c:v>
                </c:pt>
                <c:pt idx="1750">
                  <c:v>41.081863403320313</c:v>
                </c:pt>
                <c:pt idx="1751">
                  <c:v>40.657112121582031</c:v>
                </c:pt>
                <c:pt idx="1752">
                  <c:v>40.623130798339844</c:v>
                </c:pt>
                <c:pt idx="1753">
                  <c:v>39.977512359619141</c:v>
                </c:pt>
                <c:pt idx="1754">
                  <c:v>38.686271667480469</c:v>
                </c:pt>
                <c:pt idx="1755">
                  <c:v>39.646205902099609</c:v>
                </c:pt>
                <c:pt idx="1756">
                  <c:v>40.580661773681641</c:v>
                </c:pt>
                <c:pt idx="1757">
                  <c:v>41.600063323974609</c:v>
                </c:pt>
                <c:pt idx="1758">
                  <c:v>41.430156707763672</c:v>
                </c:pt>
                <c:pt idx="1759">
                  <c:v>41.651031494140625</c:v>
                </c:pt>
                <c:pt idx="1760">
                  <c:v>41.421665191650391</c:v>
                </c:pt>
                <c:pt idx="1761">
                  <c:v>41.634040832519531</c:v>
                </c:pt>
                <c:pt idx="1762">
                  <c:v>41.489627838134766</c:v>
                </c:pt>
                <c:pt idx="1763">
                  <c:v>41.387687683105469</c:v>
                </c:pt>
                <c:pt idx="1764">
                  <c:v>40.928951263427734</c:v>
                </c:pt>
                <c:pt idx="1765">
                  <c:v>39.773635864257813</c:v>
                </c:pt>
                <c:pt idx="1766">
                  <c:v>39.850090026855469</c:v>
                </c:pt>
                <c:pt idx="1767">
                  <c:v>41.302730560302734</c:v>
                </c:pt>
                <c:pt idx="1768">
                  <c:v>42.390098571777344</c:v>
                </c:pt>
                <c:pt idx="1769">
                  <c:v>43.417991638183594</c:v>
                </c:pt>
                <c:pt idx="1770">
                  <c:v>43.468959808349609</c:v>
                </c:pt>
                <c:pt idx="1771">
                  <c:v>42.908290863037109</c:v>
                </c:pt>
                <c:pt idx="1772">
                  <c:v>42.831836700439453</c:v>
                </c:pt>
                <c:pt idx="1773">
                  <c:v>42.908290863037109</c:v>
                </c:pt>
                <c:pt idx="1774">
                  <c:v>42.670429229736328</c:v>
                </c:pt>
                <c:pt idx="1775">
                  <c:v>42.254173278808594</c:v>
                </c:pt>
                <c:pt idx="1776">
                  <c:v>40.640125274658203</c:v>
                </c:pt>
                <c:pt idx="1777">
                  <c:v>38.8306884765625</c:v>
                </c:pt>
                <c:pt idx="1778">
                  <c:v>38.303997039794922</c:v>
                </c:pt>
                <c:pt idx="1779">
                  <c:v>39.195972442626953</c:v>
                </c:pt>
                <c:pt idx="1780">
                  <c:v>39.255439758300781</c:v>
                </c:pt>
                <c:pt idx="1781">
                  <c:v>38.73724365234375</c:v>
                </c:pt>
                <c:pt idx="1782">
                  <c:v>39.884063720703125</c:v>
                </c:pt>
                <c:pt idx="1783">
                  <c:v>41.268753051757813</c:v>
                </c:pt>
                <c:pt idx="1784">
                  <c:v>40.393764495849609</c:v>
                </c:pt>
                <c:pt idx="1785">
                  <c:v>38.898647308349609</c:v>
                </c:pt>
                <c:pt idx="1786">
                  <c:v>39.637710571289063</c:v>
                </c:pt>
                <c:pt idx="1787">
                  <c:v>39.544265747070313</c:v>
                </c:pt>
                <c:pt idx="1788">
                  <c:v>40.801528930664063</c:v>
                </c:pt>
                <c:pt idx="1789">
                  <c:v>42.050296783447266</c:v>
                </c:pt>
                <c:pt idx="1790">
                  <c:v>41.863407135009766</c:v>
                </c:pt>
                <c:pt idx="1791">
                  <c:v>41.744472503662109</c:v>
                </c:pt>
                <c:pt idx="1792">
                  <c:v>39.637710571289063</c:v>
                </c:pt>
                <c:pt idx="1793">
                  <c:v>40.402263641357422</c:v>
                </c:pt>
                <c:pt idx="1794">
                  <c:v>40.589149475097656</c:v>
                </c:pt>
                <c:pt idx="1795">
                  <c:v>39.535770416259766</c:v>
                </c:pt>
                <c:pt idx="1796">
                  <c:v>39.308609008789063</c:v>
                </c:pt>
                <c:pt idx="1797">
                  <c:v>36.888408660888672</c:v>
                </c:pt>
                <c:pt idx="1798">
                  <c:v>36.905879974365234</c:v>
                </c:pt>
                <c:pt idx="1799">
                  <c:v>38.338775634765625</c:v>
                </c:pt>
                <c:pt idx="1800">
                  <c:v>39.876522064208984</c:v>
                </c:pt>
                <c:pt idx="1801">
                  <c:v>39.177547454833984</c:v>
                </c:pt>
                <c:pt idx="1802">
                  <c:v>37.901920318603516</c:v>
                </c:pt>
                <c:pt idx="1803">
                  <c:v>39.151340484619141</c:v>
                </c:pt>
                <c:pt idx="1804">
                  <c:v>38.766902923583984</c:v>
                </c:pt>
                <c:pt idx="1805">
                  <c:v>37.762119293212891</c:v>
                </c:pt>
                <c:pt idx="1806">
                  <c:v>35.787513732910156</c:v>
                </c:pt>
                <c:pt idx="1807">
                  <c:v>37.403900146484375</c:v>
                </c:pt>
                <c:pt idx="1808">
                  <c:v>39.212497711181641</c:v>
                </c:pt>
                <c:pt idx="1809">
                  <c:v>38.740684509277344</c:v>
                </c:pt>
                <c:pt idx="1810">
                  <c:v>38.3038330078125</c:v>
                </c:pt>
                <c:pt idx="1811">
                  <c:v>37.080619812011719</c:v>
                </c:pt>
                <c:pt idx="1812">
                  <c:v>37.438846588134766</c:v>
                </c:pt>
                <c:pt idx="1813">
                  <c:v>38.932903289794922</c:v>
                </c:pt>
                <c:pt idx="1814">
                  <c:v>40.295909881591797</c:v>
                </c:pt>
                <c:pt idx="1815">
                  <c:v>40.697818756103516</c:v>
                </c:pt>
                <c:pt idx="1816">
                  <c:v>40.63665771484375</c:v>
                </c:pt>
                <c:pt idx="1817">
                  <c:v>41.056045532226563</c:v>
                </c:pt>
                <c:pt idx="1818">
                  <c:v>39.928943634033203</c:v>
                </c:pt>
                <c:pt idx="1819">
                  <c:v>39.946418762207031</c:v>
                </c:pt>
                <c:pt idx="1820">
                  <c:v>40.260959625244141</c:v>
                </c:pt>
                <c:pt idx="1821">
                  <c:v>40.260959625244141</c:v>
                </c:pt>
                <c:pt idx="1822">
                  <c:v>40.98614501953125</c:v>
                </c:pt>
                <c:pt idx="1823">
                  <c:v>41.134685516357422</c:v>
                </c:pt>
                <c:pt idx="1824">
                  <c:v>41.082256317138672</c:v>
                </c:pt>
                <c:pt idx="1825">
                  <c:v>41.789966583251953</c:v>
                </c:pt>
                <c:pt idx="1826">
                  <c:v>41.545318603515625</c:v>
                </c:pt>
                <c:pt idx="1827">
                  <c:v>41.283210754394531</c:v>
                </c:pt>
                <c:pt idx="1828">
                  <c:v>41.615226745605469</c:v>
                </c:pt>
                <c:pt idx="1829">
                  <c:v>41.929763793945313</c:v>
                </c:pt>
                <c:pt idx="1830">
                  <c:v>41.519111633300781</c:v>
                </c:pt>
                <c:pt idx="1831">
                  <c:v>41.309421539306641</c:v>
                </c:pt>
                <c:pt idx="1832">
                  <c:v>40.435703277587891</c:v>
                </c:pt>
                <c:pt idx="1833">
                  <c:v>40.330856323242188</c:v>
                </c:pt>
                <c:pt idx="1834">
                  <c:v>39.151340484619141</c:v>
                </c:pt>
                <c:pt idx="1835">
                  <c:v>37.124309539794922</c:v>
                </c:pt>
                <c:pt idx="1836">
                  <c:v>38.574680328369141</c:v>
                </c:pt>
                <c:pt idx="1837">
                  <c:v>38.653316497802734</c:v>
                </c:pt>
                <c:pt idx="1838">
                  <c:v>37.631065368652344</c:v>
                </c:pt>
                <c:pt idx="1839">
                  <c:v>36.897140502929688</c:v>
                </c:pt>
                <c:pt idx="1840">
                  <c:v>35.499191284179688</c:v>
                </c:pt>
                <c:pt idx="1841">
                  <c:v>34.2322998046875</c:v>
                </c:pt>
                <c:pt idx="1842">
                  <c:v>34.607997894287109</c:v>
                </c:pt>
                <c:pt idx="1843">
                  <c:v>34.957485198974609</c:v>
                </c:pt>
                <c:pt idx="1844">
                  <c:v>34.782745361328125</c:v>
                </c:pt>
                <c:pt idx="1845">
                  <c:v>34.704109191894531</c:v>
                </c:pt>
                <c:pt idx="1846">
                  <c:v>35.106021881103516</c:v>
                </c:pt>
                <c:pt idx="1847">
                  <c:v>36.608818054199219</c:v>
                </c:pt>
                <c:pt idx="1848">
                  <c:v>36.049633026123047</c:v>
                </c:pt>
                <c:pt idx="1849">
                  <c:v>35.638767242431641</c:v>
                </c:pt>
                <c:pt idx="1850">
                  <c:v>34.468666076660156</c:v>
                </c:pt>
                <c:pt idx="1851">
                  <c:v>35.183223724365234</c:v>
                </c:pt>
                <c:pt idx="1852">
                  <c:v>32.941287994384766</c:v>
                </c:pt>
                <c:pt idx="1853">
                  <c:v>32.646533966064453</c:v>
                </c:pt>
                <c:pt idx="1854">
                  <c:v>34.120319366455078</c:v>
                </c:pt>
                <c:pt idx="1855">
                  <c:v>33.798763275146484</c:v>
                </c:pt>
                <c:pt idx="1856">
                  <c:v>35.326137542724609</c:v>
                </c:pt>
                <c:pt idx="1857">
                  <c:v>34.84381103515625</c:v>
                </c:pt>
                <c:pt idx="1858">
                  <c:v>34.432937622070313</c:v>
                </c:pt>
                <c:pt idx="1859">
                  <c:v>34.879535675048828</c:v>
                </c:pt>
                <c:pt idx="1860">
                  <c:v>35.486915588378906</c:v>
                </c:pt>
                <c:pt idx="1861">
                  <c:v>35.397598266601563</c:v>
                </c:pt>
                <c:pt idx="1862">
                  <c:v>36.665946960449219</c:v>
                </c:pt>
                <c:pt idx="1863">
                  <c:v>37.755649566650391</c:v>
                </c:pt>
                <c:pt idx="1864">
                  <c:v>38.318367004394531</c:v>
                </c:pt>
                <c:pt idx="1865">
                  <c:v>37.996818542480469</c:v>
                </c:pt>
                <c:pt idx="1866">
                  <c:v>37.612739562988281</c:v>
                </c:pt>
                <c:pt idx="1867">
                  <c:v>38.720302581787109</c:v>
                </c:pt>
                <c:pt idx="1868">
                  <c:v>38.139724731445313</c:v>
                </c:pt>
                <c:pt idx="1869">
                  <c:v>38.738174438476563</c:v>
                </c:pt>
                <c:pt idx="1870">
                  <c:v>39.524192810058594</c:v>
                </c:pt>
                <c:pt idx="1871">
                  <c:v>38.488079071044922</c:v>
                </c:pt>
                <c:pt idx="1872">
                  <c:v>38.2647705078125</c:v>
                </c:pt>
                <c:pt idx="1873">
                  <c:v>38.407688140869141</c:v>
                </c:pt>
                <c:pt idx="1874">
                  <c:v>36.219341278076172</c:v>
                </c:pt>
                <c:pt idx="1875">
                  <c:v>36.040699005126953</c:v>
                </c:pt>
                <c:pt idx="1876">
                  <c:v>36.960704803466797</c:v>
                </c:pt>
                <c:pt idx="1877">
                  <c:v>36.076427459716797</c:v>
                </c:pt>
                <c:pt idx="1878">
                  <c:v>35.790603637695313</c:v>
                </c:pt>
                <c:pt idx="1879">
                  <c:v>36.978565216064453</c:v>
                </c:pt>
                <c:pt idx="1880">
                  <c:v>36.630214691162109</c:v>
                </c:pt>
                <c:pt idx="1881">
                  <c:v>37.416236877441406</c:v>
                </c:pt>
                <c:pt idx="1882">
                  <c:v>38.541671752929688</c:v>
                </c:pt>
                <c:pt idx="1883">
                  <c:v>38.166522979736328</c:v>
                </c:pt>
                <c:pt idx="1884">
                  <c:v>38.220115661621094</c:v>
                </c:pt>
                <c:pt idx="1885">
                  <c:v>37.317981719970703</c:v>
                </c:pt>
                <c:pt idx="1886">
                  <c:v>37.139347076416016</c:v>
                </c:pt>
                <c:pt idx="1887">
                  <c:v>37.648464202880859</c:v>
                </c:pt>
                <c:pt idx="1888">
                  <c:v>37.353710174560547</c:v>
                </c:pt>
                <c:pt idx="1889">
                  <c:v>36.755264282226563</c:v>
                </c:pt>
                <c:pt idx="1890">
                  <c:v>37.443027496337891</c:v>
                </c:pt>
                <c:pt idx="1891">
                  <c:v>37.032157897949219</c:v>
                </c:pt>
                <c:pt idx="1892">
                  <c:v>36.639148712158203</c:v>
                </c:pt>
                <c:pt idx="1893">
                  <c:v>36.630214691162109</c:v>
                </c:pt>
                <c:pt idx="1894">
                  <c:v>36.424777984619141</c:v>
                </c:pt>
                <c:pt idx="1895">
                  <c:v>36.112155914306641</c:v>
                </c:pt>
                <c:pt idx="1896">
                  <c:v>36.648075103759766</c:v>
                </c:pt>
                <c:pt idx="1897">
                  <c:v>35.647693634033203</c:v>
                </c:pt>
                <c:pt idx="1898">
                  <c:v>36.719539642333984</c:v>
                </c:pt>
                <c:pt idx="1899">
                  <c:v>37.532352447509766</c:v>
                </c:pt>
                <c:pt idx="1900">
                  <c:v>37.693122863769531</c:v>
                </c:pt>
                <c:pt idx="1901">
                  <c:v>37.139347076416016</c:v>
                </c:pt>
                <c:pt idx="1902">
                  <c:v>37.335845947265625</c:v>
                </c:pt>
                <c:pt idx="1903">
                  <c:v>36.844585418701172</c:v>
                </c:pt>
                <c:pt idx="1904">
                  <c:v>37.201866149902344</c:v>
                </c:pt>
                <c:pt idx="1905">
                  <c:v>37.978950500488281</c:v>
                </c:pt>
                <c:pt idx="1906">
                  <c:v>39.354480743408203</c:v>
                </c:pt>
                <c:pt idx="1907">
                  <c:v>39.309822082519531</c:v>
                </c:pt>
                <c:pt idx="1908">
                  <c:v>39.291957855224609</c:v>
                </c:pt>
                <c:pt idx="1909">
                  <c:v>40.435260772705078</c:v>
                </c:pt>
                <c:pt idx="1910">
                  <c:v>40.301277160644531</c:v>
                </c:pt>
                <c:pt idx="1911">
                  <c:v>39.911056518554688</c:v>
                </c:pt>
                <c:pt idx="1912">
                  <c:v>40.128852844238281</c:v>
                </c:pt>
                <c:pt idx="1913">
                  <c:v>39.321193695068359</c:v>
                </c:pt>
                <c:pt idx="1914">
                  <c:v>40.056259155273438</c:v>
                </c:pt>
                <c:pt idx="1915">
                  <c:v>40.219600677490234</c:v>
                </c:pt>
                <c:pt idx="1916">
                  <c:v>40.936515808105469</c:v>
                </c:pt>
                <c:pt idx="1917">
                  <c:v>40.646121978759766</c:v>
                </c:pt>
                <c:pt idx="1918">
                  <c:v>40.646121978759766</c:v>
                </c:pt>
                <c:pt idx="1919">
                  <c:v>40.573524475097656</c:v>
                </c:pt>
                <c:pt idx="1920">
                  <c:v>40.573524475097656</c:v>
                </c:pt>
                <c:pt idx="1921">
                  <c:v>40.274055480957031</c:v>
                </c:pt>
                <c:pt idx="1922">
                  <c:v>39.502693176269531</c:v>
                </c:pt>
                <c:pt idx="1923">
                  <c:v>39.774936676025391</c:v>
                </c:pt>
                <c:pt idx="1924">
                  <c:v>40.04718017578125</c:v>
                </c:pt>
                <c:pt idx="1925">
                  <c:v>40.627971649169922</c:v>
                </c:pt>
                <c:pt idx="1926">
                  <c:v>39.747711181640625</c:v>
                </c:pt>
                <c:pt idx="1927">
                  <c:v>39.529918670654297</c:v>
                </c:pt>
                <c:pt idx="1928">
                  <c:v>39.8203125</c:v>
                </c:pt>
                <c:pt idx="1929">
                  <c:v>39.094329833984375</c:v>
                </c:pt>
                <c:pt idx="1930">
                  <c:v>39.021724700927734</c:v>
                </c:pt>
                <c:pt idx="1931">
                  <c:v>39.012653350830078</c:v>
                </c:pt>
                <c:pt idx="1932">
                  <c:v>38.704113006591797</c:v>
                </c:pt>
                <c:pt idx="1933">
                  <c:v>38.613361358642578</c:v>
                </c:pt>
                <c:pt idx="1934">
                  <c:v>39.466396331787109</c:v>
                </c:pt>
                <c:pt idx="1935">
                  <c:v>39.911056518554688</c:v>
                </c:pt>
                <c:pt idx="1936">
                  <c:v>39.675113677978516</c:v>
                </c:pt>
                <c:pt idx="1937">
                  <c:v>38.558914184570313</c:v>
                </c:pt>
                <c:pt idx="1938">
                  <c:v>38.495388031005859</c:v>
                </c:pt>
                <c:pt idx="1939">
                  <c:v>38.586135864257813</c:v>
                </c:pt>
                <c:pt idx="1940">
                  <c:v>38.087020874023438</c:v>
                </c:pt>
                <c:pt idx="1941">
                  <c:v>38.359268188476563</c:v>
                </c:pt>
                <c:pt idx="1942">
                  <c:v>37.569759368896484</c:v>
                </c:pt>
                <c:pt idx="1943">
                  <c:v>37.007110595703125</c:v>
                </c:pt>
                <c:pt idx="1944">
                  <c:v>35.890911102294922</c:v>
                </c:pt>
                <c:pt idx="1945">
                  <c:v>34.702114105224609</c:v>
                </c:pt>
                <c:pt idx="1946">
                  <c:v>34.048725128173828</c:v>
                </c:pt>
                <c:pt idx="1947">
                  <c:v>33.794631958007813</c:v>
                </c:pt>
                <c:pt idx="1948">
                  <c:v>33.495159149169922</c:v>
                </c:pt>
                <c:pt idx="1949">
                  <c:v>32.360809326171875</c:v>
                </c:pt>
                <c:pt idx="1950">
                  <c:v>31.816316604614258</c:v>
                </c:pt>
                <c:pt idx="1951">
                  <c:v>32.569530487060547</c:v>
                </c:pt>
                <c:pt idx="1952">
                  <c:v>33.431640625</c:v>
                </c:pt>
                <c:pt idx="1953">
                  <c:v>32.751026153564453</c:v>
                </c:pt>
                <c:pt idx="1954">
                  <c:v>32.288211822509766</c:v>
                </c:pt>
                <c:pt idx="1955">
                  <c:v>31.961519241333008</c:v>
                </c:pt>
                <c:pt idx="1956">
                  <c:v>30.990514755249023</c:v>
                </c:pt>
                <c:pt idx="1957">
                  <c:v>30.18284797668457</c:v>
                </c:pt>
                <c:pt idx="1958">
                  <c:v>29.320743560791016</c:v>
                </c:pt>
                <c:pt idx="1959">
                  <c:v>29.928754806518555</c:v>
                </c:pt>
                <c:pt idx="1960">
                  <c:v>29.447792053222656</c:v>
                </c:pt>
                <c:pt idx="1961">
                  <c:v>31.063108444213867</c:v>
                </c:pt>
                <c:pt idx="1962">
                  <c:v>31.308132171630859</c:v>
                </c:pt>
                <c:pt idx="1963">
                  <c:v>30.945138931274414</c:v>
                </c:pt>
                <c:pt idx="1964">
                  <c:v>30.582141876220703</c:v>
                </c:pt>
                <c:pt idx="1965">
                  <c:v>31.770944595336914</c:v>
                </c:pt>
                <c:pt idx="1966">
                  <c:v>31.634822845458984</c:v>
                </c:pt>
                <c:pt idx="1967">
                  <c:v>32.297283172607422</c:v>
                </c:pt>
                <c:pt idx="1968">
                  <c:v>32.478782653808594</c:v>
                </c:pt>
                <c:pt idx="1969">
                  <c:v>32.224685668945313</c:v>
                </c:pt>
                <c:pt idx="1970">
                  <c:v>33.803707122802734</c:v>
                </c:pt>
                <c:pt idx="1971">
                  <c:v>34.148548126220703</c:v>
                </c:pt>
                <c:pt idx="1972">
                  <c:v>34.175773620605469</c:v>
                </c:pt>
                <c:pt idx="1973">
                  <c:v>33.640357971191406</c:v>
                </c:pt>
                <c:pt idx="1974">
                  <c:v>32.596748352050781</c:v>
                </c:pt>
                <c:pt idx="1975">
                  <c:v>33.816356658935547</c:v>
                </c:pt>
                <c:pt idx="1976">
                  <c:v>33.76092529296875</c:v>
                </c:pt>
                <c:pt idx="1977">
                  <c:v>33.973434448242188</c:v>
                </c:pt>
                <c:pt idx="1978">
                  <c:v>32.698387145996094</c:v>
                </c:pt>
                <c:pt idx="1979">
                  <c:v>34.555515289306641</c:v>
                </c:pt>
                <c:pt idx="1980">
                  <c:v>36.255573272705078</c:v>
                </c:pt>
                <c:pt idx="1981">
                  <c:v>36.985485076904297</c:v>
                </c:pt>
                <c:pt idx="1982">
                  <c:v>37.438220977783203</c:v>
                </c:pt>
                <c:pt idx="1983">
                  <c:v>37.142559051513672</c:v>
                </c:pt>
                <c:pt idx="1984">
                  <c:v>36.763748168945313</c:v>
                </c:pt>
                <c:pt idx="1985">
                  <c:v>36.403411865234375</c:v>
                </c:pt>
                <c:pt idx="1986">
                  <c:v>36.957771301269531</c:v>
                </c:pt>
                <c:pt idx="1987">
                  <c:v>38.038780212402344</c:v>
                </c:pt>
                <c:pt idx="1988">
                  <c:v>37.817039489746094</c:v>
                </c:pt>
                <c:pt idx="1989">
                  <c:v>37.983348846435547</c:v>
                </c:pt>
                <c:pt idx="1990">
                  <c:v>36.967014312744141</c:v>
                </c:pt>
                <c:pt idx="1991">
                  <c:v>37.290393829345703</c:v>
                </c:pt>
                <c:pt idx="1992">
                  <c:v>37.281150817871094</c:v>
                </c:pt>
                <c:pt idx="1993">
                  <c:v>37.604530334472656</c:v>
                </c:pt>
                <c:pt idx="1994">
                  <c:v>37.401268005371094</c:v>
                </c:pt>
                <c:pt idx="1995">
                  <c:v>36.837657928466797</c:v>
                </c:pt>
                <c:pt idx="1996">
                  <c:v>36.477317810058594</c:v>
                </c:pt>
                <c:pt idx="1997">
                  <c:v>36.366451263427734</c:v>
                </c:pt>
                <c:pt idx="1998">
                  <c:v>36.218616485595703</c:v>
                </c:pt>
                <c:pt idx="1999">
                  <c:v>35.608810424804688</c:v>
                </c:pt>
                <c:pt idx="2000">
                  <c:v>35.885993957519531</c:v>
                </c:pt>
                <c:pt idx="2001">
                  <c:v>36.505039215087891</c:v>
                </c:pt>
                <c:pt idx="2002">
                  <c:v>36.255573272705078</c:v>
                </c:pt>
                <c:pt idx="2003">
                  <c:v>35.266952514648438</c:v>
                </c:pt>
                <c:pt idx="2004">
                  <c:v>34.814220428466797</c:v>
                </c:pt>
                <c:pt idx="2005">
                  <c:v>33.539176940917969</c:v>
                </c:pt>
                <c:pt idx="2006">
                  <c:v>33.308189392089844</c:v>
                </c:pt>
                <c:pt idx="2007">
                  <c:v>33.215797424316406</c:v>
                </c:pt>
                <c:pt idx="2008">
                  <c:v>32.171741485595703</c:v>
                </c:pt>
                <c:pt idx="2009">
                  <c:v>31.663568496704102</c:v>
                </c:pt>
                <c:pt idx="2010">
                  <c:v>31.488025665283203</c:v>
                </c:pt>
                <c:pt idx="2011">
                  <c:v>30.610275268554688</c:v>
                </c:pt>
                <c:pt idx="2012">
                  <c:v>31.746728897094727</c:v>
                </c:pt>
                <c:pt idx="2013">
                  <c:v>31.755962371826172</c:v>
                </c:pt>
                <c:pt idx="2014">
                  <c:v>32.642951965332031</c:v>
                </c:pt>
                <c:pt idx="2015">
                  <c:v>33.160362243652344</c:v>
                </c:pt>
                <c:pt idx="2016">
                  <c:v>32.818500518798828</c:v>
                </c:pt>
                <c:pt idx="2017">
                  <c:v>34.148979187011719</c:v>
                </c:pt>
                <c:pt idx="2018">
                  <c:v>33.76092529296875</c:v>
                </c:pt>
                <c:pt idx="2019">
                  <c:v>35.054443359375</c:v>
                </c:pt>
                <c:pt idx="2020">
                  <c:v>35.691967010498047</c:v>
                </c:pt>
                <c:pt idx="2021">
                  <c:v>36.033832550048828</c:v>
                </c:pt>
                <c:pt idx="2022">
                  <c:v>36.061542510986328</c:v>
                </c:pt>
                <c:pt idx="2023">
                  <c:v>35.488697052001953</c:v>
                </c:pt>
                <c:pt idx="2024">
                  <c:v>35.211517333984375</c:v>
                </c:pt>
                <c:pt idx="2025">
                  <c:v>33.705486297607422</c:v>
                </c:pt>
                <c:pt idx="2026">
                  <c:v>34.527797698974609</c:v>
                </c:pt>
                <c:pt idx="2027">
                  <c:v>35.183799743652344</c:v>
                </c:pt>
                <c:pt idx="2028">
                  <c:v>35.266952514648438</c:v>
                </c:pt>
                <c:pt idx="2029">
                  <c:v>34.675624847412109</c:v>
                </c:pt>
                <c:pt idx="2030">
                  <c:v>35.331630706787109</c:v>
                </c:pt>
                <c:pt idx="2031">
                  <c:v>34.980533599853516</c:v>
                </c:pt>
                <c:pt idx="2032">
                  <c:v>34.610954284667969</c:v>
                </c:pt>
                <c:pt idx="2033">
                  <c:v>35.026729583740234</c:v>
                </c:pt>
                <c:pt idx="2034">
                  <c:v>35.645771026611328</c:v>
                </c:pt>
                <c:pt idx="2035">
                  <c:v>36.5419921875</c:v>
                </c:pt>
                <c:pt idx="2036">
                  <c:v>36.274051666259766</c:v>
                </c:pt>
                <c:pt idx="2037">
                  <c:v>35.765880584716797</c:v>
                </c:pt>
                <c:pt idx="2038">
                  <c:v>36.708305358886719</c:v>
                </c:pt>
                <c:pt idx="2039">
                  <c:v>36.763748168945313</c:v>
                </c:pt>
                <c:pt idx="2040">
                  <c:v>36.985485076904297</c:v>
                </c:pt>
                <c:pt idx="2041">
                  <c:v>36.384925842285156</c:v>
                </c:pt>
                <c:pt idx="2042">
                  <c:v>37.318107604980469</c:v>
                </c:pt>
                <c:pt idx="2043">
                  <c:v>38.371402740478516</c:v>
                </c:pt>
                <c:pt idx="2044">
                  <c:v>38.740982055664063</c:v>
                </c:pt>
                <c:pt idx="2045">
                  <c:v>37.743122100830078</c:v>
                </c:pt>
                <c:pt idx="2046">
                  <c:v>38.015739440917969</c:v>
                </c:pt>
                <c:pt idx="2047">
                  <c:v>36.944076538085938</c:v>
                </c:pt>
                <c:pt idx="2048">
                  <c:v>36.445850372314453</c:v>
                </c:pt>
                <c:pt idx="2049">
                  <c:v>37.160289764404297</c:v>
                </c:pt>
                <c:pt idx="2050">
                  <c:v>36.878273010253906</c:v>
                </c:pt>
                <c:pt idx="2051">
                  <c:v>36.351844787597656</c:v>
                </c:pt>
                <c:pt idx="2052">
                  <c:v>36.511653900146484</c:v>
                </c:pt>
                <c:pt idx="2053">
                  <c:v>36.605655670166016</c:v>
                </c:pt>
                <c:pt idx="2054">
                  <c:v>35.731407165527344</c:v>
                </c:pt>
                <c:pt idx="2055">
                  <c:v>36.765472412109375</c:v>
                </c:pt>
                <c:pt idx="2056">
                  <c:v>36.295444488525391</c:v>
                </c:pt>
                <c:pt idx="2057">
                  <c:v>35.402393341064453</c:v>
                </c:pt>
                <c:pt idx="2058">
                  <c:v>35.298984527587891</c:v>
                </c:pt>
                <c:pt idx="2059">
                  <c:v>34.537544250488281</c:v>
                </c:pt>
                <c:pt idx="2060">
                  <c:v>34.659748077392578</c:v>
                </c:pt>
                <c:pt idx="2061">
                  <c:v>33.851303100585938</c:v>
                </c:pt>
                <c:pt idx="2062">
                  <c:v>33.569290161132813</c:v>
                </c:pt>
                <c:pt idx="2063">
                  <c:v>32.977058410644531</c:v>
                </c:pt>
                <c:pt idx="2064">
                  <c:v>33.193267822265625</c:v>
                </c:pt>
                <c:pt idx="2065">
                  <c:v>32.883049011230469</c:v>
                </c:pt>
                <c:pt idx="2066">
                  <c:v>33.024055480957031</c:v>
                </c:pt>
                <c:pt idx="2067">
                  <c:v>33.334274291992188</c:v>
                </c:pt>
                <c:pt idx="2068">
                  <c:v>31.89599609375</c:v>
                </c:pt>
                <c:pt idx="2069">
                  <c:v>31.651578903198242</c:v>
                </c:pt>
                <c:pt idx="2070">
                  <c:v>31.48237419128418</c:v>
                </c:pt>
                <c:pt idx="2071">
                  <c:v>32.770244598388672</c:v>
                </c:pt>
                <c:pt idx="2072">
                  <c:v>33.306076049804688</c:v>
                </c:pt>
                <c:pt idx="2073">
                  <c:v>33.550487518310547</c:v>
                </c:pt>
                <c:pt idx="2074">
                  <c:v>33.794902801513672</c:v>
                </c:pt>
                <c:pt idx="2075">
                  <c:v>34.368335723876953</c:v>
                </c:pt>
                <c:pt idx="2076">
                  <c:v>33.559890747070313</c:v>
                </c:pt>
                <c:pt idx="2077">
                  <c:v>32.723239898681641</c:v>
                </c:pt>
                <c:pt idx="2078">
                  <c:v>32.074604034423828</c:v>
                </c:pt>
                <c:pt idx="2079">
                  <c:v>32.065204620361328</c:v>
                </c:pt>
                <c:pt idx="2080">
                  <c:v>32.159210205078125</c:v>
                </c:pt>
                <c:pt idx="2081">
                  <c:v>33.381278991699219</c:v>
                </c:pt>
                <c:pt idx="2082">
                  <c:v>32.149806976318359</c:v>
                </c:pt>
                <c:pt idx="2083">
                  <c:v>32.9300537109375</c:v>
                </c:pt>
                <c:pt idx="2084">
                  <c:v>34.283729553222656</c:v>
                </c:pt>
                <c:pt idx="2085">
                  <c:v>34.575145721435547</c:v>
                </c:pt>
                <c:pt idx="2086">
                  <c:v>34.011116027832031</c:v>
                </c:pt>
                <c:pt idx="2087">
                  <c:v>33.531684875488281</c:v>
                </c:pt>
                <c:pt idx="2088">
                  <c:v>34.170921325683594</c:v>
                </c:pt>
                <c:pt idx="2089">
                  <c:v>33.926509857177734</c:v>
                </c:pt>
                <c:pt idx="2090">
                  <c:v>33.418880462646484</c:v>
                </c:pt>
                <c:pt idx="2091">
                  <c:v>32.384819030761719</c:v>
                </c:pt>
                <c:pt idx="2092">
                  <c:v>32.055805206298828</c:v>
                </c:pt>
                <c:pt idx="2093">
                  <c:v>32.817245483398438</c:v>
                </c:pt>
                <c:pt idx="2094">
                  <c:v>32.864250183105469</c:v>
                </c:pt>
                <c:pt idx="2095">
                  <c:v>32.478828430175781</c:v>
                </c:pt>
                <c:pt idx="2096">
                  <c:v>31.679780960083008</c:v>
                </c:pt>
                <c:pt idx="2097">
                  <c:v>31.548177719116211</c:v>
                </c:pt>
                <c:pt idx="2098">
                  <c:v>31.200351715087891</c:v>
                </c:pt>
                <c:pt idx="2099">
                  <c:v>32.408855438232422</c:v>
                </c:pt>
                <c:pt idx="2100">
                  <c:v>33.003509521484375</c:v>
                </c:pt>
                <c:pt idx="2101">
                  <c:v>32.504768371582031</c:v>
                </c:pt>
                <c:pt idx="2102">
                  <c:v>33.43511962890625</c:v>
                </c:pt>
                <c:pt idx="2103">
                  <c:v>33.358386993408203</c:v>
                </c:pt>
                <c:pt idx="2104">
                  <c:v>32.773319244384766</c:v>
                </c:pt>
                <c:pt idx="2105">
                  <c:v>32.677410125732422</c:v>
                </c:pt>
                <c:pt idx="2106">
                  <c:v>32.006019592285156</c:v>
                </c:pt>
                <c:pt idx="2107">
                  <c:v>32.504768371582031</c:v>
                </c:pt>
                <c:pt idx="2108">
                  <c:v>33.463893890380859</c:v>
                </c:pt>
                <c:pt idx="2109">
                  <c:v>33.013103485107422</c:v>
                </c:pt>
                <c:pt idx="2110">
                  <c:v>33.252883911132813</c:v>
                </c:pt>
                <c:pt idx="2111">
                  <c:v>32.744548797607422</c:v>
                </c:pt>
                <c:pt idx="2112">
                  <c:v>32.504768371582031</c:v>
                </c:pt>
                <c:pt idx="2113">
                  <c:v>32.044387817382813</c:v>
                </c:pt>
                <c:pt idx="2114">
                  <c:v>32.936370849609375</c:v>
                </c:pt>
                <c:pt idx="2115">
                  <c:v>33.358386993408203</c:v>
                </c:pt>
                <c:pt idx="2116">
                  <c:v>33.348796844482422</c:v>
                </c:pt>
                <c:pt idx="2117">
                  <c:v>33.77081298828125</c:v>
                </c:pt>
                <c:pt idx="2118">
                  <c:v>34.048957824707031</c:v>
                </c:pt>
                <c:pt idx="2119">
                  <c:v>33.329616546630859</c:v>
                </c:pt>
                <c:pt idx="2120">
                  <c:v>33.550216674804688</c:v>
                </c:pt>
                <c:pt idx="2121">
                  <c:v>33.176155090332031</c:v>
                </c:pt>
                <c:pt idx="2122">
                  <c:v>33.272068023681641</c:v>
                </c:pt>
                <c:pt idx="2123">
                  <c:v>32.945964813232422</c:v>
                </c:pt>
                <c:pt idx="2124">
                  <c:v>32.322532653808594</c:v>
                </c:pt>
                <c:pt idx="2125">
                  <c:v>32.734958648681641</c:v>
                </c:pt>
                <c:pt idx="2126">
                  <c:v>32.591087341308594</c:v>
                </c:pt>
                <c:pt idx="2127">
                  <c:v>32.945964813232422</c:v>
                </c:pt>
                <c:pt idx="2128">
                  <c:v>32.092342376708984</c:v>
                </c:pt>
                <c:pt idx="2129">
                  <c:v>31.411365509033203</c:v>
                </c:pt>
                <c:pt idx="2130">
                  <c:v>31.142810821533203</c:v>
                </c:pt>
                <c:pt idx="2131">
                  <c:v>30.730386734008789</c:v>
                </c:pt>
                <c:pt idx="2132">
                  <c:v>30.47142219543457</c:v>
                </c:pt>
                <c:pt idx="2133">
                  <c:v>30.634471893310547</c:v>
                </c:pt>
                <c:pt idx="2134">
                  <c:v>30.481012344360352</c:v>
                </c:pt>
                <c:pt idx="2135">
                  <c:v>30.193273544311523</c:v>
                </c:pt>
                <c:pt idx="2136">
                  <c:v>30.202865600585938</c:v>
                </c:pt>
                <c:pt idx="2137">
                  <c:v>30.845479965209961</c:v>
                </c:pt>
                <c:pt idx="2138">
                  <c:v>31.30586051940918</c:v>
                </c:pt>
                <c:pt idx="2139">
                  <c:v>30.692020416259766</c:v>
                </c:pt>
                <c:pt idx="2140">
                  <c:v>30.279596328735352</c:v>
                </c:pt>
                <c:pt idx="2141">
                  <c:v>30.250823974609375</c:v>
                </c:pt>
                <c:pt idx="2142">
                  <c:v>30.385101318359375</c:v>
                </c:pt>
                <c:pt idx="2143">
                  <c:v>30.481012344360352</c:v>
                </c:pt>
                <c:pt idx="2144">
                  <c:v>31.133216857910156</c:v>
                </c:pt>
                <c:pt idx="2145">
                  <c:v>32.840461730957031</c:v>
                </c:pt>
                <c:pt idx="2146">
                  <c:v>32.245800018310547</c:v>
                </c:pt>
                <c:pt idx="2147">
                  <c:v>32.408855438232422</c:v>
                </c:pt>
                <c:pt idx="2148">
                  <c:v>32.696590423583984</c:v>
                </c:pt>
                <c:pt idx="2149">
                  <c:v>32.533538818359375</c:v>
                </c:pt>
                <c:pt idx="2150">
                  <c:v>32.485580444335938</c:v>
                </c:pt>
                <c:pt idx="2151">
                  <c:v>32.226619720458984</c:v>
                </c:pt>
                <c:pt idx="2152">
                  <c:v>32.619861602783203</c:v>
                </c:pt>
                <c:pt idx="2153">
                  <c:v>32.802097320556641</c:v>
                </c:pt>
                <c:pt idx="2154">
                  <c:v>32.42803955078125</c:v>
                </c:pt>
                <c:pt idx="2155">
                  <c:v>31.564823150634766</c:v>
                </c:pt>
                <c:pt idx="2156">
                  <c:v>31.209949493408203</c:v>
                </c:pt>
                <c:pt idx="2157">
                  <c:v>30.874252319335938</c:v>
                </c:pt>
                <c:pt idx="2158">
                  <c:v>31.727876663208008</c:v>
                </c:pt>
                <c:pt idx="2159">
                  <c:v>31.267494201660156</c:v>
                </c:pt>
                <c:pt idx="2160">
                  <c:v>31.123626708984375</c:v>
                </c:pt>
                <c:pt idx="2161">
                  <c:v>30.879251480102539</c:v>
                </c:pt>
                <c:pt idx="2162">
                  <c:v>30.34162712097168</c:v>
                </c:pt>
                <c:pt idx="2163">
                  <c:v>29.657375335693359</c:v>
                </c:pt>
                <c:pt idx="2164">
                  <c:v>28.738525390625</c:v>
                </c:pt>
                <c:pt idx="2165">
                  <c:v>28.748300552368164</c:v>
                </c:pt>
                <c:pt idx="2166">
                  <c:v>29.45210075378418</c:v>
                </c:pt>
                <c:pt idx="2167">
                  <c:v>29.276151657104492</c:v>
                </c:pt>
                <c:pt idx="2168">
                  <c:v>28.572349548339844</c:v>
                </c:pt>
                <c:pt idx="2169">
                  <c:v>28.934024810791016</c:v>
                </c:pt>
                <c:pt idx="2170">
                  <c:v>29.432550430297852</c:v>
                </c:pt>
                <c:pt idx="2171">
                  <c:v>30.019050598144531</c:v>
                </c:pt>
                <c:pt idx="2172">
                  <c:v>29.520526885986328</c:v>
                </c:pt>
                <c:pt idx="2173">
                  <c:v>28.914474487304688</c:v>
                </c:pt>
                <c:pt idx="2174">
                  <c:v>29.647600173950195</c:v>
                </c:pt>
                <c:pt idx="2175">
                  <c:v>29.364126205444336</c:v>
                </c:pt>
                <c:pt idx="2176">
                  <c:v>29.686702728271484</c:v>
                </c:pt>
                <c:pt idx="2177">
                  <c:v>30.331851959228516</c:v>
                </c:pt>
                <c:pt idx="2178">
                  <c:v>30.849925994873047</c:v>
                </c:pt>
                <c:pt idx="2179">
                  <c:v>30.458927154541016</c:v>
                </c:pt>
                <c:pt idx="2180">
                  <c:v>30.273200988769531</c:v>
                </c:pt>
                <c:pt idx="2181">
                  <c:v>30.507801055908203</c:v>
                </c:pt>
                <c:pt idx="2182">
                  <c:v>31.524402618408203</c:v>
                </c:pt>
                <c:pt idx="2183">
                  <c:v>31.524402618408203</c:v>
                </c:pt>
                <c:pt idx="2184">
                  <c:v>31.866525650024414</c:v>
                </c:pt>
                <c:pt idx="2185">
                  <c:v>31.250701904296875</c:v>
                </c:pt>
                <c:pt idx="2186">
                  <c:v>31.280027389526367</c:v>
                </c:pt>
                <c:pt idx="2187">
                  <c:v>31.504852294921875</c:v>
                </c:pt>
                <c:pt idx="2188">
                  <c:v>31.162727355957031</c:v>
                </c:pt>
                <c:pt idx="2189">
                  <c:v>31.563503265380859</c:v>
                </c:pt>
                <c:pt idx="2190">
                  <c:v>32.198875427246094</c:v>
                </c:pt>
                <c:pt idx="2191">
                  <c:v>31.583053588867188</c:v>
                </c:pt>
                <c:pt idx="2192">
                  <c:v>31.446201324462891</c:v>
                </c:pt>
                <c:pt idx="2193">
                  <c:v>31.280027389526367</c:v>
                </c:pt>
                <c:pt idx="2194">
                  <c:v>31.143177032470703</c:v>
                </c:pt>
                <c:pt idx="2195">
                  <c:v>30.615325927734375</c:v>
                </c:pt>
                <c:pt idx="2196">
                  <c:v>30.664201736450195</c:v>
                </c:pt>
                <c:pt idx="2197">
                  <c:v>30.185226440429688</c:v>
                </c:pt>
                <c:pt idx="2198">
                  <c:v>30.146125793457031</c:v>
                </c:pt>
                <c:pt idx="2199">
                  <c:v>29.93107795715332</c:v>
                </c:pt>
                <c:pt idx="2200">
                  <c:v>29.667150497436523</c:v>
                </c:pt>
                <c:pt idx="2201">
                  <c:v>29.696475982666016</c:v>
                </c:pt>
                <c:pt idx="2202">
                  <c:v>29.45210075378418</c:v>
                </c:pt>
                <c:pt idx="2203">
                  <c:v>29.882200241088867</c:v>
                </c:pt>
                <c:pt idx="2204">
                  <c:v>30.253652572631836</c:v>
                </c:pt>
                <c:pt idx="2205">
                  <c:v>30.224327087402344</c:v>
                </c:pt>
                <c:pt idx="2206">
                  <c:v>30.282976150512695</c:v>
                </c:pt>
                <c:pt idx="2207">
                  <c:v>29.764902114868164</c:v>
                </c:pt>
                <c:pt idx="2208">
                  <c:v>29.852876663208008</c:v>
                </c:pt>
                <c:pt idx="2209">
                  <c:v>29.266376495361328</c:v>
                </c:pt>
                <c:pt idx="2210">
                  <c:v>28.738525390625</c:v>
                </c:pt>
                <c:pt idx="2211">
                  <c:v>29.002450942993164</c:v>
                </c:pt>
                <c:pt idx="2212">
                  <c:v>29.246826171875</c:v>
                </c:pt>
                <c:pt idx="2213">
                  <c:v>28.718975067138672</c:v>
                </c:pt>
                <c:pt idx="2214">
                  <c:v>28.650548934936523</c:v>
                </c:pt>
                <c:pt idx="2215">
                  <c:v>28.376850128173828</c:v>
                </c:pt>
                <c:pt idx="2216">
                  <c:v>28.239999771118164</c:v>
                </c:pt>
                <c:pt idx="2217">
                  <c:v>28.239999771118164</c:v>
                </c:pt>
                <c:pt idx="2218">
                  <c:v>27.761024475097656</c:v>
                </c:pt>
                <c:pt idx="2219">
                  <c:v>27.907648086547852</c:v>
                </c:pt>
                <c:pt idx="2220">
                  <c:v>27.878324508666992</c:v>
                </c:pt>
                <c:pt idx="2221">
                  <c:v>27.976076126098633</c:v>
                </c:pt>
                <c:pt idx="2222">
                  <c:v>28.083599090576172</c:v>
                </c:pt>
              </c:numCache>
            </c:numRef>
          </c:val>
          <c:smooth val="0"/>
          <c:extLst>
            <c:ext xmlns:c16="http://schemas.microsoft.com/office/drawing/2014/chart" uri="{C3380CC4-5D6E-409C-BE32-E72D297353CC}">
              <c16:uniqueId val="{00000000-7C9A-4CE6-AF1B-3D4419902945}"/>
            </c:ext>
          </c:extLst>
        </c:ser>
        <c:dLbls>
          <c:showLegendKey val="0"/>
          <c:showVal val="0"/>
          <c:showCatName val="0"/>
          <c:showSerName val="0"/>
          <c:showPercent val="0"/>
          <c:showBubbleSize val="0"/>
        </c:dLbls>
        <c:smooth val="0"/>
        <c:axId val="566773759"/>
        <c:axId val="231986991"/>
      </c:lineChart>
      <c:catAx>
        <c:axId val="5667737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1986991"/>
        <c:crosses val="autoZero"/>
        <c:auto val="1"/>
        <c:lblAlgn val="ctr"/>
        <c:lblOffset val="100"/>
        <c:noMultiLvlLbl val="0"/>
      </c:catAx>
      <c:valAx>
        <c:axId val="231986991"/>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7737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9</xdr:col>
      <xdr:colOff>757237</xdr:colOff>
      <xdr:row>5</xdr:row>
      <xdr:rowOff>61912</xdr:rowOff>
    </xdr:from>
    <xdr:to>
      <xdr:col>17</xdr:col>
      <xdr:colOff>304800</xdr:colOff>
      <xdr:row>24</xdr:row>
      <xdr:rowOff>104775</xdr:rowOff>
    </xdr:to>
    <xdr:graphicFrame macro="">
      <xdr:nvGraphicFramePr>
        <xdr:cNvPr id="4" name="Chart 3">
          <a:extLst>
            <a:ext uri="{FF2B5EF4-FFF2-40B4-BE49-F238E27FC236}">
              <a16:creationId xmlns:a16="http://schemas.microsoft.com/office/drawing/2014/main" id="{3522DEA1-C0F4-A5B6-B175-C4C65CF1E53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ared" refreshedDate="45296.969864814811" createdVersion="8" refreshedVersion="8" minRefreshableVersion="3" recordCount="2223" xr:uid="{63573763-BDF4-4E32-B726-445D6C25DE95}">
  <cacheSource type="worksheet">
    <worksheetSource ref="B6:J2229" sheet="price_data"/>
  </cacheSource>
  <cacheFields count="12">
    <cacheField name="Date" numFmtId="14">
      <sharedItems containsSemiMixedTypes="0" containsNonDate="0" containsDate="1" containsString="0" minDate="2015-01-02T00:00:00" maxDate="2023-11-01T00:00:00" count="2223">
        <d v="2015-01-02T00:00:00"/>
        <d v="2015-01-05T00:00:00"/>
        <d v="2015-01-06T00:00:00"/>
        <d v="2015-01-07T00:00:00"/>
        <d v="2015-01-08T00:00:00"/>
        <d v="2015-01-09T00:00:00"/>
        <d v="2015-01-12T00:00:00"/>
        <d v="2015-01-13T00:00:00"/>
        <d v="2015-01-14T00:00:00"/>
        <d v="2015-01-15T00:00:00"/>
        <d v="2015-01-16T00:00:00"/>
        <d v="2015-01-20T00:00:00"/>
        <d v="2015-01-21T00:00:00"/>
        <d v="2015-01-22T00:00:00"/>
        <d v="2015-01-23T00:00:00"/>
        <d v="2015-01-26T00:00:00"/>
        <d v="2015-01-27T00:00:00"/>
        <d v="2015-01-28T00:00:00"/>
        <d v="2015-01-29T00:00:00"/>
        <d v="2015-01-30T00:00:00"/>
        <d v="2015-02-02T00:00:00"/>
        <d v="2015-02-03T00:00:00"/>
        <d v="2015-02-04T00:00:00"/>
        <d v="2015-02-05T00:00:00"/>
        <d v="2015-02-06T00:00:00"/>
        <d v="2015-02-09T00:00:00"/>
        <d v="2015-02-10T00:00:00"/>
        <d v="2015-02-11T00:00:00"/>
        <d v="2015-02-12T00:00:00"/>
        <d v="2015-02-13T00:00:00"/>
        <d v="2015-02-17T00:00:00"/>
        <d v="2015-02-18T00:00:00"/>
        <d v="2015-02-19T00:00:00"/>
        <d v="2015-02-20T00:00:00"/>
        <d v="2015-02-23T00:00:00"/>
        <d v="2015-02-24T00:00:00"/>
        <d v="2015-02-25T00:00:00"/>
        <d v="2015-02-26T00:00:00"/>
        <d v="2015-02-27T00:00:00"/>
        <d v="2015-03-02T00:00:00"/>
        <d v="2015-03-03T00:00:00"/>
        <d v="2015-03-04T00:00:00"/>
        <d v="2015-03-05T00:00:00"/>
        <d v="2015-03-06T00:00:00"/>
        <d v="2015-03-09T00:00:00"/>
        <d v="2015-03-10T00:00:00"/>
        <d v="2015-03-11T00:00:00"/>
        <d v="2015-03-12T00:00:00"/>
        <d v="2015-03-13T00:00:00"/>
        <d v="2015-03-16T00:00:00"/>
        <d v="2015-03-17T00:00:00"/>
        <d v="2015-03-18T00:00:00"/>
        <d v="2015-03-19T00:00:00"/>
        <d v="2015-03-20T00:00:00"/>
        <d v="2015-03-23T00:00:00"/>
        <d v="2015-03-24T00:00:00"/>
        <d v="2015-03-25T00:00:00"/>
        <d v="2015-03-26T00:00:00"/>
        <d v="2015-03-27T00:00:00"/>
        <d v="2015-03-30T00:00:00"/>
        <d v="2015-03-31T00:00:00"/>
        <d v="2015-04-01T00:00:00"/>
        <d v="2015-04-02T00:00:00"/>
        <d v="2015-04-06T00:00:00"/>
        <d v="2015-04-07T00:00:00"/>
        <d v="2015-04-08T00:00:00"/>
        <d v="2015-04-09T00:00:00"/>
        <d v="2015-04-10T00:00:00"/>
        <d v="2015-04-13T00:00:00"/>
        <d v="2015-04-14T00:00:00"/>
        <d v="2015-04-15T00:00:00"/>
        <d v="2015-04-16T00:00:00"/>
        <d v="2015-04-17T00:00:00"/>
        <d v="2015-04-20T00:00:00"/>
        <d v="2015-04-21T00:00:00"/>
        <d v="2015-04-22T00:00:00"/>
        <d v="2015-04-23T00:00:00"/>
        <d v="2015-04-24T00:00:00"/>
        <d v="2015-04-27T00:00:00"/>
        <d v="2015-04-28T00:00:00"/>
        <d v="2015-04-29T00:00:00"/>
        <d v="2015-04-30T00:00:00"/>
        <d v="2015-05-01T00:00:00"/>
        <d v="2015-05-04T00:00:00"/>
        <d v="2015-05-05T00:00:00"/>
        <d v="2015-05-06T00:00:00"/>
        <d v="2015-05-07T00:00:00"/>
        <d v="2015-05-08T00:00:00"/>
        <d v="2015-05-11T00:00:00"/>
        <d v="2015-05-12T00:00:00"/>
        <d v="2015-05-13T00:00:00"/>
        <d v="2015-05-14T00:00:00"/>
        <d v="2015-05-15T00:00:00"/>
        <d v="2015-05-18T00:00:00"/>
        <d v="2015-05-19T00:00:00"/>
        <d v="2015-05-20T00:00:00"/>
        <d v="2015-05-21T00:00:00"/>
        <d v="2015-05-22T00:00:00"/>
        <d v="2015-05-26T00:00:00"/>
        <d v="2015-05-27T00:00:00"/>
        <d v="2015-05-28T00:00:00"/>
        <d v="2015-05-29T00:00:00"/>
        <d v="2015-06-01T00:00:00"/>
        <d v="2015-06-02T00:00:00"/>
        <d v="2015-06-03T00:00:00"/>
        <d v="2015-06-04T00:00:00"/>
        <d v="2015-06-05T00:00:00"/>
        <d v="2015-06-08T00:00:00"/>
        <d v="2015-06-09T00:00:00"/>
        <d v="2015-06-10T00:00:00"/>
        <d v="2015-06-11T00:00:00"/>
        <d v="2015-06-12T00:00:00"/>
        <d v="2015-06-15T00:00:00"/>
        <d v="2015-06-16T00:00:00"/>
        <d v="2015-06-17T00:00:00"/>
        <d v="2015-06-18T00:00:00"/>
        <d v="2015-06-19T00:00:00"/>
        <d v="2015-06-22T00:00:00"/>
        <d v="2015-06-23T00:00:00"/>
        <d v="2015-06-24T00:00:00"/>
        <d v="2015-06-25T00:00:00"/>
        <d v="2015-06-26T00:00:00"/>
        <d v="2015-06-29T00:00:00"/>
        <d v="2015-06-30T00:00:00"/>
        <d v="2015-07-01T00:00:00"/>
        <d v="2015-07-02T00:00:00"/>
        <d v="2015-07-06T00:00:00"/>
        <d v="2015-07-07T00:00:00"/>
        <d v="2015-07-08T00:00:00"/>
        <d v="2015-07-09T00:00:00"/>
        <d v="2015-07-10T00:00:00"/>
        <d v="2015-07-13T00:00:00"/>
        <d v="2015-07-14T00:00:00"/>
        <d v="2015-07-15T00:00:00"/>
        <d v="2015-07-16T00:00:00"/>
        <d v="2015-07-17T00:00:00"/>
        <d v="2015-07-20T00:00:00"/>
        <d v="2015-07-21T00:00:00"/>
        <d v="2015-07-22T00:00:00"/>
        <d v="2015-07-23T00:00:00"/>
        <d v="2015-07-24T00:00:00"/>
        <d v="2015-07-27T00:00:00"/>
        <d v="2015-07-28T00:00:00"/>
        <d v="2015-07-29T00:00:00"/>
        <d v="2015-07-30T00:00:00"/>
        <d v="2015-07-31T00:00:00"/>
        <d v="2015-08-03T00:00:00"/>
        <d v="2015-08-04T00:00:00"/>
        <d v="2015-08-05T00:00:00"/>
        <d v="2015-08-06T00:00:00"/>
        <d v="2015-08-07T00:00:00"/>
        <d v="2015-08-10T00:00:00"/>
        <d v="2015-08-11T00:00:00"/>
        <d v="2015-08-12T00:00:00"/>
        <d v="2015-08-13T00:00:00"/>
        <d v="2015-08-14T00:00:00"/>
        <d v="2015-08-17T00:00:00"/>
        <d v="2015-08-18T00:00:00"/>
        <d v="2015-08-19T00:00:00"/>
        <d v="2015-08-20T00:00:00"/>
        <d v="2015-08-21T00:00:00"/>
        <d v="2015-08-24T00:00:00"/>
        <d v="2015-08-25T00:00:00"/>
        <d v="2015-08-26T00:00:00"/>
        <d v="2015-08-27T00:00:00"/>
        <d v="2015-08-28T00:00:00"/>
        <d v="2015-08-31T00:00:00"/>
        <d v="2015-09-01T00:00:00"/>
        <d v="2015-09-02T00:00:00"/>
        <d v="2015-09-03T00:00:00"/>
        <d v="2015-09-04T00:00:00"/>
        <d v="2015-09-08T00:00:00"/>
        <d v="2015-09-09T00:00:00"/>
        <d v="2015-09-10T00:00:00"/>
        <d v="2015-09-11T00:00:00"/>
        <d v="2015-09-14T00:00:00"/>
        <d v="2015-09-15T00:00:00"/>
        <d v="2015-09-16T00:00:00"/>
        <d v="2015-09-17T00:00:00"/>
        <d v="2015-09-18T00:00:00"/>
        <d v="2015-09-21T00:00:00"/>
        <d v="2015-09-22T00:00:00"/>
        <d v="2015-09-23T00:00:00"/>
        <d v="2015-09-24T00:00:00"/>
        <d v="2015-09-25T00:00:00"/>
        <d v="2015-09-28T00:00:00"/>
        <d v="2015-09-29T00:00:00"/>
        <d v="2015-09-30T00:00:00"/>
        <d v="2015-10-01T00:00:00"/>
        <d v="2015-10-02T00:00:00"/>
        <d v="2015-10-05T00:00:00"/>
        <d v="2015-10-06T00:00:00"/>
        <d v="2015-10-07T00:00:00"/>
        <d v="2015-10-08T00:00:00"/>
        <d v="2015-10-09T00:00:00"/>
        <d v="2015-10-12T00:00:00"/>
        <d v="2015-10-13T00:00:00"/>
        <d v="2015-10-14T00:00:00"/>
        <d v="2015-10-15T00:00:00"/>
        <d v="2015-10-16T00:00:00"/>
        <d v="2015-10-19T00:00:00"/>
        <d v="2015-10-20T00:00:00"/>
        <d v="2015-10-21T00:00:00"/>
        <d v="2015-10-22T00:00:00"/>
        <d v="2015-10-23T00:00:00"/>
        <d v="2015-10-26T00:00:00"/>
        <d v="2015-10-27T00:00:00"/>
        <d v="2015-10-28T00:00:00"/>
        <d v="2015-10-29T00:00:00"/>
        <d v="2015-10-30T00:00:00"/>
        <d v="2015-11-02T00:00:00"/>
        <d v="2015-11-03T00:00:00"/>
        <d v="2015-11-04T00:00:00"/>
        <d v="2015-11-05T00:00:00"/>
        <d v="2015-11-06T00:00:00"/>
        <d v="2015-11-09T00:00:00"/>
        <d v="2015-11-10T00:00:00"/>
        <d v="2015-11-11T00:00:00"/>
        <d v="2015-11-12T00:00:00"/>
        <d v="2015-11-13T00:00:00"/>
        <d v="2015-11-16T00:00:00"/>
        <d v="2015-11-17T00:00:00"/>
        <d v="2015-11-18T00:00:00"/>
        <d v="2015-11-19T00:00:00"/>
        <d v="2015-11-20T00:00:00"/>
        <d v="2015-11-23T00:00:00"/>
        <d v="2015-11-24T00:00:00"/>
        <d v="2015-11-25T00:00:00"/>
        <d v="2015-11-27T00:00:00"/>
        <d v="2015-11-30T00:00:00"/>
        <d v="2015-12-01T00:00:00"/>
        <d v="2015-12-02T00:00:00"/>
        <d v="2015-12-03T00:00:00"/>
        <d v="2015-12-04T00:00:00"/>
        <d v="2015-12-07T00:00:00"/>
        <d v="2015-12-08T00:00:00"/>
        <d v="2015-12-09T00:00:00"/>
        <d v="2015-12-10T00:00:00"/>
        <d v="2015-12-11T00:00:00"/>
        <d v="2015-12-14T00:00:00"/>
        <d v="2015-12-15T00:00:00"/>
        <d v="2015-12-16T00:00:00"/>
        <d v="2015-12-17T00:00:00"/>
        <d v="2015-12-18T00:00:00"/>
        <d v="2015-12-21T00:00:00"/>
        <d v="2015-12-22T00:00:00"/>
        <d v="2015-12-23T00:00:00"/>
        <d v="2015-12-24T00:00:00"/>
        <d v="2015-12-28T00:00:00"/>
        <d v="2015-12-29T00:00:00"/>
        <d v="2015-12-30T00:00:00"/>
        <d v="2015-12-31T00:00:00"/>
        <d v="2016-01-04T00:00:00"/>
        <d v="2016-01-05T00:00:00"/>
        <d v="2016-01-06T00:00:00"/>
        <d v="2016-01-07T00:00:00"/>
        <d v="2016-01-08T00:00:00"/>
        <d v="2016-01-11T00:00:00"/>
        <d v="2016-01-12T00:00:00"/>
        <d v="2016-01-13T00:00:00"/>
        <d v="2016-01-14T00:00:00"/>
        <d v="2016-01-15T00:00:00"/>
        <d v="2016-01-19T00:00:00"/>
        <d v="2016-01-20T00:00:00"/>
        <d v="2016-01-21T00:00:00"/>
        <d v="2016-01-22T00:00:00"/>
        <d v="2016-01-25T00:00:00"/>
        <d v="2016-01-26T00:00:00"/>
        <d v="2016-01-27T00:00:00"/>
        <d v="2016-01-28T00:00:00"/>
        <d v="2016-01-29T00:00:00"/>
        <d v="2016-02-01T00:00:00"/>
        <d v="2016-02-02T00:00:00"/>
        <d v="2016-02-03T00:00:00"/>
        <d v="2016-02-04T00:00:00"/>
        <d v="2016-02-05T00:00:00"/>
        <d v="2016-02-08T00:00:00"/>
        <d v="2016-02-09T00:00:00"/>
        <d v="2016-02-10T00:00:00"/>
        <d v="2016-02-11T00:00:00"/>
        <d v="2016-02-12T00:00:00"/>
        <d v="2016-02-16T00:00:00"/>
        <d v="2016-02-17T00:00:00"/>
        <d v="2016-02-18T00:00:00"/>
        <d v="2016-02-19T00:00:00"/>
        <d v="2016-02-22T00:00:00"/>
        <d v="2016-02-23T00:00:00"/>
        <d v="2016-02-24T00:00:00"/>
        <d v="2016-02-25T00:00:00"/>
        <d v="2016-02-26T00:00:00"/>
        <d v="2016-02-29T00:00:00"/>
        <d v="2016-03-01T00:00:00"/>
        <d v="2016-03-02T00:00:00"/>
        <d v="2016-03-03T00:00:00"/>
        <d v="2016-03-04T00:00:00"/>
        <d v="2016-03-07T00:00:00"/>
        <d v="2016-03-08T00:00:00"/>
        <d v="2016-03-09T00:00:00"/>
        <d v="2016-03-10T00:00:00"/>
        <d v="2016-03-11T00:00:00"/>
        <d v="2016-03-14T00:00:00"/>
        <d v="2016-03-15T00:00:00"/>
        <d v="2016-03-16T00:00:00"/>
        <d v="2016-03-17T00:00:00"/>
        <d v="2016-03-18T00:00:00"/>
        <d v="2016-03-21T00:00:00"/>
        <d v="2016-03-22T00:00:00"/>
        <d v="2016-03-23T00:00:00"/>
        <d v="2016-03-24T00:00:00"/>
        <d v="2016-03-28T00:00:00"/>
        <d v="2016-03-29T00:00:00"/>
        <d v="2016-03-30T00:00:00"/>
        <d v="2016-03-31T00:00:00"/>
        <d v="2016-04-01T00:00:00"/>
        <d v="2016-04-04T00:00:00"/>
        <d v="2016-04-05T00:00:00"/>
        <d v="2016-04-06T00:00:00"/>
        <d v="2016-04-07T00:00:00"/>
        <d v="2016-04-08T00:00:00"/>
        <d v="2016-04-11T00:00:00"/>
        <d v="2016-04-12T00:00:00"/>
        <d v="2016-04-13T00:00:00"/>
        <d v="2016-04-14T00:00:00"/>
        <d v="2016-04-15T00:00:00"/>
        <d v="2016-04-18T00:00:00"/>
        <d v="2016-04-19T00:00:00"/>
        <d v="2016-04-20T00:00:00"/>
        <d v="2016-04-21T00:00:00"/>
        <d v="2016-04-22T00:00:00"/>
        <d v="2016-04-25T00:00:00"/>
        <d v="2016-04-26T00:00:00"/>
        <d v="2016-04-27T00:00:00"/>
        <d v="2016-04-28T00:00:00"/>
        <d v="2016-04-29T00:00:00"/>
        <d v="2016-05-02T00:00:00"/>
        <d v="2016-05-03T00:00:00"/>
        <d v="2016-05-04T00:00:00"/>
        <d v="2016-05-05T00:00:00"/>
        <d v="2016-05-06T00:00:00"/>
        <d v="2016-05-09T00:00:00"/>
        <d v="2016-05-10T00:00:00"/>
        <d v="2016-05-11T00:00:00"/>
        <d v="2016-05-12T00:00:00"/>
        <d v="2016-05-13T00:00:00"/>
        <d v="2016-05-16T00:00:00"/>
        <d v="2016-05-17T00:00:00"/>
        <d v="2016-05-18T00:00:00"/>
        <d v="2016-05-19T00:00:00"/>
        <d v="2016-05-20T00:00:00"/>
        <d v="2016-05-23T00:00:00"/>
        <d v="2016-05-24T00:00:00"/>
        <d v="2016-05-25T00:00:00"/>
        <d v="2016-05-26T00:00:00"/>
        <d v="2016-05-27T00:00:00"/>
        <d v="2016-05-31T00:00:00"/>
        <d v="2016-06-01T00:00:00"/>
        <d v="2016-06-02T00:00:00"/>
        <d v="2016-06-03T00:00:00"/>
        <d v="2016-06-06T00:00:00"/>
        <d v="2016-06-07T00:00:00"/>
        <d v="2016-06-08T00:00:00"/>
        <d v="2016-06-09T00:00:00"/>
        <d v="2016-06-10T00:00:00"/>
        <d v="2016-06-13T00:00:00"/>
        <d v="2016-06-14T00:00:00"/>
        <d v="2016-06-15T00:00:00"/>
        <d v="2016-06-16T00:00:00"/>
        <d v="2016-06-17T00:00:00"/>
        <d v="2016-06-20T00:00:00"/>
        <d v="2016-06-21T00:00:00"/>
        <d v="2016-06-22T00:00:00"/>
        <d v="2016-06-23T00:00:00"/>
        <d v="2016-06-24T00:00:00"/>
        <d v="2016-06-27T00:00:00"/>
        <d v="2016-06-28T00:00:00"/>
        <d v="2016-06-29T00:00:00"/>
        <d v="2016-06-30T00:00:00"/>
        <d v="2016-07-01T00:00:00"/>
        <d v="2016-07-05T00:00:00"/>
        <d v="2016-07-06T00:00:00"/>
        <d v="2016-07-07T00:00:00"/>
        <d v="2016-07-08T00:00:00"/>
        <d v="2016-07-11T00:00:00"/>
        <d v="2016-07-12T00:00:00"/>
        <d v="2016-07-13T00:00:00"/>
        <d v="2016-07-14T00:00:00"/>
        <d v="2016-07-15T00:00:00"/>
        <d v="2016-07-18T00:00:00"/>
        <d v="2016-07-19T00:00:00"/>
        <d v="2016-07-20T00:00:00"/>
        <d v="2016-07-21T00:00:00"/>
        <d v="2016-07-22T00:00:00"/>
        <d v="2016-07-25T00:00:00"/>
        <d v="2016-07-26T00:00:00"/>
        <d v="2016-07-27T00:00:00"/>
        <d v="2016-07-28T00:00:00"/>
        <d v="2016-07-29T00:00:00"/>
        <d v="2016-08-01T00:00:00"/>
        <d v="2016-08-02T00:00:00"/>
        <d v="2016-08-03T00:00:00"/>
        <d v="2016-08-04T00:00:00"/>
        <d v="2016-08-05T00:00:00"/>
        <d v="2016-08-08T00:00:00"/>
        <d v="2016-08-09T00:00:00"/>
        <d v="2016-08-10T00:00:00"/>
        <d v="2016-08-11T00:00:00"/>
        <d v="2016-08-12T00:00:00"/>
        <d v="2016-08-15T00:00:00"/>
        <d v="2016-08-16T00:00:00"/>
        <d v="2016-08-17T00:00:00"/>
        <d v="2016-08-18T00:00:00"/>
        <d v="2016-08-19T00:00:00"/>
        <d v="2016-08-22T00:00:00"/>
        <d v="2016-08-23T00:00:00"/>
        <d v="2016-08-24T00:00:00"/>
        <d v="2016-08-25T00:00:00"/>
        <d v="2016-08-26T00:00:00"/>
        <d v="2016-08-29T00:00:00"/>
        <d v="2016-08-30T00:00:00"/>
        <d v="2016-08-31T00:00:00"/>
        <d v="2016-09-01T00:00:00"/>
        <d v="2016-09-02T00:00:00"/>
        <d v="2016-09-06T00:00:00"/>
        <d v="2016-09-07T00:00:00"/>
        <d v="2016-09-08T00:00:00"/>
        <d v="2016-09-09T00:00:00"/>
        <d v="2016-09-12T00:00:00"/>
        <d v="2016-09-13T00:00:00"/>
        <d v="2016-09-14T00:00:00"/>
        <d v="2016-09-15T00:00:00"/>
        <d v="2016-09-16T00:00:00"/>
        <d v="2016-09-19T00:00:00"/>
        <d v="2016-09-20T00:00:00"/>
        <d v="2016-09-21T00:00:00"/>
        <d v="2016-09-22T00:00:00"/>
        <d v="2016-09-23T00:00:00"/>
        <d v="2016-09-26T00:00:00"/>
        <d v="2016-09-27T00:00:00"/>
        <d v="2016-09-28T00:00:00"/>
        <d v="2016-09-29T00:00:00"/>
        <d v="2016-09-30T00:00:00"/>
        <d v="2016-10-03T00:00:00"/>
        <d v="2016-10-04T00:00:00"/>
        <d v="2016-10-05T00:00:00"/>
        <d v="2016-10-06T00:00:00"/>
        <d v="2016-10-07T00:00:00"/>
        <d v="2016-10-10T00:00:00"/>
        <d v="2016-10-11T00:00:00"/>
        <d v="2016-10-12T00:00:00"/>
        <d v="2016-10-13T00:00:00"/>
        <d v="2016-10-14T00:00:00"/>
        <d v="2016-10-17T00:00:00"/>
        <d v="2016-10-18T00:00:00"/>
        <d v="2016-10-19T00:00:00"/>
        <d v="2016-10-20T00:00:00"/>
        <d v="2016-10-21T00:00:00"/>
        <d v="2016-10-24T00:00:00"/>
        <d v="2016-10-25T00:00:00"/>
        <d v="2016-10-26T00:00:00"/>
        <d v="2016-10-27T00:00:00"/>
        <d v="2016-10-28T00:00:00"/>
        <d v="2016-10-31T00:00:00"/>
        <d v="2016-11-01T00:00:00"/>
        <d v="2016-11-02T00:00:00"/>
        <d v="2016-11-03T00:00:00"/>
        <d v="2016-11-04T00:00:00"/>
        <d v="2016-11-07T00:00:00"/>
        <d v="2016-11-08T00:00:00"/>
        <d v="2016-11-09T00:00:00"/>
        <d v="2016-11-10T00:00:00"/>
        <d v="2016-11-11T00:00:00"/>
        <d v="2016-11-14T00:00:00"/>
        <d v="2016-11-15T00:00:00"/>
        <d v="2016-11-16T00:00:00"/>
        <d v="2016-11-17T00:00:00"/>
        <d v="2016-11-18T00:00:00"/>
        <d v="2016-11-21T00:00:00"/>
        <d v="2016-11-22T00:00:00"/>
        <d v="2016-11-23T00:00:00"/>
        <d v="2016-11-25T00:00:00"/>
        <d v="2016-11-28T00:00:00"/>
        <d v="2016-11-29T00:00:00"/>
        <d v="2016-11-30T00:00:00"/>
        <d v="2016-12-01T00:00:00"/>
        <d v="2016-12-02T00:00:00"/>
        <d v="2016-12-05T00:00:00"/>
        <d v="2016-12-06T00:00:00"/>
        <d v="2016-12-07T00:00:00"/>
        <d v="2016-12-08T00:00:00"/>
        <d v="2016-12-09T00:00:00"/>
        <d v="2016-12-12T00:00:00"/>
        <d v="2016-12-13T00:00:00"/>
        <d v="2016-12-14T00:00:00"/>
        <d v="2016-12-15T00:00:00"/>
        <d v="2016-12-16T00:00:00"/>
        <d v="2016-12-19T00:00:00"/>
        <d v="2016-12-20T00:00:00"/>
        <d v="2016-12-21T00:00:00"/>
        <d v="2016-12-22T00:00:00"/>
        <d v="2016-12-23T00:00:00"/>
        <d v="2016-12-27T00:00:00"/>
        <d v="2016-12-28T00:00:00"/>
        <d v="2016-12-29T00:00:00"/>
        <d v="2016-12-30T00:00:00"/>
        <d v="2017-01-03T00:00:00"/>
        <d v="2017-01-04T00:00:00"/>
        <d v="2017-01-05T00:00:00"/>
        <d v="2017-01-06T00:00:00"/>
        <d v="2017-01-09T00:00:00"/>
        <d v="2017-01-10T00:00:00"/>
        <d v="2017-01-11T00:00:00"/>
        <d v="2017-01-12T00:00:00"/>
        <d v="2017-01-13T00:00:00"/>
        <d v="2017-01-17T00:00:00"/>
        <d v="2017-01-18T00:00:00"/>
        <d v="2017-01-19T00:00:00"/>
        <d v="2017-01-20T00:00:00"/>
        <d v="2017-01-23T00:00:00"/>
        <d v="2017-01-24T00:00:00"/>
        <d v="2017-01-25T00:00:00"/>
        <d v="2017-01-26T00:00:00"/>
        <d v="2017-01-27T00:00:00"/>
        <d v="2017-01-30T00:00:00"/>
        <d v="2017-01-31T00:00:00"/>
        <d v="2017-02-01T00:00:00"/>
        <d v="2017-02-02T00:00:00"/>
        <d v="2017-02-03T00:00:00"/>
        <d v="2017-02-06T00:00:00"/>
        <d v="2017-02-07T00:00:00"/>
        <d v="2017-02-08T00:00:00"/>
        <d v="2017-02-09T00:00:00"/>
        <d v="2017-02-10T00:00:00"/>
        <d v="2017-02-13T00:00:00"/>
        <d v="2017-02-14T00:00:00"/>
        <d v="2017-02-15T00:00:00"/>
        <d v="2017-02-16T00:00:00"/>
        <d v="2017-02-17T00:00:00"/>
        <d v="2017-02-21T00:00:00"/>
        <d v="2017-02-22T00:00:00"/>
        <d v="2017-02-23T00:00:00"/>
        <d v="2017-02-24T00:00:00"/>
        <d v="2017-02-27T00:00:00"/>
        <d v="2017-02-28T00:00:00"/>
        <d v="2017-03-01T00:00:00"/>
        <d v="2017-03-02T00:00:00"/>
        <d v="2017-03-03T00:00:00"/>
        <d v="2017-03-06T00:00:00"/>
        <d v="2017-03-07T00:00:00"/>
        <d v="2017-03-08T00:00:00"/>
        <d v="2017-03-09T00:00:00"/>
        <d v="2017-03-10T00:00:00"/>
        <d v="2017-03-13T00:00:00"/>
        <d v="2017-03-14T00:00:00"/>
        <d v="2017-03-15T00:00:00"/>
        <d v="2017-03-16T00:00:00"/>
        <d v="2017-03-17T00:00:00"/>
        <d v="2017-03-20T00:00:00"/>
        <d v="2017-03-21T00:00:00"/>
        <d v="2017-03-22T00:00:00"/>
        <d v="2017-03-23T00:00:00"/>
        <d v="2017-03-24T00:00:00"/>
        <d v="2017-03-27T00:00:00"/>
        <d v="2017-03-28T00:00:00"/>
        <d v="2017-03-29T00:00:00"/>
        <d v="2017-03-30T00:00:00"/>
        <d v="2017-03-31T00:00:00"/>
        <d v="2017-04-03T00:00:00"/>
        <d v="2017-04-04T00:00:00"/>
        <d v="2017-04-05T00:00:00"/>
        <d v="2017-04-06T00:00:00"/>
        <d v="2017-04-07T00:00:00"/>
        <d v="2017-04-10T00:00:00"/>
        <d v="2017-04-11T00:00:00"/>
        <d v="2017-04-12T00:00:00"/>
        <d v="2017-04-13T00:00:00"/>
        <d v="2017-04-17T00:00:00"/>
        <d v="2017-04-18T00:00:00"/>
        <d v="2017-04-19T00:00:00"/>
        <d v="2017-04-20T00:00:00"/>
        <d v="2017-04-21T00:00:00"/>
        <d v="2017-04-24T00:00:00"/>
        <d v="2017-04-25T00:00:00"/>
        <d v="2017-04-26T00:00:00"/>
        <d v="2017-04-27T00:00:00"/>
        <d v="2017-04-28T00:00:00"/>
        <d v="2017-05-01T00:00:00"/>
        <d v="2017-05-02T00:00:00"/>
        <d v="2017-05-03T00:00:00"/>
        <d v="2017-05-04T00:00:00"/>
        <d v="2017-05-05T00:00:00"/>
        <d v="2017-05-08T00:00:00"/>
        <d v="2017-05-09T00:00:00"/>
        <d v="2017-05-10T00:00:00"/>
        <d v="2017-05-11T00:00:00"/>
        <d v="2017-05-12T00:00:00"/>
        <d v="2017-05-15T00:00:00"/>
        <d v="2017-05-16T00:00:00"/>
        <d v="2017-05-17T00:00:00"/>
        <d v="2017-05-18T00:00:00"/>
        <d v="2017-05-19T00:00:00"/>
        <d v="2017-05-22T00:00:00"/>
        <d v="2017-05-23T00:00:00"/>
        <d v="2017-05-24T00:00:00"/>
        <d v="2017-05-25T00:00:00"/>
        <d v="2017-05-26T00:00:00"/>
        <d v="2017-05-30T00:00:00"/>
        <d v="2017-05-31T00:00:00"/>
        <d v="2017-06-01T00:00:00"/>
        <d v="2017-06-02T00:00:00"/>
        <d v="2017-06-05T00:00:00"/>
        <d v="2017-06-06T00:00:00"/>
        <d v="2017-06-07T00:00:00"/>
        <d v="2017-06-08T00:00:00"/>
        <d v="2017-06-09T00:00:00"/>
        <d v="2017-06-12T00:00:00"/>
        <d v="2017-06-13T00:00:00"/>
        <d v="2017-06-14T00:00:00"/>
        <d v="2017-06-15T00:00:00"/>
        <d v="2017-06-16T00:00:00"/>
        <d v="2017-06-19T00:00:00"/>
        <d v="2017-06-20T00:00:00"/>
        <d v="2017-06-21T00:00:00"/>
        <d v="2017-06-22T00:00:00"/>
        <d v="2017-06-23T00:00:00"/>
        <d v="2017-06-26T00:00:00"/>
        <d v="2017-06-27T00:00:00"/>
        <d v="2017-06-28T00:00:00"/>
        <d v="2017-06-29T00:00:00"/>
        <d v="2017-06-30T00:00:00"/>
        <d v="2017-07-03T00:00:00"/>
        <d v="2017-07-05T00:00:00"/>
        <d v="2017-07-06T00:00:00"/>
        <d v="2017-07-07T00:00:00"/>
        <d v="2017-07-10T00:00:00"/>
        <d v="2017-07-11T00:00:00"/>
        <d v="2017-07-12T00:00:00"/>
        <d v="2017-07-13T00:00:00"/>
        <d v="2017-07-14T00:00:00"/>
        <d v="2017-07-17T00:00:00"/>
        <d v="2017-07-18T00:00:00"/>
        <d v="2017-07-19T00:00:00"/>
        <d v="2017-07-20T00:00:00"/>
        <d v="2017-07-21T00:00:00"/>
        <d v="2017-07-24T00:00:00"/>
        <d v="2017-07-25T00:00:00"/>
        <d v="2017-07-26T00:00:00"/>
        <d v="2017-07-27T00:00:00"/>
        <d v="2017-07-28T00:00:00"/>
        <d v="2017-07-31T00:00:00"/>
        <d v="2017-08-01T00:00:00"/>
        <d v="2017-08-02T00:00:00"/>
        <d v="2017-08-03T00:00:00"/>
        <d v="2017-08-04T00:00:00"/>
        <d v="2017-08-07T00:00:00"/>
        <d v="2017-08-08T00:00:00"/>
        <d v="2017-08-09T00:00:00"/>
        <d v="2017-08-10T00:00:00"/>
        <d v="2017-08-11T00:00:00"/>
        <d v="2017-08-14T00:00:00"/>
        <d v="2017-08-15T00:00:00"/>
        <d v="2017-08-16T00:00:00"/>
        <d v="2017-08-17T00:00:00"/>
        <d v="2017-08-18T00:00:00"/>
        <d v="2017-08-21T00:00:00"/>
        <d v="2017-08-22T00:00:00"/>
        <d v="2017-08-23T00:00:00"/>
        <d v="2017-08-24T00:00:00"/>
        <d v="2017-08-25T00:00:00"/>
        <d v="2017-08-28T00:00:00"/>
        <d v="2017-08-29T00:00:00"/>
        <d v="2017-08-30T00:00:00"/>
        <d v="2017-08-31T00:00:00"/>
        <d v="2017-09-01T00:00:00"/>
        <d v="2017-09-05T00:00:00"/>
        <d v="2017-09-06T00:00:00"/>
        <d v="2017-09-07T00:00:00"/>
        <d v="2017-09-08T00:00:00"/>
        <d v="2017-09-11T00:00:00"/>
        <d v="2017-09-12T00:00:00"/>
        <d v="2017-09-13T00:00:00"/>
        <d v="2017-09-14T00:00:00"/>
        <d v="2017-09-15T00:00:00"/>
        <d v="2017-09-18T00:00:00"/>
        <d v="2017-09-19T00:00:00"/>
        <d v="2017-09-20T00:00:00"/>
        <d v="2017-09-21T00:00:00"/>
        <d v="2017-09-22T00:00:00"/>
        <d v="2017-09-25T00:00:00"/>
        <d v="2017-09-26T00:00:00"/>
        <d v="2017-09-27T00:00:00"/>
        <d v="2017-09-28T00:00:00"/>
        <d v="2017-09-29T00:00:00"/>
        <d v="2017-10-02T00:00:00"/>
        <d v="2017-10-03T00:00:00"/>
        <d v="2017-10-04T00:00:00"/>
        <d v="2017-10-05T00:00:00"/>
        <d v="2017-10-06T00:00:00"/>
        <d v="2017-10-09T00:00:00"/>
        <d v="2017-10-10T00:00:00"/>
        <d v="2017-10-11T00:00:00"/>
        <d v="2017-10-12T00:00:00"/>
        <d v="2017-10-13T00:00:00"/>
        <d v="2017-10-16T00:00:00"/>
        <d v="2017-10-17T00:00:00"/>
        <d v="2017-10-18T00:00:00"/>
        <d v="2017-10-19T00:00:00"/>
        <d v="2017-10-20T00:00:00"/>
        <d v="2017-10-23T00:00:00"/>
        <d v="2017-10-24T00:00:00"/>
        <d v="2017-10-25T00:00:00"/>
        <d v="2017-10-26T00:00:00"/>
        <d v="2017-10-27T00:00:00"/>
        <d v="2017-10-30T00:00:00"/>
        <d v="2017-10-31T00:00:00"/>
        <d v="2017-11-01T00:00:00"/>
        <d v="2017-11-02T00:00:00"/>
        <d v="2017-11-03T00:00:00"/>
        <d v="2017-11-06T00:00:00"/>
        <d v="2017-11-07T00:00:00"/>
        <d v="2017-11-08T00:00:00"/>
        <d v="2017-11-09T00:00:00"/>
        <d v="2017-11-10T00:00:00"/>
        <d v="2017-11-13T00:00:00"/>
        <d v="2017-11-14T00:00:00"/>
        <d v="2017-11-15T00:00:00"/>
        <d v="2017-11-16T00:00:00"/>
        <d v="2017-11-17T00:00:00"/>
        <d v="2017-11-20T00:00:00"/>
        <d v="2017-11-21T00:00:00"/>
        <d v="2017-11-22T00:00:00"/>
        <d v="2017-11-24T00:00:00"/>
        <d v="2017-11-27T00:00:00"/>
        <d v="2017-11-28T00:00:00"/>
        <d v="2017-11-29T00:00:00"/>
        <d v="2017-11-30T00:00:00"/>
        <d v="2017-12-01T00:00:00"/>
        <d v="2017-12-04T00:00:00"/>
        <d v="2017-12-05T00:00:00"/>
        <d v="2017-12-06T00:00:00"/>
        <d v="2017-12-07T00:00:00"/>
        <d v="2017-12-08T00:00:00"/>
        <d v="2017-12-11T00:00:00"/>
        <d v="2017-12-12T00:00:00"/>
        <d v="2017-12-13T00:00:00"/>
        <d v="2017-12-14T00:00:00"/>
        <d v="2017-12-15T00:00:00"/>
        <d v="2017-12-18T00:00:00"/>
        <d v="2017-12-19T00:00:00"/>
        <d v="2017-12-20T00:00:00"/>
        <d v="2017-12-21T00:00:00"/>
        <d v="2017-12-22T00:00:00"/>
        <d v="2017-12-26T00:00:00"/>
        <d v="2017-12-27T00:00:00"/>
        <d v="2017-12-28T00:00:00"/>
        <d v="2017-12-29T00:00:00"/>
        <d v="2018-01-02T00:00:00"/>
        <d v="2018-01-03T00:00:00"/>
        <d v="2018-01-04T00:00:00"/>
        <d v="2018-01-05T00:00:00"/>
        <d v="2018-01-08T00:00:00"/>
        <d v="2018-01-09T00:00:00"/>
        <d v="2018-01-10T00:00:00"/>
        <d v="2018-01-11T00:00:00"/>
        <d v="2018-01-12T00:00:00"/>
        <d v="2018-01-16T00:00:00"/>
        <d v="2018-01-17T00:00:00"/>
        <d v="2018-01-18T00:00:00"/>
        <d v="2018-01-19T00:00:00"/>
        <d v="2018-01-22T00:00:00"/>
        <d v="2018-01-23T00:00:00"/>
        <d v="2018-01-24T00:00:00"/>
        <d v="2018-01-25T00:00:00"/>
        <d v="2018-01-26T00:00:00"/>
        <d v="2018-01-29T00:00:00"/>
        <d v="2018-01-30T00:00:00"/>
        <d v="2018-01-31T00:00:00"/>
        <d v="2018-02-01T00:00:00"/>
        <d v="2018-02-02T00:00:00"/>
        <d v="2018-02-05T00:00:00"/>
        <d v="2018-02-06T00:00:00"/>
        <d v="2018-02-07T00:00:00"/>
        <d v="2018-02-08T00:00:00"/>
        <d v="2018-02-09T00:00:00"/>
        <d v="2018-02-12T00:00:00"/>
        <d v="2018-02-13T00:00:00"/>
        <d v="2018-02-14T00:00:00"/>
        <d v="2018-02-15T00:00:00"/>
        <d v="2018-02-16T00:00:00"/>
        <d v="2018-02-20T00:00:00"/>
        <d v="2018-02-21T00:00:00"/>
        <d v="2018-02-22T00:00:00"/>
        <d v="2018-02-23T00:00:00"/>
        <d v="2018-02-26T00:00:00"/>
        <d v="2018-02-27T00:00:00"/>
        <d v="2018-02-28T00:00:00"/>
        <d v="2018-03-01T00:00:00"/>
        <d v="2018-03-02T00:00:00"/>
        <d v="2018-03-05T00:00:00"/>
        <d v="2018-03-06T00:00:00"/>
        <d v="2018-03-07T00:00:00"/>
        <d v="2018-03-08T00:00:00"/>
        <d v="2018-03-09T00:00:00"/>
        <d v="2018-03-12T00:00:00"/>
        <d v="2018-03-13T00:00:00"/>
        <d v="2018-03-14T00:00:00"/>
        <d v="2018-03-15T00:00:00"/>
        <d v="2018-03-16T00:00:00"/>
        <d v="2018-03-19T00:00:00"/>
        <d v="2018-03-20T00:00:00"/>
        <d v="2018-03-21T00:00:00"/>
        <d v="2018-03-22T00:00:00"/>
        <d v="2018-03-23T00:00:00"/>
        <d v="2018-03-26T00:00:00"/>
        <d v="2018-03-27T00:00:00"/>
        <d v="2018-03-28T00:00:00"/>
        <d v="2018-03-29T00:00:00"/>
        <d v="2018-04-02T00:00:00"/>
        <d v="2018-04-03T00:00:00"/>
        <d v="2018-04-04T00:00:00"/>
        <d v="2018-04-05T00:00:00"/>
        <d v="2018-04-06T00:00:00"/>
        <d v="2018-04-09T00:00:00"/>
        <d v="2018-04-10T00:00:00"/>
        <d v="2018-04-11T00:00:00"/>
        <d v="2018-04-12T00:00:00"/>
        <d v="2018-04-13T00:00:00"/>
        <d v="2018-04-16T00:00:00"/>
        <d v="2018-04-17T00:00:00"/>
        <d v="2018-04-18T00:00:00"/>
        <d v="2018-04-19T00:00:00"/>
        <d v="2018-04-20T00:00:00"/>
        <d v="2018-04-23T00:00:00"/>
        <d v="2018-04-24T00:00:00"/>
        <d v="2018-04-25T00:00:00"/>
        <d v="2018-04-26T00:00:00"/>
        <d v="2018-04-27T00:00:00"/>
        <d v="2018-04-30T00:00:00"/>
        <d v="2018-05-01T00:00:00"/>
        <d v="2018-05-02T00:00:00"/>
        <d v="2018-05-03T00:00:00"/>
        <d v="2018-05-04T00:00:00"/>
        <d v="2018-05-07T00:00:00"/>
        <d v="2018-05-08T00:00:00"/>
        <d v="2018-05-09T00:00:00"/>
        <d v="2018-05-10T00:00:00"/>
        <d v="2018-05-11T00:00:00"/>
        <d v="2018-05-14T00:00:00"/>
        <d v="2018-05-15T00:00:00"/>
        <d v="2018-05-16T00:00:00"/>
        <d v="2018-05-17T00:00:00"/>
        <d v="2018-05-18T00:00:00"/>
        <d v="2018-05-21T00:00:00"/>
        <d v="2018-05-22T00:00:00"/>
        <d v="2018-05-23T00:00:00"/>
        <d v="2018-05-24T00:00:00"/>
        <d v="2018-05-25T00:00:00"/>
        <d v="2018-05-29T00:00:00"/>
        <d v="2018-05-30T00:00:00"/>
        <d v="2018-05-31T00:00:00"/>
        <d v="2018-06-01T00:00:00"/>
        <d v="2018-06-04T00:00:00"/>
        <d v="2018-06-05T00:00:00"/>
        <d v="2018-06-06T00:00:00"/>
        <d v="2018-06-07T00:00:00"/>
        <d v="2018-06-08T00:00:00"/>
        <d v="2018-06-11T00:00:00"/>
        <d v="2018-06-12T00:00:00"/>
        <d v="2018-06-13T00:00:00"/>
        <d v="2018-06-14T00:00:00"/>
        <d v="2018-06-15T00:00:00"/>
        <d v="2018-06-18T00:00:00"/>
        <d v="2018-06-19T00:00:00"/>
        <d v="2018-06-20T00:00:00"/>
        <d v="2018-06-21T00:00:00"/>
        <d v="2018-06-22T00:00:00"/>
        <d v="2018-06-25T00:00:00"/>
        <d v="2018-06-26T00:00:00"/>
        <d v="2018-06-27T00:00:00"/>
        <d v="2018-06-28T00:00:00"/>
        <d v="2018-06-29T00:00:00"/>
        <d v="2018-07-02T00:00:00"/>
        <d v="2018-07-03T00:00:00"/>
        <d v="2018-07-05T00:00:00"/>
        <d v="2018-07-06T00:00:00"/>
        <d v="2018-07-09T00:00:00"/>
        <d v="2018-07-10T00:00:00"/>
        <d v="2018-07-11T00:00:00"/>
        <d v="2018-07-12T00:00:00"/>
        <d v="2018-07-13T00:00:00"/>
        <d v="2018-07-16T00:00:00"/>
        <d v="2018-07-17T00:00:00"/>
        <d v="2018-07-18T00:00:00"/>
        <d v="2018-07-19T00:00:00"/>
        <d v="2018-07-20T00:00:00"/>
        <d v="2018-07-23T00:00:00"/>
        <d v="2018-07-24T00:00:00"/>
        <d v="2018-07-25T00:00:00"/>
        <d v="2018-07-26T00:00:00"/>
        <d v="2018-07-27T00:00:00"/>
        <d v="2018-07-30T00:00:00"/>
        <d v="2018-07-31T00:00:00"/>
        <d v="2018-08-01T00:00:00"/>
        <d v="2018-08-02T00:00:00"/>
        <d v="2018-08-03T00:00:00"/>
        <d v="2018-08-06T00:00:00"/>
        <d v="2018-08-07T00:00:00"/>
        <d v="2018-08-08T00:00:00"/>
        <d v="2018-08-09T00:00:00"/>
        <d v="2018-08-10T00:00:00"/>
        <d v="2018-08-13T00:00:00"/>
        <d v="2018-08-14T00:00:00"/>
        <d v="2018-08-15T00:00:00"/>
        <d v="2018-08-16T00:00:00"/>
        <d v="2018-08-17T00:00:00"/>
        <d v="2018-08-20T00:00:00"/>
        <d v="2018-08-21T00:00:00"/>
        <d v="2018-08-22T00:00:00"/>
        <d v="2018-08-23T00:00:00"/>
        <d v="2018-08-24T00:00:00"/>
        <d v="2018-08-27T00:00:00"/>
        <d v="2018-08-28T00:00:00"/>
        <d v="2018-08-29T00:00:00"/>
        <d v="2018-08-30T00:00:00"/>
        <d v="2018-08-31T00:00:00"/>
        <d v="2018-09-04T00:00:00"/>
        <d v="2018-09-05T00:00:00"/>
        <d v="2018-09-06T00:00:00"/>
        <d v="2018-09-07T00:00:00"/>
        <d v="2018-09-10T00:00:00"/>
        <d v="2018-09-11T00:00:00"/>
        <d v="2018-09-12T00:00:00"/>
        <d v="2018-09-13T00:00:00"/>
        <d v="2018-09-14T00:00:00"/>
        <d v="2018-09-17T00:00:00"/>
        <d v="2018-09-18T00:00:00"/>
        <d v="2018-09-19T00:00:00"/>
        <d v="2018-09-20T00:00:00"/>
        <d v="2018-09-21T00:00:00"/>
        <d v="2018-09-24T00:00:00"/>
        <d v="2018-09-25T00:00:00"/>
        <d v="2018-09-26T00:00:00"/>
        <d v="2018-09-27T00:00:00"/>
        <d v="2018-09-28T00:00:00"/>
        <d v="2018-10-01T00:00:00"/>
        <d v="2018-10-02T00:00:00"/>
        <d v="2018-10-03T00:00:00"/>
        <d v="2018-10-04T00:00:00"/>
        <d v="2018-10-05T00:00:00"/>
        <d v="2018-10-08T00:00:00"/>
        <d v="2018-10-09T00:00:00"/>
        <d v="2018-10-10T00:00:00"/>
        <d v="2018-10-11T00:00:00"/>
        <d v="2018-10-12T00:00:00"/>
        <d v="2018-10-15T00:00:00"/>
        <d v="2018-10-16T00:00:00"/>
        <d v="2018-10-17T00:00:00"/>
        <d v="2018-10-18T00:00:00"/>
        <d v="2018-10-19T00:00:00"/>
        <d v="2018-10-22T00:00:00"/>
        <d v="2018-10-23T00:00:00"/>
        <d v="2018-10-24T00:00:00"/>
        <d v="2018-10-25T00:00:00"/>
        <d v="2018-10-26T00:00:00"/>
        <d v="2018-10-29T00:00:00"/>
        <d v="2018-10-30T00:00:00"/>
        <d v="2018-10-31T00:00:00"/>
        <d v="2018-11-01T00:00:00"/>
        <d v="2018-11-02T00:00:00"/>
        <d v="2018-11-05T00:00:00"/>
        <d v="2018-11-06T00:00:00"/>
        <d v="2018-11-07T00:00:00"/>
        <d v="2018-11-08T00:00:00"/>
        <d v="2018-11-09T00:00:00"/>
        <d v="2018-11-12T00:00:00"/>
        <d v="2018-11-13T00:00:00"/>
        <d v="2018-11-14T00:00:00"/>
        <d v="2018-11-15T00:00:00"/>
        <d v="2018-11-16T00:00:00"/>
        <d v="2018-11-19T00:00:00"/>
        <d v="2018-11-20T00:00:00"/>
        <d v="2018-11-21T00:00:00"/>
        <d v="2018-11-23T00:00:00"/>
        <d v="2018-11-26T00:00:00"/>
        <d v="2018-11-27T00:00:00"/>
        <d v="2018-11-28T00:00:00"/>
        <d v="2018-11-29T00:00:00"/>
        <d v="2018-11-30T00:00:00"/>
        <d v="2018-12-03T00:00:00"/>
        <d v="2018-12-04T00:00:00"/>
        <d v="2018-12-06T00:00:00"/>
        <d v="2018-12-07T00:00:00"/>
        <d v="2018-12-10T00:00:00"/>
        <d v="2018-12-11T00:00:00"/>
        <d v="2018-12-12T00:00:00"/>
        <d v="2018-12-13T00:00:00"/>
        <d v="2018-12-14T00:00:00"/>
        <d v="2018-12-17T00:00:00"/>
        <d v="2018-12-18T00:00:00"/>
        <d v="2018-12-19T00:00:00"/>
        <d v="2018-12-20T00:00:00"/>
        <d v="2018-12-21T00:00:00"/>
        <d v="2018-12-24T00:00:00"/>
        <d v="2018-12-26T00:00:00"/>
        <d v="2018-12-27T00:00:00"/>
        <d v="2018-12-28T00:00:00"/>
        <d v="2018-12-31T00:00:00"/>
        <d v="2019-01-02T00:00:00"/>
        <d v="2019-01-03T00:00:00"/>
        <d v="2019-01-04T00:00:00"/>
        <d v="2019-01-07T00:00:00"/>
        <d v="2019-01-08T00:00:00"/>
        <d v="2019-01-09T00:00:00"/>
        <d v="2019-01-10T00:00:00"/>
        <d v="2019-01-11T00:00:00"/>
        <d v="2019-01-14T00:00:00"/>
        <d v="2019-01-15T00:00:00"/>
        <d v="2019-01-16T00:00:00"/>
        <d v="2019-01-17T00:00:00"/>
        <d v="2019-01-18T00:00:00"/>
        <d v="2019-01-22T00:00:00"/>
        <d v="2019-01-23T00:00:00"/>
        <d v="2019-01-24T00:00:00"/>
        <d v="2019-01-25T00:00:00"/>
        <d v="2019-01-28T00:00:00"/>
        <d v="2019-01-29T00:00:00"/>
        <d v="2019-01-30T00:00:00"/>
        <d v="2019-01-31T00:00:00"/>
        <d v="2019-02-01T00:00:00"/>
        <d v="2019-02-04T00:00:00"/>
        <d v="2019-02-05T00:00:00"/>
        <d v="2019-02-06T00:00:00"/>
        <d v="2019-02-07T00:00:00"/>
        <d v="2019-02-08T00:00:00"/>
        <d v="2019-02-11T00:00:00"/>
        <d v="2019-02-12T00:00:00"/>
        <d v="2019-02-13T00:00:00"/>
        <d v="2019-02-14T00:00:00"/>
        <d v="2019-02-15T00:00:00"/>
        <d v="2019-02-19T00:00:00"/>
        <d v="2019-02-20T00:00:00"/>
        <d v="2019-02-21T00:00:00"/>
        <d v="2019-02-22T00:00:00"/>
        <d v="2019-02-25T00:00:00"/>
        <d v="2019-02-26T00:00:00"/>
        <d v="2019-02-27T00:00:00"/>
        <d v="2019-02-28T00:00:00"/>
        <d v="2019-03-01T00:00:00"/>
        <d v="2019-03-04T00:00:00"/>
        <d v="2019-03-05T00:00:00"/>
        <d v="2019-03-06T00:00:00"/>
        <d v="2019-03-07T00:00:00"/>
        <d v="2019-03-08T00:00:00"/>
        <d v="2019-03-11T00:00:00"/>
        <d v="2019-03-12T00:00:00"/>
        <d v="2019-03-13T00:00:00"/>
        <d v="2019-03-14T00:00:00"/>
        <d v="2019-03-15T00:00:00"/>
        <d v="2019-03-18T00:00:00"/>
        <d v="2019-03-19T00:00:00"/>
        <d v="2019-03-20T00:00:00"/>
        <d v="2019-03-21T00:00:00"/>
        <d v="2019-03-22T00:00:00"/>
        <d v="2019-03-25T00:00:00"/>
        <d v="2019-03-26T00:00:00"/>
        <d v="2019-03-27T00:00:00"/>
        <d v="2019-03-28T00:00:00"/>
        <d v="2019-03-29T00:00:00"/>
        <d v="2019-04-01T00:00:00"/>
        <d v="2019-04-02T00:00:00"/>
        <d v="2019-04-03T00:00:00"/>
        <d v="2019-04-04T00:00:00"/>
        <d v="2019-04-05T00:00:00"/>
        <d v="2019-04-08T00:00:00"/>
        <d v="2019-04-09T00:00:00"/>
        <d v="2019-04-10T00:00:00"/>
        <d v="2019-04-11T00:00:00"/>
        <d v="2019-04-12T00:00:00"/>
        <d v="2019-04-15T00:00:00"/>
        <d v="2019-04-16T00:00:00"/>
        <d v="2019-04-17T00:00:00"/>
        <d v="2019-04-18T00:00:00"/>
        <d v="2019-04-22T00:00:00"/>
        <d v="2019-04-23T00:00:00"/>
        <d v="2019-04-24T00:00:00"/>
        <d v="2019-04-25T00:00:00"/>
        <d v="2019-04-26T00:00:00"/>
        <d v="2019-04-29T00:00:00"/>
        <d v="2019-04-30T00:00:00"/>
        <d v="2019-05-01T00:00:00"/>
        <d v="2019-05-02T00:00:00"/>
        <d v="2019-05-03T00:00:00"/>
        <d v="2019-05-06T00:00:00"/>
        <d v="2019-05-07T00:00:00"/>
        <d v="2019-05-08T00:00:00"/>
        <d v="2019-05-09T00:00:00"/>
        <d v="2019-05-10T00:00:00"/>
        <d v="2019-05-13T00:00:00"/>
        <d v="2019-05-14T00:00:00"/>
        <d v="2019-05-15T00:00:00"/>
        <d v="2019-05-16T00:00:00"/>
        <d v="2019-05-17T00:00:00"/>
        <d v="2019-05-20T00:00:00"/>
        <d v="2019-05-21T00:00:00"/>
        <d v="2019-05-22T00:00:00"/>
        <d v="2019-05-23T00:00:00"/>
        <d v="2019-05-24T00:00:00"/>
        <d v="2019-05-28T00:00:00"/>
        <d v="2019-05-29T00:00:00"/>
        <d v="2019-05-30T00:00:00"/>
        <d v="2019-05-31T00:00:00"/>
        <d v="2019-06-03T00:00:00"/>
        <d v="2019-06-04T00:00:00"/>
        <d v="2019-06-05T00:00:00"/>
        <d v="2019-06-06T00:00:00"/>
        <d v="2019-06-07T00:00:00"/>
        <d v="2019-06-10T00:00:00"/>
        <d v="2019-06-11T00:00:00"/>
        <d v="2019-06-12T00:00:00"/>
        <d v="2019-06-13T00:00:00"/>
        <d v="2019-06-14T00:00:00"/>
        <d v="2019-06-17T00:00:00"/>
        <d v="2019-06-18T00:00:00"/>
        <d v="2019-06-19T00:00:00"/>
        <d v="2019-06-20T00:00:00"/>
        <d v="2019-06-21T00:00:00"/>
        <d v="2019-06-24T00:00:00"/>
        <d v="2019-06-25T00:00:00"/>
        <d v="2019-06-26T00:00:00"/>
        <d v="2019-06-27T00:00:00"/>
        <d v="2019-06-28T00:00:00"/>
        <d v="2019-07-01T00:00:00"/>
        <d v="2019-07-02T00:00:00"/>
        <d v="2019-07-03T00:00:00"/>
        <d v="2019-07-05T00:00:00"/>
        <d v="2019-07-08T00:00:00"/>
        <d v="2019-07-09T00:00:00"/>
        <d v="2019-07-10T00:00:00"/>
        <d v="2019-07-11T00:00:00"/>
        <d v="2019-07-12T00:00:00"/>
        <d v="2019-07-15T00:00:00"/>
        <d v="2019-07-16T00:00:00"/>
        <d v="2019-07-17T00:00:00"/>
        <d v="2019-07-18T00:00:00"/>
        <d v="2019-07-19T00:00:00"/>
        <d v="2019-07-22T00:00:00"/>
        <d v="2019-07-23T00:00:00"/>
        <d v="2019-07-24T00:00:00"/>
        <d v="2019-07-25T00:00:00"/>
        <d v="2019-07-26T00:00:00"/>
        <d v="2019-07-29T00:00:00"/>
        <d v="2019-07-30T00:00:00"/>
        <d v="2019-07-31T00:00:00"/>
        <d v="2019-08-01T00:00:00"/>
        <d v="2019-08-02T00:00:00"/>
        <d v="2019-08-05T00:00:00"/>
        <d v="2019-08-06T00:00:00"/>
        <d v="2019-08-07T00:00:00"/>
        <d v="2019-08-08T00:00:00"/>
        <d v="2019-08-09T00:00:00"/>
        <d v="2019-08-12T00:00:00"/>
        <d v="2019-08-13T00:00:00"/>
        <d v="2019-08-14T00:00:00"/>
        <d v="2019-08-15T00:00:00"/>
        <d v="2019-08-16T00:00:00"/>
        <d v="2019-08-19T00:00:00"/>
        <d v="2019-08-20T00:00:00"/>
        <d v="2019-08-21T00:00:00"/>
        <d v="2019-08-22T00:00:00"/>
        <d v="2019-08-23T00:00:00"/>
        <d v="2019-08-26T00:00:00"/>
        <d v="2019-08-27T00:00:00"/>
        <d v="2019-08-28T00:00:00"/>
        <d v="2019-08-29T00:00:00"/>
        <d v="2019-08-30T00:00:00"/>
        <d v="2019-09-03T00:00:00"/>
        <d v="2019-09-04T00:00:00"/>
        <d v="2019-09-05T00:00:00"/>
        <d v="2019-09-06T00:00:00"/>
        <d v="2019-09-09T00:00:00"/>
        <d v="2019-09-10T00:00:00"/>
        <d v="2019-09-11T00:00:00"/>
        <d v="2019-09-12T00:00:00"/>
        <d v="2019-09-13T00:00:00"/>
        <d v="2019-09-16T00:00:00"/>
        <d v="2019-09-17T00:00:00"/>
        <d v="2019-09-18T00:00:00"/>
        <d v="2019-09-19T00:00:00"/>
        <d v="2019-09-20T00:00:00"/>
        <d v="2019-09-23T00:00:00"/>
        <d v="2019-09-24T00:00:00"/>
        <d v="2019-09-25T00:00:00"/>
        <d v="2019-09-26T00:00:00"/>
        <d v="2019-09-27T00:00:00"/>
        <d v="2019-09-30T00:00:00"/>
        <d v="2019-10-01T00:00:00"/>
        <d v="2019-10-02T00:00:00"/>
        <d v="2019-10-03T00:00:00"/>
        <d v="2019-10-04T00:00:00"/>
        <d v="2019-10-07T00:00:00"/>
        <d v="2019-10-08T00:00:00"/>
        <d v="2019-10-09T00:00:00"/>
        <d v="2019-10-10T00:00:00"/>
        <d v="2019-10-11T00:00:00"/>
        <d v="2019-10-14T00:00:00"/>
        <d v="2019-10-15T00:00:00"/>
        <d v="2019-10-16T00:00:00"/>
        <d v="2019-10-17T00:00:00"/>
        <d v="2019-10-18T00:00:00"/>
        <d v="2019-10-21T00:00:00"/>
        <d v="2019-10-22T00:00:00"/>
        <d v="2019-10-23T00:00:00"/>
        <d v="2019-10-24T00:00:00"/>
        <d v="2019-10-25T00:00:00"/>
        <d v="2019-10-28T00:00:00"/>
        <d v="2019-10-29T00:00:00"/>
        <d v="2019-10-30T00:00:00"/>
        <d v="2019-10-31T00:00:00"/>
        <d v="2019-11-01T00:00:00"/>
        <d v="2019-11-04T00:00:00"/>
        <d v="2019-11-05T00:00:00"/>
        <d v="2019-11-06T00:00:00"/>
        <d v="2019-11-07T00:00:00"/>
        <d v="2019-11-08T00:00:00"/>
        <d v="2019-11-11T00:00:00"/>
        <d v="2019-11-12T00:00:00"/>
        <d v="2019-11-13T00:00:00"/>
        <d v="2019-11-14T00:00:00"/>
        <d v="2019-11-15T00:00:00"/>
        <d v="2019-11-18T00:00:00"/>
        <d v="2019-11-19T00:00:00"/>
        <d v="2019-11-20T00:00:00"/>
        <d v="2019-11-21T00:00:00"/>
        <d v="2019-11-22T00:00:00"/>
        <d v="2019-11-25T00:00:00"/>
        <d v="2019-11-26T00:00:00"/>
        <d v="2019-11-27T00:00:00"/>
        <d v="2019-11-29T00:00:00"/>
        <d v="2019-12-02T00:00:00"/>
        <d v="2019-12-03T00:00:00"/>
        <d v="2019-12-04T00:00:00"/>
        <d v="2019-12-05T00:00:00"/>
        <d v="2019-12-06T00:00:00"/>
        <d v="2019-12-09T00:00:00"/>
        <d v="2019-12-10T00:00:00"/>
        <d v="2019-12-11T00:00:00"/>
        <d v="2019-12-12T00:00:00"/>
        <d v="2019-12-13T00:00:00"/>
        <d v="2019-12-16T00:00:00"/>
        <d v="2019-12-17T00:00:00"/>
        <d v="2019-12-18T00:00:00"/>
        <d v="2019-12-19T00:00:00"/>
        <d v="2019-12-20T00:00:00"/>
        <d v="2019-12-23T00:00:00"/>
        <d v="2019-12-24T00:00:00"/>
        <d v="2019-12-26T00:00:00"/>
        <d v="2019-12-27T00:00:00"/>
        <d v="2019-12-30T00:00:00"/>
        <d v="2019-12-31T00:00:00"/>
        <d v="2020-01-02T00:00:00"/>
        <d v="2020-01-03T00:00:00"/>
        <d v="2020-01-06T00:00:00"/>
        <d v="2020-01-07T00:00:00"/>
        <d v="2020-01-08T00:00:00"/>
        <d v="2020-01-09T00:00:00"/>
        <d v="2020-01-10T00:00:00"/>
        <d v="2020-01-13T00:00:00"/>
        <d v="2020-01-14T00:00:00"/>
        <d v="2020-01-15T00:00:00"/>
        <d v="2020-01-16T00:00:00"/>
        <d v="2020-01-17T00:00:00"/>
        <d v="2020-01-21T00:00:00"/>
        <d v="2020-01-22T00:00:00"/>
        <d v="2020-01-23T00:00:00"/>
        <d v="2020-01-24T00:00:00"/>
        <d v="2020-01-27T00:00:00"/>
        <d v="2020-01-28T00:00:00"/>
        <d v="2020-01-29T00:00:00"/>
        <d v="2020-01-30T00:00:00"/>
        <d v="2020-01-31T00:00:00"/>
        <d v="2020-02-03T00:00:00"/>
        <d v="2020-02-04T00:00:00"/>
        <d v="2020-02-05T00:00:00"/>
        <d v="2020-02-06T00:00:00"/>
        <d v="2020-02-07T00:00:00"/>
        <d v="2020-02-10T00:00:00"/>
        <d v="2020-02-11T00:00:00"/>
        <d v="2020-02-12T00:00:00"/>
        <d v="2020-02-13T00:00:00"/>
        <d v="2020-02-14T00:00:00"/>
        <d v="2020-02-18T00:00:00"/>
        <d v="2020-02-19T00:00:00"/>
        <d v="2020-02-20T00:00:00"/>
        <d v="2020-02-21T00:00:00"/>
        <d v="2020-02-24T00:00:00"/>
        <d v="2020-02-25T00:00:00"/>
        <d v="2020-02-26T00:00:00"/>
        <d v="2020-02-27T00:00:00"/>
        <d v="2020-02-28T00:00:00"/>
        <d v="2020-03-02T00:00:00"/>
        <d v="2020-03-03T00:00:00"/>
        <d v="2020-03-04T00:00:00"/>
        <d v="2020-03-05T00:00:00"/>
        <d v="2020-03-06T00:00:00"/>
        <d v="2020-03-09T00:00:00"/>
        <d v="2020-03-10T00:00:00"/>
        <d v="2020-03-11T00:00:00"/>
        <d v="2020-03-12T00:00:00"/>
        <d v="2020-03-13T00:00:00"/>
        <d v="2020-03-16T00:00:00"/>
        <d v="2020-03-17T00:00:00"/>
        <d v="2020-03-18T00:00:00"/>
        <d v="2020-03-19T00:00:00"/>
        <d v="2020-03-20T00:00:00"/>
        <d v="2020-03-23T00:00:00"/>
        <d v="2020-03-24T00:00:00"/>
        <d v="2020-03-25T00:00:00"/>
        <d v="2020-03-26T00:00:00"/>
        <d v="2020-03-27T00:00:00"/>
        <d v="2020-03-30T00:00:00"/>
        <d v="2020-03-31T00:00:00"/>
        <d v="2020-04-01T00:00:00"/>
        <d v="2020-04-02T00:00:00"/>
        <d v="2020-04-03T00:00:00"/>
        <d v="2020-04-06T00:00:00"/>
        <d v="2020-04-07T00:00:00"/>
        <d v="2020-04-08T00:00:00"/>
        <d v="2020-04-09T00:00:00"/>
        <d v="2020-04-13T00:00:00"/>
        <d v="2020-04-14T00:00:00"/>
        <d v="2020-04-15T00:00:00"/>
        <d v="2020-04-16T00:00:00"/>
        <d v="2020-04-17T00:00:00"/>
        <d v="2020-04-20T00:00:00"/>
        <d v="2020-04-21T00:00:00"/>
        <d v="2020-04-22T00:00:00"/>
        <d v="2020-04-23T00:00:00"/>
        <d v="2020-04-24T00:00:00"/>
        <d v="2020-04-27T00:00:00"/>
        <d v="2020-04-28T00:00:00"/>
        <d v="2020-04-29T00:00:00"/>
        <d v="2020-04-30T00:00:00"/>
        <d v="2020-05-01T00:00:00"/>
        <d v="2020-05-04T00:00:00"/>
        <d v="2020-05-05T00:00:00"/>
        <d v="2020-05-06T00:00:00"/>
        <d v="2020-05-07T00:00:00"/>
        <d v="2020-05-08T00:00:00"/>
        <d v="2020-05-11T00:00:00"/>
        <d v="2020-05-12T00:00:00"/>
        <d v="2020-05-13T00:00:00"/>
        <d v="2020-05-14T00:00:00"/>
        <d v="2020-05-15T00:00:00"/>
        <d v="2020-05-18T00:00:00"/>
        <d v="2020-05-19T00:00:00"/>
        <d v="2020-05-20T00:00:00"/>
        <d v="2020-05-21T00:00:00"/>
        <d v="2020-05-22T00:00:00"/>
        <d v="2020-05-26T00:00:00"/>
        <d v="2020-05-27T00:00:00"/>
        <d v="2020-05-28T00:00:00"/>
        <d v="2020-05-29T00:00:00"/>
        <d v="2020-06-01T00:00:00"/>
        <d v="2020-06-02T00:00:00"/>
        <d v="2020-06-03T00:00:00"/>
        <d v="2020-06-04T00:00:00"/>
        <d v="2020-06-05T00:00:00"/>
        <d v="2020-06-08T00:00:00"/>
        <d v="2020-06-09T00:00:00"/>
        <d v="2020-06-10T00:00:00"/>
        <d v="2020-06-11T00:00:00"/>
        <d v="2020-06-12T00:00:00"/>
        <d v="2020-06-15T00:00:00"/>
        <d v="2020-06-16T00:00:00"/>
        <d v="2020-06-17T00:00:00"/>
        <d v="2020-06-18T00:00:00"/>
        <d v="2020-06-19T00:00:00"/>
        <d v="2020-06-22T00:00:00"/>
        <d v="2020-06-23T00:00:00"/>
        <d v="2020-06-24T00:00:00"/>
        <d v="2020-06-25T00:00:00"/>
        <d v="2020-06-26T00:00:00"/>
        <d v="2020-06-29T00:00:00"/>
        <d v="2020-06-30T00:00:00"/>
        <d v="2020-07-01T00:00:00"/>
        <d v="2020-07-02T00:00:00"/>
        <d v="2020-07-06T00:00:00"/>
        <d v="2020-07-07T00:00:00"/>
        <d v="2020-07-08T00:00:00"/>
        <d v="2020-07-09T00:00:00"/>
        <d v="2020-07-10T00:00:00"/>
        <d v="2020-07-13T00:00:00"/>
        <d v="2020-07-14T00:00:00"/>
        <d v="2020-07-15T00:00:00"/>
        <d v="2020-07-16T00:00:00"/>
        <d v="2020-07-17T00:00:00"/>
        <d v="2020-07-20T00:00:00"/>
        <d v="2020-07-21T00:00:00"/>
        <d v="2020-07-22T00:00:00"/>
        <d v="2020-07-23T00:00:00"/>
        <d v="2020-07-24T00:00:00"/>
        <d v="2020-07-27T00:00:00"/>
        <d v="2020-07-28T00:00:00"/>
        <d v="2020-07-29T00:00:00"/>
        <d v="2020-07-30T00:00:00"/>
        <d v="2020-07-31T00:00:00"/>
        <d v="2020-08-03T00:00:00"/>
        <d v="2020-08-04T00:00:00"/>
        <d v="2020-08-05T00:00:00"/>
        <d v="2020-08-06T00:00:00"/>
        <d v="2020-08-07T00:00:00"/>
        <d v="2020-08-10T00:00:00"/>
        <d v="2020-08-11T00:00:00"/>
        <d v="2020-08-12T00:00:00"/>
        <d v="2020-08-13T00:00:00"/>
        <d v="2020-08-14T00:00:00"/>
        <d v="2020-08-17T00:00:00"/>
        <d v="2020-08-18T00:00:00"/>
        <d v="2020-08-19T00:00:00"/>
        <d v="2020-08-20T00:00:00"/>
        <d v="2020-08-21T00:00:00"/>
        <d v="2020-08-24T00:00:00"/>
        <d v="2020-08-25T00:00:00"/>
        <d v="2020-08-26T00:00:00"/>
        <d v="2020-08-27T00:00:00"/>
        <d v="2020-08-28T00:00:00"/>
        <d v="2020-08-31T00:00:00"/>
        <d v="2020-09-01T00:00:00"/>
        <d v="2020-09-02T00:00:00"/>
        <d v="2020-09-03T00:00:00"/>
        <d v="2020-09-04T00:00:00"/>
        <d v="2020-09-08T00:00:00"/>
        <d v="2020-09-09T00:00:00"/>
        <d v="2020-09-10T00:00:00"/>
        <d v="2020-09-11T00:00:00"/>
        <d v="2020-09-14T00:00:00"/>
        <d v="2020-09-15T00:00:00"/>
        <d v="2020-09-16T00:00:00"/>
        <d v="2020-09-17T00:00:00"/>
        <d v="2020-09-18T00:00:00"/>
        <d v="2020-09-21T00:00:00"/>
        <d v="2020-09-22T00:00:00"/>
        <d v="2020-09-23T00:00:00"/>
        <d v="2020-09-24T00:00:00"/>
        <d v="2020-09-25T00:00:00"/>
        <d v="2020-09-28T00:00:00"/>
        <d v="2020-09-29T00:00:00"/>
        <d v="2020-09-30T00:00:00"/>
        <d v="2020-10-01T00:00:00"/>
        <d v="2020-10-02T00:00:00"/>
        <d v="2020-10-05T00:00:00"/>
        <d v="2020-10-06T00:00:00"/>
        <d v="2020-10-07T00:00:00"/>
        <d v="2020-10-08T00:00:00"/>
        <d v="2020-10-09T00:00:00"/>
        <d v="2020-10-12T00:00:00"/>
        <d v="2020-10-13T00:00:00"/>
        <d v="2020-10-14T00:00:00"/>
        <d v="2020-10-15T00:00:00"/>
        <d v="2020-10-16T00:00:00"/>
        <d v="2020-10-19T00:00:00"/>
        <d v="2020-10-20T00:00:00"/>
        <d v="2020-10-21T00:00:00"/>
        <d v="2020-10-22T00:00:00"/>
        <d v="2020-10-23T00:00:00"/>
        <d v="2020-10-26T00:00:00"/>
        <d v="2020-10-27T00:00:00"/>
        <d v="2020-10-28T00:00:00"/>
        <d v="2020-10-29T00:00:00"/>
        <d v="2020-10-30T00:00:00"/>
        <d v="2020-11-02T00:00:00"/>
        <d v="2020-11-03T00:00:00"/>
        <d v="2020-11-04T00:00:00"/>
        <d v="2020-11-05T00:00:00"/>
        <d v="2020-11-06T00:00:00"/>
        <d v="2020-11-09T00:00:00"/>
        <d v="2020-11-10T00:00:00"/>
        <d v="2020-11-11T00:00:00"/>
        <d v="2020-11-12T00:00:00"/>
        <d v="2020-11-13T00:00:00"/>
        <d v="2020-11-16T00:00:00"/>
        <d v="2020-11-17T00:00:00"/>
        <d v="2020-11-18T00:00:00"/>
        <d v="2020-11-19T00:00:00"/>
        <d v="2020-11-20T00:00:00"/>
        <d v="2020-11-23T00:00:00"/>
        <d v="2020-11-24T00:00:00"/>
        <d v="2020-11-25T00:00:00"/>
        <d v="2020-11-27T00:00:00"/>
        <d v="2020-11-30T00:00:00"/>
        <d v="2020-12-01T00:00:00"/>
        <d v="2020-12-02T00:00:00"/>
        <d v="2020-12-03T00:00:00"/>
        <d v="2020-12-04T00:00:00"/>
        <d v="2020-12-07T00:00:00"/>
        <d v="2020-12-08T00:00:00"/>
        <d v="2020-12-09T00:00:00"/>
        <d v="2020-12-10T00:00:00"/>
        <d v="2020-12-11T00:00:00"/>
        <d v="2020-12-14T00:00:00"/>
        <d v="2020-12-15T00:00:00"/>
        <d v="2020-12-16T00:00:00"/>
        <d v="2020-12-17T00:00:00"/>
        <d v="2020-12-18T00:00:00"/>
        <d v="2020-12-21T00:00:00"/>
        <d v="2020-12-22T00:00:00"/>
        <d v="2020-12-23T00:00:00"/>
        <d v="2020-12-24T00:00:00"/>
        <d v="2020-12-28T00:00:00"/>
        <d v="2020-12-29T00:00:00"/>
        <d v="2020-12-30T00:00:00"/>
        <d v="2020-12-31T00:00:00"/>
        <d v="2021-01-04T00:00:00"/>
        <d v="2021-01-05T00:00:00"/>
        <d v="2021-01-06T00:00:00"/>
        <d v="2021-01-07T00:00:00"/>
        <d v="2021-01-08T00:00:00"/>
        <d v="2021-01-11T00:00:00"/>
        <d v="2021-01-12T00:00:00"/>
        <d v="2021-01-13T00:00:00"/>
        <d v="2021-01-14T00:00:00"/>
        <d v="2021-01-15T00:00:00"/>
        <d v="2021-01-19T00:00:00"/>
        <d v="2021-01-20T00:00:00"/>
        <d v="2021-01-21T00:00:00"/>
        <d v="2021-01-22T00:00:00"/>
        <d v="2021-01-25T00:00:00"/>
        <d v="2021-01-26T00:00:00"/>
        <d v="2021-01-27T00:00:00"/>
        <d v="2021-01-28T00:00:00"/>
        <d v="2021-01-29T00:00:00"/>
        <d v="2021-02-01T00:00:00"/>
        <d v="2021-02-02T00:00:00"/>
        <d v="2021-02-03T00:00:00"/>
        <d v="2021-02-04T00:00:00"/>
        <d v="2021-02-05T00:00:00"/>
        <d v="2021-02-08T00:00:00"/>
        <d v="2021-02-09T00:00:00"/>
        <d v="2021-02-10T00:00:00"/>
        <d v="2021-02-11T00:00:00"/>
        <d v="2021-02-12T00:00:00"/>
        <d v="2021-02-16T00:00:00"/>
        <d v="2021-02-17T00:00:00"/>
        <d v="2021-02-18T00:00:00"/>
        <d v="2021-02-19T00:00:00"/>
        <d v="2021-02-22T00:00:00"/>
        <d v="2021-02-23T00:00:00"/>
        <d v="2021-02-24T00:00:00"/>
        <d v="2021-02-25T00:00:00"/>
        <d v="2021-02-26T00:00:00"/>
        <d v="2021-03-01T00:00:00"/>
        <d v="2021-03-02T00:00:00"/>
        <d v="2021-03-03T00:00:00"/>
        <d v="2021-03-04T00:00:00"/>
        <d v="2021-03-05T00:00:00"/>
        <d v="2021-03-08T00:00:00"/>
        <d v="2021-03-09T00:00:00"/>
        <d v="2021-03-10T00:00:00"/>
        <d v="2021-03-11T00:00:00"/>
        <d v="2021-03-12T00:00:00"/>
        <d v="2021-03-15T00:00:00"/>
        <d v="2021-03-16T00:00:00"/>
        <d v="2021-03-17T00:00:00"/>
        <d v="2021-03-18T00:00:00"/>
        <d v="2021-03-19T00:00:00"/>
        <d v="2021-03-22T00:00:00"/>
        <d v="2021-03-23T00:00:00"/>
        <d v="2021-03-24T00:00:00"/>
        <d v="2021-03-25T00:00:00"/>
        <d v="2021-03-26T00:00:00"/>
        <d v="2021-03-29T00:00:00"/>
        <d v="2021-03-30T00:00:00"/>
        <d v="2021-03-31T00:00:00"/>
        <d v="2021-04-01T00:00:00"/>
        <d v="2021-04-05T00:00:00"/>
        <d v="2021-04-06T00:00:00"/>
        <d v="2021-04-07T00:00:00"/>
        <d v="2021-04-08T00:00:00"/>
        <d v="2021-04-09T00:00:00"/>
        <d v="2021-04-12T00:00:00"/>
        <d v="2021-04-13T00:00:00"/>
        <d v="2021-04-14T00:00:00"/>
        <d v="2021-04-15T00:00:00"/>
        <d v="2021-04-16T00:00:00"/>
        <d v="2021-04-19T00:00:00"/>
        <d v="2021-04-20T00:00:00"/>
        <d v="2021-04-21T00:00:00"/>
        <d v="2021-04-22T00:00:00"/>
        <d v="2021-04-23T00:00:00"/>
        <d v="2021-04-26T00:00:00"/>
        <d v="2021-04-27T00:00:00"/>
        <d v="2021-04-28T00:00:00"/>
        <d v="2021-04-29T00:00:00"/>
        <d v="2021-04-30T00:00:00"/>
        <d v="2021-05-03T00:00:00"/>
        <d v="2021-05-04T00:00:00"/>
        <d v="2021-05-05T00:00:00"/>
        <d v="2021-05-06T00:00:00"/>
        <d v="2021-05-07T00:00:00"/>
        <d v="2021-05-10T00:00:00"/>
        <d v="2021-05-11T00:00:00"/>
        <d v="2021-05-12T00:00:00"/>
        <d v="2021-05-13T00:00:00"/>
        <d v="2021-05-14T00:00:00"/>
        <d v="2021-05-17T00:00:00"/>
        <d v="2021-05-18T00:00:00"/>
        <d v="2021-05-19T00:00:00"/>
        <d v="2021-05-20T00:00:00"/>
        <d v="2021-05-21T00:00:00"/>
        <d v="2021-05-24T00:00:00"/>
        <d v="2021-05-25T00:00:00"/>
        <d v="2021-05-26T00:00:00"/>
        <d v="2021-05-27T00:00:00"/>
        <d v="2021-05-28T00:00:00"/>
        <d v="2021-06-01T00:00:00"/>
        <d v="2021-06-02T00:00:00"/>
        <d v="2021-06-03T00:00:00"/>
        <d v="2021-06-04T00:00:00"/>
        <d v="2021-06-07T00:00:00"/>
        <d v="2021-06-08T00:00:00"/>
        <d v="2021-06-09T00:00:00"/>
        <d v="2021-06-10T00:00:00"/>
        <d v="2021-06-11T00:00:00"/>
        <d v="2021-06-14T00:00:00"/>
        <d v="2021-06-15T00:00:00"/>
        <d v="2021-06-16T00:00:00"/>
        <d v="2021-06-17T00:00:00"/>
        <d v="2021-06-18T00:00:00"/>
        <d v="2021-06-21T00:00:00"/>
        <d v="2021-06-22T00:00:00"/>
        <d v="2021-06-23T00:00:00"/>
        <d v="2021-06-24T00:00:00"/>
        <d v="2021-06-25T00:00:00"/>
        <d v="2021-06-28T00:00:00"/>
        <d v="2021-06-29T00:00:00"/>
        <d v="2021-06-30T00:00:00"/>
        <d v="2021-07-01T00:00:00"/>
        <d v="2021-07-02T00:00:00"/>
        <d v="2021-07-06T00:00:00"/>
        <d v="2021-07-07T00:00:00"/>
        <d v="2021-07-08T00:00:00"/>
        <d v="2021-07-09T00:00:00"/>
        <d v="2021-07-12T00:00:00"/>
        <d v="2021-07-13T00:00:00"/>
        <d v="2021-07-14T00:00:00"/>
        <d v="2021-07-15T00:00:00"/>
        <d v="2021-07-16T00:00:00"/>
        <d v="2021-07-19T00:00:00"/>
        <d v="2021-07-20T00:00:00"/>
        <d v="2021-07-21T00:00:00"/>
        <d v="2021-07-22T00:00:00"/>
        <d v="2021-07-23T00:00:00"/>
        <d v="2021-07-26T00:00:00"/>
        <d v="2021-07-27T00:00:00"/>
        <d v="2021-07-28T00:00:00"/>
        <d v="2021-07-29T00:00:00"/>
        <d v="2021-07-30T00:00:00"/>
        <d v="2021-08-02T00:00:00"/>
        <d v="2021-08-03T00:00:00"/>
        <d v="2021-08-04T00:00:00"/>
        <d v="2021-08-05T00:00:00"/>
        <d v="2021-08-06T00:00:00"/>
        <d v="2021-08-09T00:00:00"/>
        <d v="2021-08-10T00:00:00"/>
        <d v="2021-08-11T00:00:00"/>
        <d v="2021-08-12T00:00:00"/>
        <d v="2021-08-13T00:00:00"/>
        <d v="2021-08-16T00:00:00"/>
        <d v="2021-08-17T00:00:00"/>
        <d v="2021-08-18T00:00:00"/>
        <d v="2021-08-19T00:00:00"/>
        <d v="2021-08-20T00:00:00"/>
        <d v="2021-08-23T00:00:00"/>
        <d v="2021-08-24T00:00:00"/>
        <d v="2021-08-25T00:00:00"/>
        <d v="2021-08-26T00:00:00"/>
        <d v="2021-08-27T00:00:00"/>
        <d v="2021-08-30T00:00:00"/>
        <d v="2021-08-31T00:00:00"/>
        <d v="2021-09-01T00:00:00"/>
        <d v="2021-09-02T00:00:00"/>
        <d v="2021-09-03T00:00:00"/>
        <d v="2021-09-07T00:00:00"/>
        <d v="2021-09-08T00:00:00"/>
        <d v="2021-09-09T00:00:00"/>
        <d v="2021-09-10T00:00:00"/>
        <d v="2021-09-13T00:00:00"/>
        <d v="2021-09-14T00:00:00"/>
        <d v="2021-09-15T00:00:00"/>
        <d v="2021-09-16T00:00:00"/>
        <d v="2021-09-17T00:00:00"/>
        <d v="2021-09-20T00:00:00"/>
        <d v="2021-09-21T00:00:00"/>
        <d v="2021-09-22T00:00:00"/>
        <d v="2021-09-23T00:00:00"/>
        <d v="2021-09-24T00:00:00"/>
        <d v="2021-09-27T00:00:00"/>
        <d v="2021-09-28T00:00:00"/>
        <d v="2021-09-29T00:00:00"/>
        <d v="2021-09-30T00:00:00"/>
        <d v="2021-10-01T00:00:00"/>
        <d v="2021-10-04T00:00:00"/>
        <d v="2021-10-05T00:00:00"/>
        <d v="2021-10-06T00:00:00"/>
        <d v="2021-10-07T00:00:00"/>
        <d v="2021-10-08T00:00:00"/>
        <d v="2021-10-11T00:00:00"/>
        <d v="2021-10-12T00:00:00"/>
        <d v="2021-10-13T00:00:00"/>
        <d v="2021-10-14T00:00:00"/>
        <d v="2021-10-15T00:00:00"/>
        <d v="2021-10-18T00:00:00"/>
        <d v="2021-10-19T00:00:00"/>
        <d v="2021-10-20T00:00:00"/>
        <d v="2021-10-21T00:00:00"/>
        <d v="2021-10-22T00:00:00"/>
        <d v="2021-10-25T00:00:00"/>
        <d v="2021-10-26T00:00:00"/>
        <d v="2021-10-27T00:00:00"/>
        <d v="2021-10-28T00:00:00"/>
        <d v="2021-10-29T00:00:00"/>
        <d v="2021-11-01T00:00:00"/>
        <d v="2021-11-02T00:00:00"/>
        <d v="2021-11-03T00:00:00"/>
        <d v="2021-11-04T00:00:00"/>
        <d v="2021-11-05T00:00:00"/>
        <d v="2021-11-08T00:00:00"/>
        <d v="2021-11-09T00:00:00"/>
        <d v="2021-11-10T00:00:00"/>
        <d v="2021-11-11T00:00:00"/>
        <d v="2021-11-12T00:00:00"/>
        <d v="2021-11-15T00:00:00"/>
        <d v="2021-11-16T00:00:00"/>
        <d v="2021-11-17T00:00:00"/>
        <d v="2021-11-18T00:00:00"/>
        <d v="2021-11-19T00:00:00"/>
        <d v="2021-11-22T00:00:00"/>
        <d v="2021-11-23T00:00:00"/>
        <d v="2021-11-24T00:00:00"/>
        <d v="2021-11-26T00:00:00"/>
        <d v="2021-11-29T00:00:00"/>
        <d v="2021-11-30T00:00:00"/>
        <d v="2021-12-01T00:00:00"/>
        <d v="2021-12-02T00:00:00"/>
        <d v="2021-12-03T00:00:00"/>
        <d v="2021-12-06T00:00:00"/>
        <d v="2021-12-07T00:00:00"/>
        <d v="2021-12-08T00:00:00"/>
        <d v="2021-12-09T00:00:00"/>
        <d v="2021-12-10T00:00:00"/>
        <d v="2021-12-13T00:00:00"/>
        <d v="2021-12-14T00:00:00"/>
        <d v="2021-12-15T00:00:00"/>
        <d v="2021-12-16T00:00:00"/>
        <d v="2021-12-17T00:00:00"/>
        <d v="2021-12-20T00:00:00"/>
        <d v="2021-12-21T00:00:00"/>
        <d v="2021-12-22T00:00:00"/>
        <d v="2021-12-23T00:00:00"/>
        <d v="2021-12-27T00:00:00"/>
        <d v="2021-12-28T00:00:00"/>
        <d v="2021-12-29T00:00:00"/>
        <d v="2021-12-30T00:00:00"/>
        <d v="2021-12-31T00:00:00"/>
        <d v="2022-01-03T00:00:00"/>
        <d v="2022-01-04T00:00:00"/>
        <d v="2022-01-05T00:00:00"/>
        <d v="2022-01-06T00:00:00"/>
        <d v="2022-01-07T00:00:00"/>
        <d v="2022-01-10T00:00:00"/>
        <d v="2022-01-11T00:00:00"/>
        <d v="2022-01-12T00:00:00"/>
        <d v="2022-01-13T00:00:00"/>
        <d v="2022-01-14T00:00:00"/>
        <d v="2022-01-18T00:00:00"/>
        <d v="2022-01-19T00:00:00"/>
        <d v="2022-01-20T00:00:00"/>
        <d v="2022-01-21T00:00:00"/>
        <d v="2022-01-24T00:00:00"/>
        <d v="2022-01-25T00:00:00"/>
        <d v="2022-01-26T00:00:00"/>
        <d v="2022-01-27T00:00:00"/>
        <d v="2022-01-28T00:00:00"/>
        <d v="2022-01-31T00:00:00"/>
        <d v="2022-02-01T00:00:00"/>
        <d v="2022-02-02T00:00:00"/>
        <d v="2022-02-03T00:00:00"/>
        <d v="2022-02-04T00:00:00"/>
        <d v="2022-02-07T00:00:00"/>
        <d v="2022-02-08T00:00:00"/>
        <d v="2022-02-09T00:00:00"/>
        <d v="2022-02-10T00:00:00"/>
        <d v="2022-02-11T00:00:00"/>
        <d v="2022-02-14T00:00:00"/>
        <d v="2022-02-15T00:00:00"/>
        <d v="2022-02-16T00:00:00"/>
        <d v="2022-02-17T00:00:00"/>
        <d v="2022-02-18T00:00:00"/>
        <d v="2022-02-22T00:00:00"/>
        <d v="2022-02-23T00:00:00"/>
        <d v="2022-02-24T00:00:00"/>
        <d v="2022-02-25T00:00:00"/>
        <d v="2022-02-28T00:00:00"/>
        <d v="2022-03-01T00:00:00"/>
        <d v="2022-03-02T00:00:00"/>
        <d v="2022-03-03T00:00:00"/>
        <d v="2022-03-04T00:00:00"/>
        <d v="2022-03-07T00:00:00"/>
        <d v="2022-03-08T00:00:00"/>
        <d v="2022-03-09T00:00:00"/>
        <d v="2022-03-10T00:00:00"/>
        <d v="2022-03-11T00:00:00"/>
        <d v="2022-03-14T00:00:00"/>
        <d v="2022-03-15T00:00:00"/>
        <d v="2022-03-16T00:00:00"/>
        <d v="2022-03-17T00:00:00"/>
        <d v="2022-03-18T00:00:00"/>
        <d v="2022-03-21T00:00:00"/>
        <d v="2022-03-22T00:00:00"/>
        <d v="2022-03-23T00:00:00"/>
        <d v="2022-03-24T00:00:00"/>
        <d v="2022-03-25T00:00:00"/>
        <d v="2022-03-28T00:00:00"/>
        <d v="2022-03-29T00:00:00"/>
        <d v="2022-03-30T00:00:00"/>
        <d v="2022-03-31T00:00:00"/>
        <d v="2022-04-01T00:00:00"/>
        <d v="2022-04-04T00:00:00"/>
        <d v="2022-04-05T00:00:00"/>
        <d v="2022-04-06T00:00:00"/>
        <d v="2022-04-07T00:00:00"/>
        <d v="2022-04-08T00:00:00"/>
        <d v="2022-04-11T00:00:00"/>
        <d v="2022-04-12T00:00:00"/>
        <d v="2022-04-13T00:00:00"/>
        <d v="2022-04-14T00:00:00"/>
        <d v="2022-04-18T00:00:00"/>
        <d v="2022-04-19T00:00:00"/>
        <d v="2022-04-20T00:00:00"/>
        <d v="2022-04-21T00:00:00"/>
        <d v="2022-04-22T00:00:00"/>
        <d v="2022-04-25T00:00:00"/>
        <d v="2022-04-26T00:00:00"/>
        <d v="2022-04-27T00:00:00"/>
        <d v="2022-04-28T00:00:00"/>
        <d v="2022-04-29T00:00:00"/>
        <d v="2022-05-02T00:00:00"/>
        <d v="2022-05-03T00:00:00"/>
        <d v="2022-05-04T00:00:00"/>
        <d v="2022-05-05T00:00:00"/>
        <d v="2022-05-06T00:00:00"/>
        <d v="2022-05-09T00:00:00"/>
        <d v="2022-05-10T00:00:00"/>
        <d v="2022-05-11T00:00:00"/>
        <d v="2022-05-12T00:00:00"/>
        <d v="2022-05-13T00:00:00"/>
        <d v="2022-05-16T00:00:00"/>
        <d v="2022-05-17T00:00:00"/>
        <d v="2022-05-18T00:00:00"/>
        <d v="2022-05-19T00:00:00"/>
        <d v="2022-05-20T00:00:00"/>
        <d v="2022-05-23T00:00:00"/>
        <d v="2022-05-24T00:00:00"/>
        <d v="2022-05-25T00:00:00"/>
        <d v="2022-05-26T00:00:00"/>
        <d v="2022-05-27T00:00:00"/>
        <d v="2022-05-31T00:00:00"/>
        <d v="2022-06-01T00:00:00"/>
        <d v="2022-06-02T00:00:00"/>
        <d v="2022-06-03T00:00:00"/>
        <d v="2022-06-06T00:00:00"/>
        <d v="2022-06-07T00:00:00"/>
        <d v="2022-06-08T00:00:00"/>
        <d v="2022-06-09T00:00:00"/>
        <d v="2022-06-10T00:00:00"/>
        <d v="2022-06-13T00:00:00"/>
        <d v="2022-06-14T00:00:00"/>
        <d v="2022-06-15T00:00:00"/>
        <d v="2022-06-16T00:00:00"/>
        <d v="2022-06-17T00:00:00"/>
        <d v="2022-06-21T00:00:00"/>
        <d v="2022-06-22T00:00:00"/>
        <d v="2022-06-23T00:00:00"/>
        <d v="2022-06-24T00:00:00"/>
        <d v="2022-06-27T00:00:00"/>
        <d v="2022-06-28T00:00:00"/>
        <d v="2022-06-29T00:00:00"/>
        <d v="2022-06-30T00:00:00"/>
        <d v="2022-07-01T00:00:00"/>
        <d v="2022-07-05T00:00:00"/>
        <d v="2022-07-06T00:00:00"/>
        <d v="2022-07-07T00:00:00"/>
        <d v="2022-07-08T00:00:00"/>
        <d v="2022-07-11T00:00:00"/>
        <d v="2022-07-12T00:00:00"/>
        <d v="2022-07-13T00:00:00"/>
        <d v="2022-07-14T00:00:00"/>
        <d v="2022-07-15T00:00:00"/>
        <d v="2022-07-18T00:00:00"/>
        <d v="2022-07-19T00:00:00"/>
        <d v="2022-07-20T00:00:00"/>
        <d v="2022-07-21T00:00:00"/>
        <d v="2022-07-22T00:00:00"/>
        <d v="2022-07-25T00:00:00"/>
        <d v="2022-07-26T00:00:00"/>
        <d v="2022-07-27T00:00:00"/>
        <d v="2022-07-28T00:00:00"/>
        <d v="2022-07-29T00:00:00"/>
        <d v="2022-08-01T00:00:00"/>
        <d v="2022-08-02T00:00:00"/>
        <d v="2022-08-03T00:00:00"/>
        <d v="2022-08-04T00:00:00"/>
        <d v="2022-08-05T00:00:00"/>
        <d v="2022-08-08T00:00:00"/>
        <d v="2022-08-09T00:00:00"/>
        <d v="2022-08-10T00:00:00"/>
        <d v="2022-08-11T00:00:00"/>
        <d v="2022-08-12T00:00:00"/>
        <d v="2022-08-15T00:00:00"/>
        <d v="2022-08-16T00:00:00"/>
        <d v="2022-08-17T00:00:00"/>
        <d v="2022-08-18T00:00:00"/>
        <d v="2022-08-19T00:00:00"/>
        <d v="2022-08-22T00:00:00"/>
        <d v="2022-08-23T00:00:00"/>
        <d v="2022-08-24T00:00:00"/>
        <d v="2022-08-25T00:00:00"/>
        <d v="2022-08-26T00:00:00"/>
        <d v="2022-08-29T00:00:00"/>
        <d v="2022-08-30T00:00:00"/>
        <d v="2022-08-31T00:00:00"/>
        <d v="2022-09-01T00:00:00"/>
        <d v="2022-09-02T00:00:00"/>
        <d v="2022-09-06T00:00:00"/>
        <d v="2022-09-07T00:00:00"/>
        <d v="2022-09-08T00:00:00"/>
        <d v="2022-09-09T00:00:00"/>
        <d v="2022-09-12T00:00:00"/>
        <d v="2022-09-13T00:00:00"/>
        <d v="2022-09-14T00:00:00"/>
        <d v="2022-09-15T00:00:00"/>
        <d v="2022-09-16T00:00:00"/>
        <d v="2022-09-19T00:00:00"/>
        <d v="2022-09-20T00:00:00"/>
        <d v="2022-09-21T00:00:00"/>
        <d v="2022-09-22T00:00:00"/>
        <d v="2022-09-23T00:00:00"/>
        <d v="2022-09-26T00:00:00"/>
        <d v="2022-09-27T00:00:00"/>
        <d v="2022-09-28T00:00:00"/>
        <d v="2022-09-29T00:00:00"/>
        <d v="2022-09-30T00:00:00"/>
        <d v="2022-10-03T00:00:00"/>
        <d v="2022-10-04T00:00:00"/>
        <d v="2022-10-05T00:00:00"/>
        <d v="2022-10-06T00:00:00"/>
        <d v="2022-10-07T00:00:00"/>
        <d v="2022-10-10T00:00:00"/>
        <d v="2022-10-11T00:00:00"/>
        <d v="2022-10-12T00:00:00"/>
        <d v="2022-10-13T00:00:00"/>
        <d v="2022-10-14T00:00:00"/>
        <d v="2022-10-17T00:00:00"/>
        <d v="2022-10-18T00:00:00"/>
        <d v="2022-10-19T00:00:00"/>
        <d v="2022-10-20T00:00:00"/>
        <d v="2022-10-21T00:00:00"/>
        <d v="2022-10-24T00:00:00"/>
        <d v="2022-10-25T00:00:00"/>
        <d v="2022-10-26T00:00:00"/>
        <d v="2022-10-27T00:00:00"/>
        <d v="2022-10-28T00:00:00"/>
        <d v="2022-10-31T00:00:00"/>
        <d v="2022-11-01T00:00:00"/>
        <d v="2022-11-02T00:00:00"/>
        <d v="2022-11-03T00:00:00"/>
        <d v="2022-11-04T00:00:00"/>
        <d v="2022-11-07T00:00:00"/>
        <d v="2022-11-08T00:00:00"/>
        <d v="2022-11-09T00:00:00"/>
        <d v="2022-11-10T00:00:00"/>
        <d v="2022-11-11T00:00:00"/>
        <d v="2022-11-14T00:00:00"/>
        <d v="2022-11-15T00:00:00"/>
        <d v="2022-11-16T00:00:00"/>
        <d v="2022-11-17T00:00:00"/>
        <d v="2022-11-18T00:00:00"/>
        <d v="2022-11-21T00:00:00"/>
        <d v="2022-11-22T00:00:00"/>
        <d v="2022-11-23T00:00:00"/>
        <d v="2022-11-25T00:00:00"/>
        <d v="2022-11-28T00:00:00"/>
        <d v="2022-11-29T00:00:00"/>
        <d v="2022-11-30T00:00:00"/>
        <d v="2022-12-01T00:00:00"/>
        <d v="2022-12-02T00:00:00"/>
        <d v="2022-12-05T00:00:00"/>
        <d v="2022-12-06T00:00:00"/>
        <d v="2022-12-07T00:00:00"/>
        <d v="2022-12-08T00:00:00"/>
        <d v="2022-12-09T00:00:00"/>
        <d v="2022-12-12T00:00:00"/>
        <d v="2022-12-13T00:00:00"/>
        <d v="2022-12-14T00:00:00"/>
        <d v="2022-12-15T00:00:00"/>
        <d v="2022-12-16T00:00:00"/>
        <d v="2022-12-19T00:00:00"/>
        <d v="2022-12-20T00:00:00"/>
        <d v="2022-12-21T00:00:00"/>
        <d v="2022-12-22T00:00:00"/>
        <d v="2022-12-23T00:00:00"/>
        <d v="2022-12-27T00:00:00"/>
        <d v="2022-12-28T00:00:00"/>
        <d v="2022-12-29T00:00:00"/>
        <d v="2022-12-30T00:00:00"/>
        <d v="2023-01-03T00:00:00"/>
        <d v="2023-01-04T00:00:00"/>
        <d v="2023-01-05T00:00:00"/>
        <d v="2023-01-06T00:00:00"/>
        <d v="2023-01-09T00:00:00"/>
        <d v="2023-01-10T00:00:00"/>
        <d v="2023-01-11T00:00:00"/>
        <d v="2023-01-12T00:00:00"/>
        <d v="2023-01-13T00:00:00"/>
        <d v="2023-01-17T00:00:00"/>
        <d v="2023-01-18T00:00:00"/>
        <d v="2023-01-19T00:00:00"/>
        <d v="2023-01-20T00:00:00"/>
        <d v="2023-01-23T00:00:00"/>
        <d v="2023-01-24T00:00:00"/>
        <d v="2023-01-25T00:00:00"/>
        <d v="2023-01-26T00:00:00"/>
        <d v="2023-01-27T00:00:00"/>
        <d v="2023-01-30T00:00:00"/>
        <d v="2023-01-31T00:00:00"/>
        <d v="2023-02-01T00:00:00"/>
        <d v="2023-02-02T00:00:00"/>
        <d v="2023-02-03T00:00:00"/>
        <d v="2023-02-06T00:00:00"/>
        <d v="2023-02-07T00:00:00"/>
        <d v="2023-02-08T00:00:00"/>
        <d v="2023-02-09T00:00:00"/>
        <d v="2023-02-10T00:00:00"/>
        <d v="2023-02-13T00:00:00"/>
        <d v="2023-02-14T00:00:00"/>
        <d v="2023-02-15T00:00:00"/>
        <d v="2023-02-16T00:00:00"/>
        <d v="2023-02-17T00:00:00"/>
        <d v="2023-02-21T00:00:00"/>
        <d v="2023-02-22T00:00:00"/>
        <d v="2023-02-23T00:00:00"/>
        <d v="2023-02-24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4T00:00:00"/>
        <d v="2023-03-27T00:00:00"/>
        <d v="2023-03-28T00:00:00"/>
        <d v="2023-03-29T00:00:00"/>
        <d v="2023-03-30T00:00:00"/>
        <d v="2023-03-31T00:00:00"/>
        <d v="2023-04-03T00:00:00"/>
        <d v="2023-04-04T00:00:00"/>
        <d v="2023-04-05T00:00:00"/>
        <d v="2023-04-06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1T00:00:00"/>
        <d v="2023-05-02T00:00:00"/>
        <d v="2023-05-03T00:00:00"/>
        <d v="2023-05-04T00:00:00"/>
        <d v="2023-05-05T00:00:00"/>
        <d v="2023-05-08T00:00:00"/>
        <d v="2023-05-09T00:00:00"/>
        <d v="2023-05-10T00:00:00"/>
        <d v="2023-05-11T00:00:00"/>
        <d v="2023-05-12T00:00:00"/>
        <d v="2023-05-15T00:00:00"/>
        <d v="2023-05-16T00:00:00"/>
        <d v="2023-05-17T00:00:00"/>
        <d v="2023-05-18T00:00:00"/>
        <d v="2023-05-19T00:00:00"/>
        <d v="2023-05-22T00:00:00"/>
        <d v="2023-05-23T00:00:00"/>
        <d v="2023-05-24T00:00:00"/>
        <d v="2023-05-25T00:00:00"/>
        <d v="2023-05-26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0T00:00:00"/>
        <d v="2023-06-21T00:00:00"/>
        <d v="2023-06-22T00:00:00"/>
        <d v="2023-06-23T00:00:00"/>
        <d v="2023-06-26T00:00:00"/>
        <d v="2023-06-27T00:00:00"/>
        <d v="2023-06-28T00:00:00"/>
        <d v="2023-06-29T00:00:00"/>
        <d v="2023-06-30T00:00:00"/>
        <d v="2023-07-03T00:00:00"/>
        <d v="2023-07-05T00:00:00"/>
        <d v="2023-07-06T00:00:00"/>
        <d v="2023-07-07T00:00:00"/>
        <d v="2023-07-10T00:00:00"/>
        <d v="2023-07-11T00:00:00"/>
        <d v="2023-07-12T00:00:00"/>
        <d v="2023-07-13T00:00:00"/>
        <d v="2023-07-14T00:00:00"/>
        <d v="2023-07-17T00:00:00"/>
        <d v="2023-07-18T00:00:00"/>
        <d v="2023-07-19T00:00:00"/>
        <d v="2023-07-20T00:00:00"/>
        <d v="2023-07-21T00:00:00"/>
        <d v="2023-07-24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1T00:00:00"/>
        <d v="2023-08-22T00:00:00"/>
        <d v="2023-08-23T00:00:00"/>
        <d v="2023-08-24T00:00:00"/>
        <d v="2023-08-25T00:00:00"/>
        <d v="2023-08-28T00:00:00"/>
        <d v="2023-08-29T00:00:00"/>
        <d v="2023-08-30T00:00:00"/>
        <d v="2023-08-31T00:00:00"/>
        <d v="2023-09-01T00:00:00"/>
        <d v="2023-09-05T00:00:00"/>
        <d v="2023-09-06T00:00:00"/>
        <d v="2023-09-07T00:00:00"/>
        <d v="2023-09-08T00:00:00"/>
        <d v="2023-09-11T00:00:00"/>
        <d v="2023-09-12T00:00:00"/>
        <d v="2023-09-13T00:00:00"/>
        <d v="2023-09-14T00:00:00"/>
        <d v="2023-09-15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3T00:00:00"/>
        <d v="2023-10-16T00:00:00"/>
        <d v="2023-10-17T00:00:00"/>
        <d v="2023-10-18T00:00:00"/>
        <d v="2023-10-19T00:00:00"/>
        <d v="2023-10-20T00:00:00"/>
        <d v="2023-10-23T00:00:00"/>
        <d v="2023-10-24T00:00:00"/>
        <d v="2023-10-25T00:00:00"/>
        <d v="2023-10-26T00:00:00"/>
        <d v="2023-10-27T00:00:00"/>
        <d v="2023-10-30T00:00:00"/>
        <d v="2023-10-31T00:00:00"/>
      </sharedItems>
      <fieldGroup par="11"/>
    </cacheField>
    <cacheField name="Open" numFmtId="0">
      <sharedItems containsSemiMixedTypes="0" containsDate="1" containsString="0" containsMixedTypes="1" minDate="1899-12-30T00:00:00" maxDate="1899-12-31T11:13:04"/>
    </cacheField>
    <cacheField name="High" numFmtId="0">
      <sharedItems containsSemiMixedTypes="0" containsString="0" containsNumber="1" minValue="8.5949747205314324" maxValue="48.676401293671894"/>
    </cacheField>
    <cacheField name="Low" numFmtId="0">
      <sharedItems containsSemiMixedTypes="0" containsString="0" containsNumber="1" minValue="8.0502917899691706" maxValue="47.792919573182566"/>
    </cacheField>
    <cacheField name="Close" numFmtId="0">
      <sharedItems containsSemiMixedTypes="0" containsString="0" containsNumber="1" minValue="8.3950891494750977" maxValue="48.081752777099609"/>
    </cacheField>
    <cacheField name="Volume" numFmtId="0">
      <sharedItems containsSemiMixedTypes="0" containsString="0" containsNumber="1" containsInteger="1" minValue="46200" maxValue="2355200"/>
    </cacheField>
    <cacheField name="Dividends" numFmtId="0">
      <sharedItems containsSemiMixedTypes="0" containsString="0" containsNumber="1" minValue="0" maxValue="1.29"/>
    </cacheField>
    <cacheField name="Stock Splits" numFmtId="0">
      <sharedItems containsSemiMixedTypes="0" containsString="0" containsNumber="1" containsInteger="1" minValue="0" maxValue="0"/>
    </cacheField>
    <cacheField name="ticker" numFmtId="0">
      <sharedItems/>
    </cacheField>
    <cacheField name="Months (Date)" numFmtId="0" databaseField="0">
      <fieldGroup base="0">
        <rangePr groupBy="months" startDate="2015-01-02T00:00:00" endDate="2023-11-01T00:00:00"/>
        <groupItems count="14">
          <s v="&lt;1/2/2015"/>
          <s v="Jan"/>
          <s v="Feb"/>
          <s v="Mar"/>
          <s v="Apr"/>
          <s v="May"/>
          <s v="Jun"/>
          <s v="Jul"/>
          <s v="Aug"/>
          <s v="Sep"/>
          <s v="Oct"/>
          <s v="Nov"/>
          <s v="Dec"/>
          <s v="&gt;11/1/2023"/>
        </groupItems>
      </fieldGroup>
    </cacheField>
    <cacheField name="Quarters (Date)" numFmtId="0" databaseField="0">
      <fieldGroup base="0">
        <rangePr groupBy="quarters" startDate="2015-01-02T00:00:00" endDate="2023-11-01T00:00:00"/>
        <groupItems count="6">
          <s v="&lt;1/2/2015"/>
          <s v="Qtr1"/>
          <s v="Qtr2"/>
          <s v="Qtr3"/>
          <s v="Qtr4"/>
          <s v="&gt;11/1/2023"/>
        </groupItems>
      </fieldGroup>
    </cacheField>
    <cacheField name="Years (Date)" numFmtId="0" databaseField="0">
      <fieldGroup base="0">
        <rangePr groupBy="years" startDate="2015-01-02T00:00:00" endDate="2023-11-01T00:00:00"/>
        <groupItems count="11">
          <s v="&lt;1/2/2015"/>
          <s v="2015"/>
          <s v="2016"/>
          <s v="2017"/>
          <s v="2018"/>
          <s v="2019"/>
          <s v="2020"/>
          <s v="2021"/>
          <s v="2022"/>
          <s v="2023"/>
          <s v="&gt;11/1/2023"/>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223">
  <r>
    <x v="0"/>
    <n v="12.200800248898439"/>
    <n v="12.233459992932582"/>
    <n v="11.953518821262051"/>
    <n v="12.177472114562988"/>
    <n v="135200"/>
    <n v="0"/>
    <n v="0"/>
    <s v="AB"/>
  </r>
  <r>
    <x v="1"/>
    <n v="12.046834989600271"/>
    <n v="12.177474885373368"/>
    <n v="11.738898918767209"/>
    <n v="11.762227058410645"/>
    <n v="515900"/>
    <n v="0"/>
    <n v="0"/>
    <s v="AB"/>
  </r>
  <r>
    <x v="2"/>
    <n v="11.757566718418445"/>
    <n v="11.906869006031965"/>
    <n v="11.491621017456055"/>
    <n v="11.491621017456055"/>
    <n v="298800"/>
    <n v="0"/>
    <n v="0"/>
    <s v="AB"/>
  </r>
  <r>
    <x v="3"/>
    <n v="11.659580786481255"/>
    <n v="11.822880416750237"/>
    <n v="11.454289797288496"/>
    <n v="11.612923622131348"/>
    <n v="279200"/>
    <n v="0"/>
    <n v="0"/>
    <s v="AB"/>
  </r>
  <r>
    <x v="4"/>
    <n v="11.67824493020089"/>
    <n v="11.93952382531279"/>
    <n v="11.668913318611885"/>
    <n v="11.89753246307373"/>
    <n v="220000"/>
    <n v="0"/>
    <n v="0"/>
    <s v="AB"/>
  </r>
  <r>
    <x v="5"/>
    <n v="11.920860565404691"/>
    <n v="12.014174901184299"/>
    <n v="11.757561812657569"/>
    <n v="11.948855400085449"/>
    <n v="203400"/>
    <n v="0"/>
    <n v="0"/>
    <s v="AB"/>
  </r>
  <r>
    <x v="6"/>
    <d v="1900-01-10T23:06:30"/>
    <n v="12.060832899281866"/>
    <n v="11.804218903179645"/>
    <n v="11.990847587585449"/>
    <n v="270300"/>
    <n v="0"/>
    <n v="0"/>
    <s v="AB"/>
  </r>
  <r>
    <x v="7"/>
    <n v="12.126150691553757"/>
    <n v="12.172807856062942"/>
    <n v="11.874203427062383"/>
    <n v="12.018839836120605"/>
    <n v="208600"/>
    <n v="0"/>
    <n v="0"/>
    <s v="AB"/>
  </r>
  <r>
    <x v="8"/>
    <n v="11.897533285432225"/>
    <n v="12.014175768622737"/>
    <n v="11.841544501939708"/>
    <n v="11.93952465057373"/>
    <n v="163500"/>
    <n v="0"/>
    <n v="0"/>
    <s v="AB"/>
  </r>
  <r>
    <x v="9"/>
    <n v="11.990847245061001"/>
    <n v="11.990847245061001"/>
    <n v="11.738899062257101"/>
    <n v="11.832213401794434"/>
    <n v="178100"/>
    <n v="0"/>
    <n v="0"/>
    <s v="AB"/>
  </r>
  <r>
    <x v="10"/>
    <n v="11.850874733896429"/>
    <n v="12.02350598047301"/>
    <n v="11.762226207821351"/>
    <n v="12.004842758178711"/>
    <n v="140800"/>
    <n v="0"/>
    <n v="0"/>
    <s v="AB"/>
  </r>
  <r>
    <x v="11"/>
    <n v="12.163479942999922"/>
    <n v="12.163479942999922"/>
    <n v="11.925529132583874"/>
    <n v="12.121488571166992"/>
    <n v="275500"/>
    <n v="0"/>
    <n v="0"/>
    <s v="AB"/>
  </r>
  <r>
    <x v="12"/>
    <n v="12.126151135421379"/>
    <n v="12.266122634072477"/>
    <n v="12.000177053608819"/>
    <n v="12.247459411621094"/>
    <n v="186700"/>
    <n v="0"/>
    <n v="0"/>
    <s v="AB"/>
  </r>
  <r>
    <x v="13"/>
    <n v="12.340775681388095"/>
    <n v="12.476080505755926"/>
    <n v="12.17281021260307"/>
    <n v="12.429423332214355"/>
    <n v="243300"/>
    <n v="0"/>
    <n v="0"/>
    <s v="AB"/>
  </r>
  <r>
    <x v="14"/>
    <n v="12.415425901316716"/>
    <n v="12.457417265463002"/>
    <n v="12.298783420890702"/>
    <n v="12.317445755004883"/>
    <n v="348300"/>
    <n v="0"/>
    <n v="0"/>
    <s v="AB"/>
  </r>
  <r>
    <x v="15"/>
    <n v="12.294121831538897"/>
    <n v="12.312784172053913"/>
    <n v="12.070168405887859"/>
    <n v="12.182145118713379"/>
    <n v="254700"/>
    <n v="0"/>
    <n v="0"/>
    <s v="AB"/>
  </r>
  <r>
    <x v="16"/>
    <n v="11.976854290499579"/>
    <n v="12.112159154349321"/>
    <n v="11.953526141877433"/>
    <n v="12.037508010864258"/>
    <n v="211900"/>
    <n v="0"/>
    <n v="0"/>
    <s v="AB"/>
  </r>
  <r>
    <x v="17"/>
    <n v="12.130817498737091"/>
    <n v="12.130817498737091"/>
    <n v="11.687575734164803"/>
    <n v="11.734232902526855"/>
    <n v="204100"/>
    <n v="0"/>
    <n v="0"/>
    <s v="AB"/>
  </r>
  <r>
    <x v="18"/>
    <n v="11.75756501446935"/>
    <n v="11.822884533355966"/>
    <n v="11.514948387302351"/>
    <n v="11.580267906188965"/>
    <n v="462100"/>
    <n v="0"/>
    <n v="0"/>
    <s v="AB"/>
  </r>
  <r>
    <x v="19"/>
    <n v="11.519613660552"/>
    <n v="11.542941804812886"/>
    <n v="11.216343335602179"/>
    <n v="11.272331237792969"/>
    <n v="762300"/>
    <n v="0"/>
    <n v="0"/>
    <s v="AB"/>
  </r>
  <r>
    <x v="20"/>
    <n v="11.286327098123476"/>
    <n v="11.477620702336456"/>
    <n v="11.225672507571144"/>
    <n v="11.370309829711914"/>
    <n v="576400"/>
    <n v="0"/>
    <n v="0"/>
    <s v="AB"/>
  </r>
  <r>
    <x v="21"/>
    <n v="11.407636827349238"/>
    <n v="11.430964971326061"/>
    <n v="11.244337149776536"/>
    <n v="11.314322471618652"/>
    <n v="547800"/>
    <n v="0"/>
    <n v="0"/>
    <s v="AB"/>
  </r>
  <r>
    <x v="22"/>
    <n v="11.276997194017284"/>
    <n v="11.603596557466213"/>
    <n v="11.244337435654726"/>
    <n v="11.533610343933105"/>
    <n v="340200"/>
    <n v="0"/>
    <n v="0"/>
    <s v="AB"/>
  </r>
  <r>
    <x v="23"/>
    <n v="11.603594246280624"/>
    <n v="11.762227199600837"/>
    <n v="11.54760546458823"/>
    <n v="11.659582138061523"/>
    <n v="226500"/>
    <n v="0"/>
    <n v="0"/>
    <s v="AB"/>
  </r>
  <r>
    <x v="24"/>
    <n v="11.664250905632061"/>
    <n v="11.878872695138064"/>
    <n v="11.664250905632061"/>
    <n v="11.790225028991699"/>
    <n v="246300"/>
    <n v="0"/>
    <n v="0"/>
    <s v="AB"/>
  </r>
  <r>
    <x v="25"/>
    <n v="11.846211261470433"/>
    <n v="11.888202629991513"/>
    <n v="11.57093490779295"/>
    <n v="11.584932327270508"/>
    <n v="351500"/>
    <n v="0"/>
    <n v="0"/>
    <s v="AB"/>
  </r>
  <r>
    <x v="26"/>
    <n v="11.673580779840696"/>
    <n v="11.692243115753756"/>
    <n v="11.54760667525909"/>
    <n v="11.575600624084473"/>
    <n v="159600"/>
    <n v="0"/>
    <n v="0"/>
    <s v="AB"/>
  </r>
  <r>
    <x v="27"/>
    <n v="11.570934567081606"/>
    <n v="11.668914720716256"/>
    <n v="11.477621109713658"/>
    <n v="11.598929405212402"/>
    <n v="264700"/>
    <n v="0"/>
    <n v="0"/>
    <s v="AB"/>
  </r>
  <r>
    <x v="28"/>
    <n v="11.855540035990078"/>
    <n v="12.536732492309017"/>
    <n v="11.71090362899735"/>
    <n v="12.457415580749512"/>
    <n v="582900"/>
    <n v="0"/>
    <n v="0"/>
    <s v="AB"/>
  </r>
  <r>
    <x v="29"/>
    <n v="12.210133581239617"/>
    <n v="12.700031590690619"/>
    <n v="12.084159502268307"/>
    <n v="12.676703453063965"/>
    <n v="796500"/>
    <n v="0"/>
    <n v="0"/>
    <s v="AB"/>
  </r>
  <r>
    <x v="30"/>
    <n v="12.695368946478927"/>
    <n v="12.872666040271625"/>
    <n v="12.690704029721102"/>
    <n v="12.714032173156738"/>
    <n v="680200"/>
    <n v="0"/>
    <n v="0"/>
    <s v="AB"/>
  </r>
  <r>
    <x v="31"/>
    <n v="12.765352242634862"/>
    <n v="12.844669158086463"/>
    <n v="12.700031854084974"/>
    <n v="12.826005935668945"/>
    <n v="346100"/>
    <n v="0"/>
    <n v="0"/>
    <s v="AB"/>
  </r>
  <r>
    <x v="32"/>
    <n v="12.849830499501776"/>
    <n v="12.92129858371697"/>
    <n v="12.725953637951061"/>
    <n v="12.864124298095703"/>
    <n v="336000"/>
    <n v="0.56999999999999995"/>
    <n v="0"/>
    <s v="AB"/>
  </r>
  <r>
    <x v="33"/>
    <n v="12.897473824064182"/>
    <n v="12.968940989761405"/>
    <n v="12.835535856127738"/>
    <n v="12.94511890411377"/>
    <n v="254900"/>
    <n v="0"/>
    <n v="0"/>
    <s v="AB"/>
  </r>
  <r>
    <x v="34"/>
    <n v="12.94512093287903"/>
    <n v="13.007058910522423"/>
    <n v="12.730718493431793"/>
    <n v="12.840302467346191"/>
    <n v="266900"/>
    <n v="0"/>
    <n v="0"/>
    <s v="AB"/>
  </r>
  <r>
    <x v="35"/>
    <n v="12.845064965518468"/>
    <n v="12.992764813980868"/>
    <n v="12.797420791180274"/>
    <n v="12.959413528442383"/>
    <n v="475400"/>
    <n v="0"/>
    <n v="0"/>
    <s v="AB"/>
  </r>
  <r>
    <x v="36"/>
    <n v="12.959413205723578"/>
    <n v="13.116641339885653"/>
    <n v="12.887945128487255"/>
    <n v="13.08328914642334"/>
    <n v="350800"/>
    <n v="0"/>
    <n v="0"/>
    <s v="AB"/>
  </r>
  <r>
    <x v="37"/>
    <n v="13.288163686478951"/>
    <n v="13.554975808235609"/>
    <n v="13.169051424222941"/>
    <n v="13.521623611450195"/>
    <n v="837300"/>
    <n v="0"/>
    <n v="0"/>
    <s v="AB"/>
  </r>
  <r>
    <x v="38"/>
    <n v="13.512095033818149"/>
    <n v="13.655029381984399"/>
    <n v="13.483507437181361"/>
    <n v="13.645500183105469"/>
    <n v="418200"/>
    <n v="0"/>
    <n v="0"/>
    <s v="AB"/>
  </r>
  <r>
    <x v="39"/>
    <n v="13.769378102132242"/>
    <n v="13.831316990858454"/>
    <n v="13.674088832271559"/>
    <n v="13.826552391052246"/>
    <n v="532200"/>
    <n v="0"/>
    <n v="0"/>
    <s v="AB"/>
  </r>
  <r>
    <x v="40"/>
    <n v="13.80272725729089"/>
    <n v="13.826550252637466"/>
    <n v="13.531151471620403"/>
    <n v="13.755083084106445"/>
    <n v="321700"/>
    <n v="0"/>
    <n v="0"/>
    <s v="AB"/>
  </r>
  <r>
    <x v="41"/>
    <n v="13.688379437703508"/>
    <n v="13.736024519056897"/>
    <n v="13.559737990675657"/>
    <n v="13.57879638671875"/>
    <n v="290800"/>
    <n v="0"/>
    <n v="0"/>
    <s v="AB"/>
  </r>
  <r>
    <x v="42"/>
    <n v="13.583566312768077"/>
    <n v="13.774145804166455"/>
    <n v="13.5502150153677"/>
    <n v="13.616917610168457"/>
    <n v="334600"/>
    <n v="0"/>
    <n v="0"/>
    <s v="AB"/>
  </r>
  <r>
    <x v="43"/>
    <n v="13.564500524490089"/>
    <n v="13.702671148502997"/>
    <n v="13.493033367718056"/>
    <n v="13.497797966003418"/>
    <n v="246900"/>
    <n v="0"/>
    <n v="0"/>
    <s v="AB"/>
  </r>
  <r>
    <x v="44"/>
    <n v="13.564503084161654"/>
    <n v="13.626441964805259"/>
    <n v="13.283398093559134"/>
    <n v="13.43586254119873"/>
    <n v="381700"/>
    <n v="0"/>
    <n v="0"/>
    <s v="AB"/>
  </r>
  <r>
    <x v="45"/>
    <n v="13.254813972760237"/>
    <n v="13.392984649590268"/>
    <n v="13.121408804791436"/>
    <n v="13.364397048950195"/>
    <n v="275300"/>
    <n v="0"/>
    <n v="0"/>
    <s v="AB"/>
  </r>
  <r>
    <x v="46"/>
    <n v="13.397745410289323"/>
    <n v="13.478741771382538"/>
    <n v="13.169049214479235"/>
    <n v="13.464447975158691"/>
    <n v="262500"/>
    <n v="0"/>
    <n v="0"/>
    <s v="AB"/>
  </r>
  <r>
    <x v="47"/>
    <n v="13.659792022258612"/>
    <n v="13.750317581115905"/>
    <n v="13.383451655684929"/>
    <n v="13.459683418273926"/>
    <n v="472900"/>
    <n v="0"/>
    <n v="0"/>
    <s v="AB"/>
  </r>
  <r>
    <x v="48"/>
    <n v="13.426331008464222"/>
    <n v="13.607381202223586"/>
    <n v="13.350099252275625"/>
    <n v="13.574029922485352"/>
    <n v="395200"/>
    <n v="0"/>
    <n v="0"/>
    <s v="AB"/>
  </r>
  <r>
    <x v="49"/>
    <n v="13.674089475065013"/>
    <n v="14.055248389934299"/>
    <n v="13.58832849203079"/>
    <n v="14.04095458984375"/>
    <n v="404600"/>
    <n v="0"/>
    <n v="0"/>
    <s v="AB"/>
  </r>
  <r>
    <x v="50"/>
    <n v="13.874199473481568"/>
    <n v="13.96472415654052"/>
    <n v="13.821789776838768"/>
    <n v="13.912315368652344"/>
    <n v="408000"/>
    <n v="0"/>
    <n v="0"/>
    <s v="AB"/>
  </r>
  <r>
    <x v="51"/>
    <n v="13.912311692530562"/>
    <n v="14.493579167482242"/>
    <n v="13.898017894835462"/>
    <n v="14.469757080078125"/>
    <n v="451300"/>
    <n v="0"/>
    <n v="0"/>
    <s v="AB"/>
  </r>
  <r>
    <x v="52"/>
    <n v="14.45070106301154"/>
    <n v="14.612693828550116"/>
    <n v="14.364940080225878"/>
    <n v="14.512639045715332"/>
    <n v="302700"/>
    <n v="0"/>
    <n v="0"/>
    <s v="AB"/>
  </r>
  <r>
    <x v="53"/>
    <n v="14.646042881958232"/>
    <n v="14.769919737191659"/>
    <n v="14.626985393559304"/>
    <n v="14.736568450927734"/>
    <n v="447400"/>
    <n v="0"/>
    <n v="0"/>
    <s v="AB"/>
  </r>
  <r>
    <x v="54"/>
    <n v="14.741334116915972"/>
    <n v="14.769920805960131"/>
    <n v="14.426877811166856"/>
    <n v="14.536460876464844"/>
    <n v="304700"/>
    <n v="0"/>
    <n v="0"/>
    <s v="AB"/>
  </r>
  <r>
    <x v="55"/>
    <n v="14.526930375916095"/>
    <n v="14.526930375916095"/>
    <n v="14.274412070508292"/>
    <n v="14.283941268920898"/>
    <n v="213100"/>
    <n v="0"/>
    <n v="0"/>
    <s v="AB"/>
  </r>
  <r>
    <x v="56"/>
    <n v="14.336347497608696"/>
    <n v="14.507869392696069"/>
    <n v="14.226764468526945"/>
    <n v="14.345876693725586"/>
    <n v="377000"/>
    <n v="0"/>
    <n v="0"/>
    <s v="AB"/>
  </r>
  <r>
    <x v="57"/>
    <n v="14.293468630120973"/>
    <n v="14.422110065893085"/>
    <n v="14.264881947311924"/>
    <n v="14.374464988708496"/>
    <n v="206300"/>
    <n v="0"/>
    <n v="0"/>
    <s v="AB"/>
  </r>
  <r>
    <x v="58"/>
    <n v="14.464988458465861"/>
    <n v="14.498339735059156"/>
    <n v="14.212470221931561"/>
    <n v="14.488810539245605"/>
    <n v="212100"/>
    <n v="0"/>
    <n v="0"/>
    <s v="AB"/>
  </r>
  <r>
    <x v="59"/>
    <n v="14.493576856390902"/>
    <n v="14.731801327463234"/>
    <n v="14.388758416270601"/>
    <n v="14.703214645385742"/>
    <n v="200400"/>
    <n v="0"/>
    <n v="0"/>
    <s v="AB"/>
  </r>
  <r>
    <x v="60"/>
    <n v="14.631747484420357"/>
    <n v="14.717508444725375"/>
    <n v="14.436403478727499"/>
    <n v="14.707980155944824"/>
    <n v="166600"/>
    <n v="0"/>
    <n v="0"/>
    <s v="AB"/>
  </r>
  <r>
    <x v="61"/>
    <n v="14.755625939326665"/>
    <n v="14.769919737191659"/>
    <n v="14.555517312988732"/>
    <n v="14.736568450927734"/>
    <n v="198000"/>
    <n v="0"/>
    <n v="0"/>
    <s v="AB"/>
  </r>
  <r>
    <x v="62"/>
    <n v="14.746100642573481"/>
    <n v="14.865212922695223"/>
    <n v="14.646045854718837"/>
    <n v="14.722277641296387"/>
    <n v="225200"/>
    <n v="0"/>
    <n v="0"/>
    <s v="AB"/>
  </r>
  <r>
    <x v="63"/>
    <n v="14.612695397496084"/>
    <n v="14.727043083902815"/>
    <n v="14.49358311056141"/>
    <n v="14.55075740814209"/>
    <n v="206100"/>
    <n v="0"/>
    <n v="0"/>
    <s v="AB"/>
  </r>
  <r>
    <x v="64"/>
    <n v="14.55075362006882"/>
    <n v="14.655572078131732"/>
    <n v="14.426876764855708"/>
    <n v="14.450698852539063"/>
    <n v="106300"/>
    <n v="0"/>
    <n v="0"/>
    <s v="AB"/>
  </r>
  <r>
    <x v="65"/>
    <n v="14.488814262345514"/>
    <n v="14.707981278604494"/>
    <n v="14.360172812068788"/>
    <n v="14.688922882080078"/>
    <n v="157000"/>
    <n v="0"/>
    <n v="0"/>
    <s v="AB"/>
  </r>
  <r>
    <x v="66"/>
    <n v="14.727038656367805"/>
    <n v="14.841386308397073"/>
    <n v="14.703216569644592"/>
    <n v="14.793741226196289"/>
    <n v="160400"/>
    <n v="0"/>
    <n v="0"/>
    <s v="AB"/>
  </r>
  <r>
    <x v="67"/>
    <n v="14.793744689997718"/>
    <n v="14.931915369855785"/>
    <n v="14.727042104551517"/>
    <n v="14.922386169433594"/>
    <n v="120500"/>
    <n v="0"/>
    <n v="0"/>
    <s v="AB"/>
  </r>
  <r>
    <x v="68"/>
    <n v="14.869975611337493"/>
    <n v="15.07484886473059"/>
    <n v="14.865211920157924"/>
    <n v="14.912856101989746"/>
    <n v="206100"/>
    <n v="0"/>
    <n v="0"/>
    <s v="AB"/>
  </r>
  <r>
    <x v="69"/>
    <n v="14.817565687969573"/>
    <n v="15.246369652700896"/>
    <n v="14.769920601053993"/>
    <n v="15.122492790222168"/>
    <n v="307900"/>
    <n v="0"/>
    <n v="0"/>
    <s v="AB"/>
  </r>
  <r>
    <x v="70"/>
    <n v="15.179667730164242"/>
    <n v="15.193960620726495"/>
    <n v="15.07008375291154"/>
    <n v="15.151080131530762"/>
    <n v="339000"/>
    <n v="0"/>
    <n v="0"/>
    <s v="AB"/>
  </r>
  <r>
    <x v="71"/>
    <n v="15.146311384652186"/>
    <n v="15.222543138052892"/>
    <n v="15.089137115224567"/>
    <n v="15.184427261352539"/>
    <n v="185900"/>
    <n v="0"/>
    <n v="0"/>
    <s v="AB"/>
  </r>
  <r>
    <x v="72"/>
    <n v="14.998615122306463"/>
    <n v="15.189194550980076"/>
    <n v="14.855680777989853"/>
    <n v="14.917618751525879"/>
    <n v="261500"/>
    <n v="0"/>
    <n v="0"/>
    <s v="AB"/>
  </r>
  <r>
    <x v="73"/>
    <n v="15.003377452451067"/>
    <n v="15.174899366692905"/>
    <n v="15.003377452451067"/>
    <n v="15.051022529602051"/>
    <n v="132300"/>
    <n v="0"/>
    <n v="0"/>
    <s v="AB"/>
  </r>
  <r>
    <x v="74"/>
    <n v="15.10343857437349"/>
    <n v="15.112966866818301"/>
    <n v="14.85568479571549"/>
    <n v="14.898565292358398"/>
    <n v="158600"/>
    <n v="0"/>
    <n v="0"/>
    <s v="AB"/>
  </r>
  <r>
    <x v="75"/>
    <n v="14.908090120734045"/>
    <n v="15.08437574744287"/>
    <n v="14.812799954199171"/>
    <n v="14.950969696044922"/>
    <n v="151200"/>
    <n v="0"/>
    <n v="0"/>
    <s v="AB"/>
  </r>
  <r>
    <x v="76"/>
    <n v="14.874739065264711"/>
    <n v="15.170137877137748"/>
    <n v="14.874739065264711"/>
    <n v="15.122492790222168"/>
    <n v="262900"/>
    <n v="0"/>
    <n v="0"/>
    <s v="AB"/>
  </r>
  <r>
    <x v="77"/>
    <n v="15.136783979660908"/>
    <n v="15.19872194584625"/>
    <n v="15.036729223510076"/>
    <n v="15.098668098449707"/>
    <n v="217200"/>
    <n v="0"/>
    <n v="0"/>
    <s v="AB"/>
  </r>
  <r>
    <x v="78"/>
    <n v="15.098668090031779"/>
    <n v="15.174899852411679"/>
    <n v="14.865208204149051"/>
    <n v="14.908088684082031"/>
    <n v="180800"/>
    <n v="0"/>
    <n v="0"/>
    <s v="AB"/>
  </r>
  <r>
    <x v="79"/>
    <n v="14.908086484880817"/>
    <n v="15.055785389109438"/>
    <n v="14.812796341585747"/>
    <n v="14.936673164367676"/>
    <n v="167100"/>
    <n v="0"/>
    <n v="0"/>
    <s v="AB"/>
  </r>
  <r>
    <x v="80"/>
    <n v="14.893791943231124"/>
    <n v="14.979552886141459"/>
    <n v="14.727034655211485"/>
    <n v="14.817560195922852"/>
    <n v="225700"/>
    <n v="0"/>
    <n v="0"/>
    <s v="AB"/>
  </r>
  <r>
    <x v="81"/>
    <n v="14.817560939625915"/>
    <n v="15.389299073133875"/>
    <n v="14.760386671898042"/>
    <n v="14.936673164367676"/>
    <n v="535500"/>
    <n v="0"/>
    <n v="0"/>
    <s v="AB"/>
  </r>
  <r>
    <x v="82"/>
    <n v="14.993854534623575"/>
    <n v="15.360721509701984"/>
    <n v="14.879506846825512"/>
    <n v="15.270195007324219"/>
    <n v="421200"/>
    <n v="0"/>
    <n v="0"/>
    <s v="AB"/>
  </r>
  <r>
    <x v="83"/>
    <n v="15.432184221681471"/>
    <n v="15.598942477341744"/>
    <n v="15.27019147425916"/>
    <n v="15.436949729919434"/>
    <n v="638200"/>
    <n v="0"/>
    <n v="0"/>
    <s v="AB"/>
  </r>
  <r>
    <x v="84"/>
    <n v="15.441714356356407"/>
    <n v="15.48459484555214"/>
    <n v="15.103435951317268"/>
    <n v="15.151080131530762"/>
    <n v="360400"/>
    <n v="0"/>
    <n v="0"/>
    <s v="AB"/>
  </r>
  <r>
    <x v="85"/>
    <n v="15.274952480291345"/>
    <n v="15.327360332899969"/>
    <n v="14.836618544547299"/>
    <n v="15.022434234619141"/>
    <n v="247900"/>
    <n v="0"/>
    <n v="0"/>
    <s v="AB"/>
  </r>
  <r>
    <x v="86"/>
    <n v="15.104607502595133"/>
    <n v="15.220610777585614"/>
    <n v="14.78076468086301"/>
    <n v="15.143275260925293"/>
    <n v="308300"/>
    <n v="0.45"/>
    <n v="0"/>
    <s v="AB"/>
  </r>
  <r>
    <x v="87"/>
    <n v="15.331782570349679"/>
    <n v="15.355950498815789"/>
    <n v="15.061108224914689"/>
    <n v="15.06594181060791"/>
    <n v="155100"/>
    <n v="0"/>
    <n v="0"/>
    <s v="AB"/>
  </r>
  <r>
    <x v="88"/>
    <n v="15.046603065020557"/>
    <n v="15.186774243371628"/>
    <n v="14.669592710389001"/>
    <n v="14.746928215026855"/>
    <n v="264700"/>
    <n v="0"/>
    <n v="0"/>
    <s v="AB"/>
  </r>
  <r>
    <x v="89"/>
    <n v="14.896767259031495"/>
    <n v="14.940268600357085"/>
    <n v="14.53909028073045"/>
    <n v="14.775930404663086"/>
    <n v="247100"/>
    <n v="0"/>
    <n v="0"/>
    <s v="AB"/>
  </r>
  <r>
    <x v="90"/>
    <n v="14.742094684943137"/>
    <n v="14.795263190294097"/>
    <n v="14.500421001583414"/>
    <n v="14.645424842834473"/>
    <n v="271800"/>
    <n v="0"/>
    <n v="0"/>
    <s v="AB"/>
  </r>
  <r>
    <x v="91"/>
    <n v="14.693758907555861"/>
    <n v="14.930598992816227"/>
    <n v="14.514920908562795"/>
    <n v="14.858097076416016"/>
    <n v="185200"/>
    <n v="0"/>
    <n v="0"/>
    <s v="AB"/>
  </r>
  <r>
    <x v="92"/>
    <n v="14.848432404392154"/>
    <n v="15.01760418570484"/>
    <n v="14.766263306149536"/>
    <n v="14.862933158874512"/>
    <n v="160600"/>
    <n v="0"/>
    <n v="0"/>
    <s v="AB"/>
  </r>
  <r>
    <x v="93"/>
    <n v="14.887101166452037"/>
    <n v="15.268946096399111"/>
    <n v="14.882268503210266"/>
    <n v="15.075607299804688"/>
    <n v="358000"/>
    <n v="0"/>
    <n v="0"/>
    <s v="AB"/>
  </r>
  <r>
    <x v="94"/>
    <n v="15.128775357932264"/>
    <n v="15.409116852093618"/>
    <n v="15.041773588223263"/>
    <n v="15.307614326477051"/>
    <n v="259600"/>
    <n v="0"/>
    <n v="0"/>
    <s v="AB"/>
  </r>
  <r>
    <x v="95"/>
    <n v="15.288276672363281"/>
    <n v="15.404280850661939"/>
    <n v="15.114272248739157"/>
    <n v="15.288276672363281"/>
    <n v="188000"/>
    <n v="0"/>
    <n v="0"/>
    <s v="AB"/>
  </r>
  <r>
    <x v="96"/>
    <n v="15.331778753871527"/>
    <n v="15.389780845839757"/>
    <n v="15.19644207579895"/>
    <n v="15.341445922851563"/>
    <n v="180200"/>
    <n v="0"/>
    <n v="0"/>
    <s v="AB"/>
  </r>
  <r>
    <x v="97"/>
    <n v="15.331781530964268"/>
    <n v="15.471951818916336"/>
    <n v="15.230279004024371"/>
    <n v="15.38011646270752"/>
    <n v="167900"/>
    <n v="0"/>
    <n v="0"/>
    <s v="AB"/>
  </r>
  <r>
    <x v="98"/>
    <n v="15.612120045339658"/>
    <n v="15.703957227822885"/>
    <n v="15.230276093552998"/>
    <n v="15.293110847473145"/>
    <n v="408200"/>
    <n v="0"/>
    <n v="0"/>
    <s v="AB"/>
  </r>
  <r>
    <x v="99"/>
    <n v="15.370443547297677"/>
    <n v="15.413944877416835"/>
    <n v="15.109436488494525"/>
    <n v="15.254440307617188"/>
    <n v="260400"/>
    <n v="0"/>
    <n v="0"/>
    <s v="AB"/>
  </r>
  <r>
    <x v="100"/>
    <n v="15.201273342713156"/>
    <n v="15.399445667030761"/>
    <n v="15.128770508328607"/>
    <n v="15.384944915771484"/>
    <n v="100400"/>
    <n v="0"/>
    <n v="0"/>
    <s v="AB"/>
  </r>
  <r>
    <x v="101"/>
    <n v="15.370447119787453"/>
    <n v="15.389781458517236"/>
    <n v="15.114273585001937"/>
    <n v="15.157774925231934"/>
    <n v="128800"/>
    <n v="0"/>
    <n v="0"/>
    <s v="AB"/>
  </r>
  <r>
    <x v="102"/>
    <n v="15.322110170804956"/>
    <n v="15.467113995750381"/>
    <n v="15.322110170804956"/>
    <n v="15.384944915771484"/>
    <n v="240100"/>
    <n v="0"/>
    <n v="0"/>
    <s v="AB"/>
  </r>
  <r>
    <x v="103"/>
    <n v="15.375283064840136"/>
    <n v="15.375283064840136"/>
    <n v="15.128775739664386"/>
    <n v="15.17711067199707"/>
    <n v="192900"/>
    <n v="0"/>
    <n v="0"/>
    <s v="AB"/>
  </r>
  <r>
    <x v="104"/>
    <n v="15.13844200154371"/>
    <n v="15.326947212219238"/>
    <n v="15.03693947946061"/>
    <n v="15.326947212219238"/>
    <n v="226300"/>
    <n v="0"/>
    <n v="0"/>
    <s v="AB"/>
  </r>
  <r>
    <x v="105"/>
    <n v="15.317283105372226"/>
    <n v="15.583124793451095"/>
    <n v="14.988606645587284"/>
    <n v="15.123944282531738"/>
    <n v="183100"/>
    <n v="0"/>
    <n v="0"/>
    <s v="AB"/>
  </r>
  <r>
    <x v="106"/>
    <n v="15.143270651495694"/>
    <n v="15.360777302091485"/>
    <n v="14.983766081696047"/>
    <n v="15.254440307617188"/>
    <n v="283600"/>
    <n v="0"/>
    <n v="0"/>
    <s v="AB"/>
  </r>
  <r>
    <x v="107"/>
    <n v="15.167439458804866"/>
    <n v="15.235108714800644"/>
    <n v="14.645424356943236"/>
    <n v="14.79042911529541"/>
    <n v="221300"/>
    <n v="0"/>
    <n v="0"/>
    <s v="AB"/>
  </r>
  <r>
    <x v="108"/>
    <n v="14.72275899387429"/>
    <n v="14.814595243241207"/>
    <n v="14.307080923620802"/>
    <n v="14.336081504821777"/>
    <n v="359900"/>
    <n v="0"/>
    <n v="0"/>
    <s v="AB"/>
  </r>
  <r>
    <x v="109"/>
    <n v="14.408587223502117"/>
    <n v="14.630927529852237"/>
    <n v="14.355419630912905"/>
    <n v="14.58742618560791"/>
    <n v="375500"/>
    <n v="0"/>
    <n v="0"/>
    <s v="AB"/>
  </r>
  <r>
    <x v="110"/>
    <n v="14.669592278579184"/>
    <n v="15.061103374522908"/>
    <n v="14.553589025037041"/>
    <n v="14.978934288024902"/>
    <n v="251800"/>
    <n v="0"/>
    <n v="0"/>
    <s v="AB"/>
  </r>
  <r>
    <x v="111"/>
    <n v="14.978932313425942"/>
    <n v="15.186771794340791"/>
    <n v="14.785593583009263"/>
    <n v="15.017600059509277"/>
    <n v="187600"/>
    <n v="0"/>
    <n v="0"/>
    <s v="AB"/>
  </r>
  <r>
    <x v="112"/>
    <n v="14.94026690236684"/>
    <n v="14.94026690236684"/>
    <n v="14.548755796844562"/>
    <n v="14.785595893859863"/>
    <n v="266300"/>
    <n v="0"/>
    <n v="0"/>
    <s v="AB"/>
  </r>
  <r>
    <x v="113"/>
    <n v="14.785596115278519"/>
    <n v="15.056270384219157"/>
    <n v="14.785596115278519"/>
    <n v="14.983768463134766"/>
    <n v="199900"/>
    <n v="0"/>
    <n v="0"/>
    <s v="AB"/>
  </r>
  <r>
    <x v="114"/>
    <n v="15.003104582015945"/>
    <n v="15.022437999708659"/>
    <n v="14.77593070122019"/>
    <n v="14.872600555419922"/>
    <n v="138600"/>
    <n v="0"/>
    <n v="0"/>
    <s v="AB"/>
  </r>
  <r>
    <x v="115"/>
    <n v="14.887102995512832"/>
    <n v="15.056274809034795"/>
    <n v="14.790434046294722"/>
    <n v="14.92577075958252"/>
    <n v="124000"/>
    <n v="0"/>
    <n v="0"/>
    <s v="AB"/>
  </r>
  <r>
    <x v="116"/>
    <n v="14.925765480688005"/>
    <n v="14.935432648764429"/>
    <n v="14.7807616471892"/>
    <n v="14.819429397583008"/>
    <n v="120200"/>
    <n v="0"/>
    <n v="0"/>
    <s v="AB"/>
  </r>
  <r>
    <x v="117"/>
    <n v="14.983768757867736"/>
    <n v="14.983768757867736"/>
    <n v="14.674426730136487"/>
    <n v="14.703427314758301"/>
    <n v="170600"/>
    <n v="0"/>
    <n v="0"/>
    <s v="AB"/>
  </r>
  <r>
    <x v="118"/>
    <n v="14.669593292877471"/>
    <n v="14.669593292877471"/>
    <n v="14.456920185722751"/>
    <n v="14.500421524047852"/>
    <n v="214600"/>
    <n v="0"/>
    <n v="0"/>
    <s v="AB"/>
  </r>
  <r>
    <x v="119"/>
    <n v="14.490755099013702"/>
    <n v="14.577757780130334"/>
    <n v="14.307083489254603"/>
    <n v="14.427920341491699"/>
    <n v="205300"/>
    <n v="0"/>
    <n v="0"/>
    <s v="AB"/>
  </r>
  <r>
    <x v="120"/>
    <n v="14.437587383195725"/>
    <n v="14.582591235832536"/>
    <n v="13.915572223026379"/>
    <n v="14.065409660339355"/>
    <n v="501400"/>
    <n v="0"/>
    <n v="0"/>
    <s v="AB"/>
  </r>
  <r>
    <x v="121"/>
    <n v="14.07507580771529"/>
    <n v="14.543922424316406"/>
    <n v="14.070242223390089"/>
    <n v="14.543922424316406"/>
    <n v="234900"/>
    <n v="0"/>
    <n v="0"/>
    <s v="AB"/>
  </r>
  <r>
    <x v="122"/>
    <n v="14.374749384588249"/>
    <n v="14.437585053326218"/>
    <n v="14.031573225169003"/>
    <n v="14.07024097442627"/>
    <n v="163900"/>
    <n v="0"/>
    <n v="0"/>
    <s v="AB"/>
  </r>
  <r>
    <x v="123"/>
    <n v="14.191083372541142"/>
    <n v="14.46659130930602"/>
    <n v="14.142748436532235"/>
    <n v="14.273252487182617"/>
    <n v="137800"/>
    <n v="0"/>
    <n v="0"/>
    <s v="AB"/>
  </r>
  <r>
    <x v="124"/>
    <n v="14.452086887537234"/>
    <n v="14.539089565910897"/>
    <n v="14.239413776169615"/>
    <n v="14.282915115356445"/>
    <n v="140400"/>
    <n v="0"/>
    <n v="0"/>
    <s v="AB"/>
  </r>
  <r>
    <x v="125"/>
    <n v="14.307079780972252"/>
    <n v="14.326413192924868"/>
    <n v="14.041238221807465"/>
    <n v="14.162075042724609"/>
    <n v="118800"/>
    <n v="0"/>
    <n v="0"/>
    <s v="AB"/>
  </r>
  <r>
    <x v="126"/>
    <n v="14.017073504746817"/>
    <n v="14.244246433107866"/>
    <n v="13.963904999889408"/>
    <n v="14.157244682312012"/>
    <n v="143600"/>
    <n v="0"/>
    <n v="0"/>
    <s v="AB"/>
  </r>
  <r>
    <x v="127"/>
    <n v="14.166915701702456"/>
    <n v="14.186250045223181"/>
    <n v="13.988077633696955"/>
    <n v="14.094413757324219"/>
    <n v="153800"/>
    <n v="0"/>
    <n v="0"/>
    <s v="AB"/>
  </r>
  <r>
    <x v="128"/>
    <n v="14.026743820977973"/>
    <n v="14.157247859325933"/>
    <n v="13.87690544128418"/>
    <n v="13.87690544128418"/>
    <n v="137300"/>
    <n v="0"/>
    <n v="0"/>
    <s v="AB"/>
  </r>
  <r>
    <x v="129"/>
    <n v="14.012242697646606"/>
    <n v="14.055744042622234"/>
    <n v="13.823737484026966"/>
    <n v="13.881738662719727"/>
    <n v="99700"/>
    <n v="0"/>
    <n v="0"/>
    <s v="AB"/>
  </r>
  <r>
    <x v="130"/>
    <n v="13.954238362789692"/>
    <n v="14.094408614520304"/>
    <n v="13.876901938837745"/>
    <n v="13.97357177734375"/>
    <n v="107600"/>
    <n v="0"/>
    <n v="0"/>
    <s v="AB"/>
  </r>
  <r>
    <x v="131"/>
    <n v="14.128241520430869"/>
    <n v="14.147575855171178"/>
    <n v="13.896235035018101"/>
    <n v="13.939736366271973"/>
    <n v="121900"/>
    <n v="0"/>
    <n v="0"/>
    <s v="AB"/>
  </r>
  <r>
    <x v="132"/>
    <n v="13.872070369068831"/>
    <n v="14.017074216335093"/>
    <n v="13.548227583056335"/>
    <n v="13.644896507263184"/>
    <n v="428700"/>
    <n v="0"/>
    <n v="0"/>
    <s v="AB"/>
  </r>
  <r>
    <x v="133"/>
    <n v="13.630398695378739"/>
    <n v="13.654565699533421"/>
    <n v="13.142217651774816"/>
    <n v="13.354889869689941"/>
    <n v="1120000"/>
    <n v="0"/>
    <n v="0"/>
    <s v="AB"/>
  </r>
  <r>
    <x v="134"/>
    <n v="13.287219478629662"/>
    <n v="13.751233446772115"/>
    <n v="13.287219478629662"/>
    <n v="13.683564186096191"/>
    <n v="387400"/>
    <n v="0"/>
    <n v="0"/>
    <s v="AB"/>
  </r>
  <r>
    <x v="135"/>
    <n v="13.73189692299613"/>
    <n v="13.862400917191337"/>
    <n v="13.533724600808663"/>
    <n v="13.775398254394531"/>
    <n v="212900"/>
    <n v="0"/>
    <n v="0"/>
    <s v="AB"/>
  </r>
  <r>
    <x v="136"/>
    <n v="13.85757215693981"/>
    <n v="13.92040692310203"/>
    <n v="13.601397663083052"/>
    <n v="13.712568283081055"/>
    <n v="111900"/>
    <n v="0"/>
    <n v="0"/>
    <s v="AB"/>
  </r>
  <r>
    <x v="137"/>
    <n v="13.68356200789659"/>
    <n v="13.804398834689525"/>
    <n v="13.644894260199324"/>
    <n v="13.775398254394531"/>
    <n v="106400"/>
    <n v="0"/>
    <n v="0"/>
    <s v="AB"/>
  </r>
  <r>
    <x v="138"/>
    <n v="13.746399135516649"/>
    <n v="13.751232719731657"/>
    <n v="13.470891288644662"/>
    <n v="13.504725456237793"/>
    <n v="134500"/>
    <n v="0"/>
    <n v="0"/>
    <s v="AB"/>
  </r>
  <r>
    <x v="139"/>
    <n v="13.533724471379106"/>
    <n v="13.557891467741841"/>
    <n v="13.253383072777012"/>
    <n v="13.311385154724121"/>
    <n v="164000"/>
    <n v="0"/>
    <n v="0"/>
    <s v="AB"/>
  </r>
  <r>
    <x v="140"/>
    <n v="13.272715160271538"/>
    <n v="13.311383825649953"/>
    <n v="12.673364675581988"/>
    <n v="12.79903507232666"/>
    <n v="477200"/>
    <n v="0"/>
    <n v="0"/>
    <s v="AB"/>
  </r>
  <r>
    <x v="141"/>
    <n v="12.692702433616075"/>
    <n v="12.929542541503906"/>
    <n v="12.349525311064175"/>
    <n v="12.929542541503906"/>
    <n v="307700"/>
    <n v="0"/>
    <n v="0"/>
    <s v="AB"/>
  </r>
  <r>
    <x v="142"/>
    <n v="13.031046356722431"/>
    <n v="13.20505172768854"/>
    <n v="12.832873982860839"/>
    <n v="13.176051139831543"/>
    <n v="141000"/>
    <n v="0"/>
    <n v="0"/>
    <s v="AB"/>
  </r>
  <r>
    <x v="143"/>
    <n v="13.127717000363106"/>
    <n v="13.335556556627143"/>
    <n v="13.098716410764812"/>
    <n v="13.253387451171875"/>
    <n v="265400"/>
    <n v="0"/>
    <n v="0"/>
    <s v="AB"/>
  </r>
  <r>
    <x v="144"/>
    <n v="13.369386127007918"/>
    <n v="13.47572220018718"/>
    <n v="13.098711899516827"/>
    <n v="13.13737964630127"/>
    <n v="146700"/>
    <n v="0"/>
    <n v="0"/>
    <s v="AB"/>
  </r>
  <r>
    <x v="145"/>
    <n v="13.171214617623111"/>
    <n v="13.364553363407683"/>
    <n v="13.016543620995453"/>
    <n v="13.27755069732666"/>
    <n v="184400"/>
    <n v="0"/>
    <n v="0"/>
    <s v="AB"/>
  </r>
  <r>
    <x v="146"/>
    <n v="13.292055293745568"/>
    <n v="13.615898132324219"/>
    <n v="13.18571918328397"/>
    <n v="13.615898132324219"/>
    <n v="270800"/>
    <n v="0"/>
    <n v="0"/>
    <s v="AB"/>
  </r>
  <r>
    <x v="147"/>
    <n v="13.62556459671066"/>
    <n v="14.118578285037501"/>
    <n v="13.62556459671066"/>
    <n v="14.026742935180664"/>
    <n v="313200"/>
    <n v="0"/>
    <n v="0"/>
    <s v="AB"/>
  </r>
  <r>
    <x v="148"/>
    <n v="14.089574399235277"/>
    <n v="14.253912564186511"/>
    <n v="13.70773049025696"/>
    <n v="13.71739673614502"/>
    <n v="560500"/>
    <n v="0"/>
    <n v="0"/>
    <s v="AB"/>
  </r>
  <r>
    <x v="149"/>
    <n v="13.712481243285264"/>
    <n v="13.800980736384021"/>
    <n v="13.397817212509937"/>
    <n v="13.545315742492676"/>
    <n v="261300"/>
    <n v="0.48"/>
    <n v="0"/>
    <s v="AB"/>
  </r>
  <r>
    <x v="150"/>
    <n v="13.564983090034344"/>
    <n v="13.889480615226665"/>
    <n v="13.520733342256046"/>
    <n v="13.796064376831055"/>
    <n v="233100"/>
    <n v="0"/>
    <n v="0"/>
    <s v="AB"/>
  </r>
  <r>
    <x v="151"/>
    <n v="13.933730561894755"/>
    <n v="14.302477840128866"/>
    <n v="13.830480836347336"/>
    <n v="14.150062561035156"/>
    <n v="425900"/>
    <n v="0"/>
    <n v="0"/>
    <s v="AB"/>
  </r>
  <r>
    <x v="152"/>
    <n v="13.928813784408661"/>
    <n v="14.282810833036427"/>
    <n v="13.923897041511673"/>
    <n v="13.938647270202637"/>
    <n v="281800"/>
    <n v="0"/>
    <n v="0"/>
    <s v="AB"/>
  </r>
  <r>
    <x v="153"/>
    <n v="13.805896221180262"/>
    <n v="13.810812963434742"/>
    <n v="13.407649476294372"/>
    <n v="13.71739673614502"/>
    <n v="362500"/>
    <n v="0"/>
    <n v="0"/>
    <s v="AB"/>
  </r>
  <r>
    <x v="154"/>
    <n v="13.761648552502541"/>
    <n v="14.002563332641015"/>
    <n v="13.614150013731342"/>
    <n v="13.859981536865234"/>
    <n v="300200"/>
    <n v="0"/>
    <n v="0"/>
    <s v="AB"/>
  </r>
  <r>
    <x v="155"/>
    <n v="13.914062126037154"/>
    <n v="14.145144329587625"/>
    <n v="13.835396123313975"/>
    <n v="14.061561584472656"/>
    <n v="235200"/>
    <n v="0"/>
    <n v="0"/>
    <s v="AB"/>
  </r>
  <r>
    <x v="156"/>
    <n v="14.046815455199249"/>
    <n v="14.272980982337595"/>
    <n v="13.909150379158778"/>
    <n v="14.194314956665039"/>
    <n v="192700"/>
    <n v="0"/>
    <n v="0"/>
    <s v="AB"/>
  </r>
  <r>
    <x v="157"/>
    <n v="14.056646589212441"/>
    <n v="14.159895378954861"/>
    <n v="13.869814106193529"/>
    <n v="13.918980598449707"/>
    <n v="270700"/>
    <n v="0"/>
    <n v="0"/>
    <s v="AB"/>
  </r>
  <r>
    <x v="158"/>
    <n v="13.909151602471635"/>
    <n v="14.036983202102606"/>
    <n v="13.712485583220431"/>
    <n v="13.786235809326172"/>
    <n v="262000"/>
    <n v="0"/>
    <n v="0"/>
    <s v="AB"/>
  </r>
  <r>
    <x v="159"/>
    <n v="13.692817088717115"/>
    <n v="13.727233354583014"/>
    <n v="13.35848604126625"/>
    <n v="13.427318572998047"/>
    <n v="300400"/>
    <n v="0"/>
    <n v="0"/>
    <s v="AB"/>
  </r>
  <r>
    <x v="160"/>
    <n v="13.304403535757434"/>
    <n v="13.304403535757434"/>
    <n v="12.793074387395412"/>
    <n v="12.837324142456055"/>
    <n v="326300"/>
    <n v="0"/>
    <n v="0"/>
    <s v="AB"/>
  </r>
  <r>
    <x v="161"/>
    <n v="12.183408549892881"/>
    <n v="12.404656320382326"/>
    <n v="10.81658517637142"/>
    <n v="12.380073547363281"/>
    <n v="716800"/>
    <n v="0"/>
    <n v="0"/>
    <s v="AB"/>
  </r>
  <r>
    <x v="162"/>
    <n v="12.704572076719677"/>
    <n v="12.950403578300516"/>
    <n v="12.399740602139421"/>
    <n v="12.498073577880859"/>
    <n v="251200"/>
    <n v="0"/>
    <n v="0"/>
    <s v="AB"/>
  </r>
  <r>
    <x v="163"/>
    <n v="12.743901801563515"/>
    <n v="13.083149449062518"/>
    <n v="12.547236838438195"/>
    <n v="13.019232749938965"/>
    <n v="233300"/>
    <n v="0"/>
    <n v="0"/>
    <s v="AB"/>
  </r>
  <r>
    <x v="164"/>
    <n v="13.319151326710548"/>
    <n v="13.545315866456935"/>
    <n v="13.048737040009817"/>
    <n v="13.324068069458008"/>
    <n v="348600"/>
    <n v="0"/>
    <n v="0"/>
    <s v="AB"/>
  </r>
  <r>
    <x v="165"/>
    <n v="13.284733390339856"/>
    <n v="13.628896899315485"/>
    <n v="13.274899906084721"/>
    <n v="13.432231903076172"/>
    <n v="195000"/>
    <n v="0"/>
    <n v="0"/>
    <s v="AB"/>
  </r>
  <r>
    <x v="166"/>
    <n v="13.304400218125718"/>
    <n v="13.589564714199703"/>
    <n v="13.274900701365715"/>
    <n v="13.442066192626953"/>
    <n v="232400"/>
    <n v="0"/>
    <n v="0"/>
    <s v="AB"/>
  </r>
  <r>
    <x v="167"/>
    <n v="13.235570361322486"/>
    <n v="13.294570344479618"/>
    <n v="12.876656532287598"/>
    <n v="12.876656532287598"/>
    <n v="268800"/>
    <n v="0"/>
    <n v="0"/>
    <s v="AB"/>
  </r>
  <r>
    <x v="168"/>
    <n v="12.979905451036737"/>
    <n v="13.102821224129459"/>
    <n v="12.655407885093789"/>
    <n v="12.807823181152344"/>
    <n v="221900"/>
    <n v="0"/>
    <n v="0"/>
    <s v="AB"/>
  </r>
  <r>
    <x v="169"/>
    <n v="12.807820624234687"/>
    <n v="12.852070368736005"/>
    <n v="12.611155614102575"/>
    <n v="12.635739326477051"/>
    <n v="246400"/>
    <n v="0"/>
    <n v="0"/>
    <s v="AB"/>
  </r>
  <r>
    <x v="170"/>
    <n v="12.537405278011493"/>
    <n v="12.783236754050934"/>
    <n v="12.389906767496891"/>
    <n v="12.458739280700684"/>
    <n v="273200"/>
    <n v="0"/>
    <n v="0"/>
    <s v="AB"/>
  </r>
  <r>
    <x v="171"/>
    <n v="12.606240247359953"/>
    <n v="13.0634870319249"/>
    <n v="12.542324463756596"/>
    <n v="13.004487991333008"/>
    <n v="260400"/>
    <n v="0"/>
    <n v="0"/>
    <s v="AB"/>
  </r>
  <r>
    <x v="172"/>
    <n v="13.176564869047482"/>
    <n v="13.289648044670869"/>
    <n v="12.901233917566787"/>
    <n v="13.0093994140625"/>
    <n v="179700"/>
    <n v="0"/>
    <n v="0"/>
    <s v="AB"/>
  </r>
  <r>
    <x v="173"/>
    <n v="12.970067483049823"/>
    <n v="13.20606639855918"/>
    <n v="12.911068457501935"/>
    <n v="12.940567970275879"/>
    <n v="244200"/>
    <n v="0"/>
    <n v="0"/>
    <s v="AB"/>
  </r>
  <r>
    <x v="174"/>
    <n v="12.788155406265147"/>
    <n v="12.960237652751132"/>
    <n v="12.719322882779874"/>
    <n v="12.950404167175293"/>
    <n v="203500"/>
    <n v="0"/>
    <n v="0"/>
    <s v="AB"/>
  </r>
  <r>
    <x v="175"/>
    <n v="12.925820434155799"/>
    <n v="13.260150479029861"/>
    <n v="12.881570690112975"/>
    <n v="13.196234703063965"/>
    <n v="186700"/>
    <n v="0"/>
    <n v="0"/>
    <s v="AB"/>
  </r>
  <r>
    <x v="176"/>
    <n v="13.201152671558335"/>
    <n v="13.540400428137055"/>
    <n v="13.053653198458848"/>
    <n v="13.42240047454834"/>
    <n v="192500"/>
    <n v="0"/>
    <n v="0"/>
    <s v="AB"/>
  </r>
  <r>
    <x v="177"/>
    <n v="13.402733400518995"/>
    <n v="13.486316147456085"/>
    <n v="13.009402440555679"/>
    <n v="13.39781665802002"/>
    <n v="251100"/>
    <n v="0"/>
    <n v="0"/>
    <s v="AB"/>
  </r>
  <r>
    <x v="178"/>
    <n v="13.348650489796777"/>
    <n v="13.727231231310142"/>
    <n v="13.348650489796777"/>
    <n v="13.530566215515137"/>
    <n v="112500"/>
    <n v="0"/>
    <n v="0"/>
    <s v="AB"/>
  </r>
  <r>
    <x v="179"/>
    <n v="13.265068011321629"/>
    <n v="13.397817251354647"/>
    <n v="12.935653751483832"/>
    <n v="13.053652763366699"/>
    <n v="273200"/>
    <n v="0"/>
    <n v="0"/>
    <s v="AB"/>
  </r>
  <r>
    <x v="180"/>
    <n v="13.112651293120855"/>
    <n v="13.338815806528796"/>
    <n v="13.112651293120855"/>
    <n v="13.269983291625977"/>
    <n v="75300"/>
    <n v="0"/>
    <n v="0"/>
    <s v="AB"/>
  </r>
  <r>
    <x v="181"/>
    <n v="13.029069838392939"/>
    <n v="13.274901344777712"/>
    <n v="12.945487088711205"/>
    <n v="13.063486099243164"/>
    <n v="185700"/>
    <n v="0"/>
    <n v="0"/>
    <s v="AB"/>
  </r>
  <r>
    <x v="182"/>
    <n v="13.112654570177392"/>
    <n v="13.171654553248169"/>
    <n v="13.024155064457688"/>
    <n v="13.029071807861328"/>
    <n v="101600"/>
    <n v="0"/>
    <n v="0"/>
    <s v="AB"/>
  </r>
  <r>
    <x v="183"/>
    <n v="12.955321929745809"/>
    <n v="12.999571680547419"/>
    <n v="12.797989899239138"/>
    <n v="12.915988922119141"/>
    <n v="183800"/>
    <n v="0"/>
    <n v="0"/>
    <s v="AB"/>
  </r>
  <r>
    <x v="184"/>
    <n v="13.07824179192062"/>
    <n v="13.186407362328314"/>
    <n v="12.90615947799275"/>
    <n v="12.930742263793945"/>
    <n v="160700"/>
    <n v="0"/>
    <n v="0"/>
    <s v="AB"/>
  </r>
  <r>
    <x v="185"/>
    <n v="12.911068693832521"/>
    <n v="12.930734723450925"/>
    <n v="12.537404753356629"/>
    <n v="12.616070747375488"/>
    <n v="282200"/>
    <n v="0"/>
    <n v="0"/>
    <s v="AB"/>
  </r>
  <r>
    <x v="186"/>
    <n v="12.635741518882343"/>
    <n v="12.950405589690533"/>
    <n v="12.576741536719355"/>
    <n v="12.768489837646484"/>
    <n v="186800"/>
    <n v="0"/>
    <n v="0"/>
    <s v="AB"/>
  </r>
  <r>
    <x v="187"/>
    <n v="12.891403166229889"/>
    <n v="13.196234630427821"/>
    <n v="12.842237617806466"/>
    <n v="13.078235626220703"/>
    <n v="180300"/>
    <n v="0"/>
    <n v="0"/>
    <s v="AB"/>
  </r>
  <r>
    <x v="188"/>
    <n v="13.127405261754287"/>
    <n v="13.265070330802844"/>
    <n v="12.473493370454793"/>
    <n v="12.576742172241211"/>
    <n v="364800"/>
    <n v="0"/>
    <n v="0"/>
    <s v="AB"/>
  </r>
  <r>
    <x v="189"/>
    <n v="12.404656549384093"/>
    <n v="12.847153036304567"/>
    <n v="12.168658548062867"/>
    <n v="12.734070777893066"/>
    <n v="284800"/>
    <n v="0"/>
    <n v="0"/>
    <s v="AB"/>
  </r>
  <r>
    <x v="190"/>
    <n v="12.817650453841235"/>
    <n v="13.097898130579932"/>
    <n v="12.79798442732276"/>
    <n v="13.058565139770508"/>
    <n v="245700"/>
    <n v="0"/>
    <n v="0"/>
    <s v="AB"/>
  </r>
  <r>
    <x v="191"/>
    <n v="13.058569058255573"/>
    <n v="13.245401523992507"/>
    <n v="13.009402570547289"/>
    <n v="13.083152770996094"/>
    <n v="218300"/>
    <n v="0"/>
    <n v="0"/>
    <s v="AB"/>
  </r>
  <r>
    <x v="192"/>
    <n v="12.960239570093661"/>
    <n v="13.338819443042709"/>
    <n v="12.960239570093661"/>
    <n v="13.161821365356445"/>
    <n v="187200"/>
    <n v="0"/>
    <n v="0"/>
    <s v="AB"/>
  </r>
  <r>
    <x v="193"/>
    <n v="13.225737961324814"/>
    <n v="13.314237474446497"/>
    <n v="13.029072897594961"/>
    <n v="13.171655654907227"/>
    <n v="182600"/>
    <n v="0"/>
    <n v="0"/>
    <s v="AB"/>
  </r>
  <r>
    <x v="194"/>
    <n v="13.171652840830475"/>
    <n v="13.314234629907654"/>
    <n v="13.088070089380821"/>
    <n v="13.137235641479492"/>
    <n v="147100"/>
    <n v="0"/>
    <n v="0"/>
    <s v="AB"/>
  </r>
  <r>
    <x v="195"/>
    <n v="13.009407238771495"/>
    <n v="13.156906754824266"/>
    <n v="12.78324262703957"/>
    <n v="13.117573738098145"/>
    <n v="230800"/>
    <n v="0"/>
    <n v="0"/>
    <s v="AB"/>
  </r>
  <r>
    <x v="196"/>
    <n v="12.960240623135094"/>
    <n v="13.240488461867482"/>
    <n v="12.950407135305499"/>
    <n v="13.033989906311035"/>
    <n v="244100"/>
    <n v="0"/>
    <n v="0"/>
    <s v="AB"/>
  </r>
  <r>
    <x v="197"/>
    <n v="13.078236842591973"/>
    <n v="13.269985125040938"/>
    <n v="12.797989064313393"/>
    <n v="12.84715461730957"/>
    <n v="181900"/>
    <n v="0"/>
    <n v="0"/>
    <s v="AB"/>
  </r>
  <r>
    <x v="198"/>
    <n v="12.881576202318065"/>
    <n v="13.230656623840332"/>
    <n v="12.852075735150704"/>
    <n v="13.230656623840332"/>
    <n v="151200"/>
    <n v="0"/>
    <n v="0"/>
    <s v="AB"/>
  </r>
  <r>
    <x v="199"/>
    <n v="13.215901205648061"/>
    <n v="13.520732682379915"/>
    <n v="13.029069675747918"/>
    <n v="13.319150924682617"/>
    <n v="208800"/>
    <n v="0"/>
    <n v="0"/>
    <s v="AB"/>
  </r>
  <r>
    <x v="200"/>
    <n v="13.151984391722538"/>
    <n v="13.151984391722538"/>
    <n v="12.9799021653978"/>
    <n v="13.048735618591309"/>
    <n v="397200"/>
    <n v="0"/>
    <n v="0"/>
    <s v="AB"/>
  </r>
  <r>
    <x v="201"/>
    <n v="13.029071807861328"/>
    <n v="13.107737826773752"/>
    <n v="12.935655558737981"/>
    <n v="13.029071807861328"/>
    <n v="279500"/>
    <n v="0"/>
    <n v="0"/>
    <s v="AB"/>
  </r>
  <r>
    <x v="202"/>
    <n v="13.029070263284947"/>
    <n v="13.12740324415471"/>
    <n v="12.955320996519028"/>
    <n v="12.974987030029297"/>
    <n v="295400"/>
    <n v="0"/>
    <n v="0"/>
    <s v="AB"/>
  </r>
  <r>
    <x v="203"/>
    <n v="12.881569913606095"/>
    <n v="13.609230868577891"/>
    <n v="12.881569913606095"/>
    <n v="13.432231903076172"/>
    <n v="297700"/>
    <n v="0"/>
    <n v="0"/>
    <s v="AB"/>
  </r>
  <r>
    <x v="204"/>
    <n v="13.530566577486995"/>
    <n v="13.599399100413475"/>
    <n v="13.333901556430776"/>
    <n v="13.476483345031738"/>
    <n v="359900"/>
    <n v="0"/>
    <n v="0"/>
    <s v="AB"/>
  </r>
  <r>
    <x v="205"/>
    <n v="13.471568461025381"/>
    <n v="13.619067950498403"/>
    <n v="13.265069925981486"/>
    <n v="13.358486175537109"/>
    <n v="284100"/>
    <n v="0"/>
    <n v="0"/>
    <s v="AB"/>
  </r>
  <r>
    <x v="206"/>
    <n v="13.333901449186266"/>
    <n v="13.34865073953886"/>
    <n v="13.122486201586446"/>
    <n v="13.147068977355957"/>
    <n v="346100"/>
    <n v="0"/>
    <n v="0"/>
    <s v="AB"/>
  </r>
  <r>
    <x v="207"/>
    <n v="13.201150038180058"/>
    <n v="13.269982549232019"/>
    <n v="12.911068830500183"/>
    <n v="13.132316589355469"/>
    <n v="327800"/>
    <n v="0"/>
    <n v="0"/>
    <s v="AB"/>
  </r>
  <r>
    <x v="208"/>
    <n v="13.172297464469752"/>
    <n v="13.287230025808125"/>
    <n v="12.86247821964788"/>
    <n v="12.937434196472168"/>
    <n v="333800"/>
    <n v="0.43"/>
    <n v="0"/>
    <s v="AB"/>
  </r>
  <r>
    <x v="209"/>
    <n v="12.922446484086862"/>
    <n v="12.987408091137643"/>
    <n v="12.742551336689052"/>
    <n v="12.862481117248535"/>
    <n v="267000"/>
    <n v="0"/>
    <n v="0"/>
    <s v="AB"/>
  </r>
  <r>
    <x v="210"/>
    <n v="12.81250464446795"/>
    <n v="13.117326635080518"/>
    <n v="12.78252245046046"/>
    <n v="12.802511215209961"/>
    <n v="279300"/>
    <n v="0"/>
    <n v="0"/>
    <s v="AB"/>
  </r>
  <r>
    <x v="211"/>
    <n v="12.797515376076948"/>
    <n v="12.922442309609549"/>
    <n v="12.657596867398366"/>
    <n v="12.757538795471191"/>
    <n v="253800"/>
    <n v="0"/>
    <n v="0"/>
    <s v="AB"/>
  </r>
  <r>
    <x v="212"/>
    <n v="12.762536790982221"/>
    <n v="12.792518990045627"/>
    <n v="12.542665107244412"/>
    <n v="12.66759204864502"/>
    <n v="364900"/>
    <n v="0"/>
    <n v="0"/>
    <s v="AB"/>
  </r>
  <r>
    <x v="213"/>
    <n v="12.657600221696917"/>
    <n v="12.742550597135841"/>
    <n v="12.562655460178798"/>
    <n v="12.642608642578125"/>
    <n v="167000"/>
    <n v="0"/>
    <n v="0"/>
    <s v="AB"/>
  </r>
  <r>
    <x v="214"/>
    <n v="12.697571629619015"/>
    <n v="12.797513543379427"/>
    <n v="12.58263909597625"/>
    <n v="12.687577247619629"/>
    <n v="206900"/>
    <n v="0"/>
    <n v="0"/>
    <s v="AB"/>
  </r>
  <r>
    <x v="215"/>
    <n v="12.572646017251708"/>
    <n v="12.642604792265857"/>
    <n v="12.382757505163239"/>
    <n v="12.562651634216309"/>
    <n v="182200"/>
    <n v="0"/>
    <n v="0"/>
    <s v="AB"/>
  </r>
  <r>
    <x v="216"/>
    <n v="12.532671523792274"/>
    <n v="12.637610656893273"/>
    <n v="12.382759565781688"/>
    <n v="12.577645301818848"/>
    <n v="127100"/>
    <n v="0"/>
    <n v="0"/>
    <s v="AB"/>
  </r>
  <r>
    <x v="217"/>
    <n v="12.617621519601558"/>
    <n v="12.692577496421343"/>
    <n v="12.512683342677247"/>
    <n v="12.547662734985352"/>
    <n v="454700"/>
    <n v="0"/>
    <n v="0"/>
    <s v="AB"/>
  </r>
  <r>
    <x v="218"/>
    <n v="12.447720126768836"/>
    <n v="12.607626456203725"/>
    <n v="12.417737928279021"/>
    <n v="12.492693901062012"/>
    <n v="101500"/>
    <n v="0"/>
    <n v="0"/>
    <s v="AB"/>
  </r>
  <r>
    <x v="219"/>
    <n v="12.417736873759713"/>
    <n v="12.487695648667323"/>
    <n v="12.247836174883954"/>
    <n v="12.252833366394043"/>
    <n v="160300"/>
    <n v="0"/>
    <n v="0"/>
    <s v="AB"/>
  </r>
  <r>
    <x v="220"/>
    <n v="12.242840236164726"/>
    <n v="12.517679125525738"/>
    <n v="12.142898301969675"/>
    <n v="12.43272876739502"/>
    <n v="164000"/>
    <n v="0"/>
    <n v="0"/>
    <s v="AB"/>
  </r>
  <r>
    <x v="221"/>
    <n v="12.447721046066784"/>
    <n v="12.552660178206535"/>
    <n v="12.137902748184992"/>
    <n v="12.177879333496094"/>
    <n v="161800"/>
    <n v="0"/>
    <n v="0"/>
    <s v="AB"/>
  </r>
  <r>
    <x v="222"/>
    <n v="12.197865187004583"/>
    <n v="12.352774311021209"/>
    <n v="12.032961679988993"/>
    <n v="12.327789306640625"/>
    <n v="265500"/>
    <n v="0"/>
    <n v="0"/>
    <s v="AB"/>
  </r>
  <r>
    <x v="223"/>
    <n v="12.347776789881818"/>
    <n v="12.817502294008072"/>
    <n v="12.192867670000693"/>
    <n v="12.762535095214844"/>
    <n v="245000"/>
    <n v="0"/>
    <n v="0"/>
    <s v="AB"/>
  </r>
  <r>
    <x v="224"/>
    <n v="12.842490805691019"/>
    <n v="13.112332521323101"/>
    <n v="12.742548864720924"/>
    <n v="12.892460823059082"/>
    <n v="213500"/>
    <n v="0"/>
    <n v="0"/>
    <s v="AB"/>
  </r>
  <r>
    <x v="225"/>
    <n v="12.867473392045065"/>
    <n v="13.03737408783986"/>
    <n v="12.84748462636718"/>
    <n v="12.927438735961914"/>
    <n v="221200"/>
    <n v="0"/>
    <n v="0"/>
    <s v="AB"/>
  </r>
  <r>
    <x v="226"/>
    <n v="12.827500117628354"/>
    <n v="13.092345612372501"/>
    <n v="12.787523529093111"/>
    <n v="12.887465476989746"/>
    <n v="213300"/>
    <n v="0"/>
    <n v="0"/>
    <s v="AB"/>
  </r>
  <r>
    <x v="227"/>
    <n v="12.892461716579231"/>
    <n v="13.022385867598036"/>
    <n v="12.842491695747965"/>
    <n v="12.887465476989746"/>
    <n v="237700"/>
    <n v="0"/>
    <n v="0"/>
    <s v="AB"/>
  </r>
  <r>
    <x v="228"/>
    <n v="12.887465857116187"/>
    <n v="12.96741903654496"/>
    <n v="12.682584762573242"/>
    <n v="12.682584762573242"/>
    <n v="83100"/>
    <n v="0"/>
    <n v="0"/>
    <s v="AB"/>
  </r>
  <r>
    <x v="229"/>
    <n v="12.657595233550284"/>
    <n v="12.737548384441411"/>
    <n v="12.202861330438225"/>
    <n v="12.242837905883789"/>
    <n v="331100"/>
    <n v="0"/>
    <n v="0"/>
    <s v="AB"/>
  </r>
  <r>
    <x v="230"/>
    <n v="12.227846455239426"/>
    <n v="12.387753711741258"/>
    <n v="11.608209053063856"/>
    <n v="12.022966384887695"/>
    <n v="750600"/>
    <n v="0"/>
    <n v="0"/>
    <s v="AB"/>
  </r>
  <r>
    <x v="231"/>
    <n v="11.93802067331187"/>
    <n v="12.117915810967002"/>
    <n v="11.53825475976393"/>
    <n v="11.698161125183105"/>
    <n v="592000"/>
    <n v="0"/>
    <n v="0"/>
    <s v="AB"/>
  </r>
  <r>
    <x v="232"/>
    <n v="11.693162155951752"/>
    <n v="11.987989829828432"/>
    <n v="11.543250199421939"/>
    <n v="11.943016052246094"/>
    <n v="271900"/>
    <n v="0"/>
    <n v="0"/>
    <s v="AB"/>
  </r>
  <r>
    <x v="233"/>
    <n v="11.908036667808426"/>
    <n v="12.252835311814787"/>
    <n v="11.813091920275696"/>
    <n v="12.177879333496094"/>
    <n v="339800"/>
    <n v="0"/>
    <n v="0"/>
    <s v="AB"/>
  </r>
  <r>
    <x v="234"/>
    <n v="12.132902324037497"/>
    <n v="12.277817049770405"/>
    <n v="11.833077537510146"/>
    <n v="11.918027877807617"/>
    <n v="213100"/>
    <n v="0"/>
    <n v="0"/>
    <s v="AB"/>
  </r>
  <r>
    <x v="235"/>
    <n v="11.558240426587414"/>
    <n v="11.813091506436546"/>
    <n v="11.043542027877647"/>
    <n v="11.598217010498047"/>
    <n v="842400"/>
    <n v="0"/>
    <n v="0"/>
    <s v="AB"/>
  </r>
  <r>
    <x v="236"/>
    <n v="11.493276374902603"/>
    <n v="12.127905342612634"/>
    <n v="11.493276374902603"/>
    <n v="11.858062744140625"/>
    <n v="549500"/>
    <n v="0"/>
    <n v="0"/>
    <s v="AB"/>
  </r>
  <r>
    <x v="237"/>
    <n v="11.723141250193805"/>
    <n v="12.342779587552693"/>
    <n v="11.623200290028972"/>
    <n v="12.147892951965332"/>
    <n v="754200"/>
    <n v="0"/>
    <n v="0"/>
    <s v="AB"/>
  </r>
  <r>
    <x v="238"/>
    <n v="11.938019222954495"/>
    <n v="12.082934944707922"/>
    <n v="11.488282386572591"/>
    <n v="11.503273963928223"/>
    <n v="293200"/>
    <n v="0"/>
    <n v="0"/>
    <s v="AB"/>
  </r>
  <r>
    <x v="239"/>
    <n v="11.438310108823309"/>
    <n v="11.618205204077396"/>
    <n v="10.613792510770226"/>
    <n v="10.698742866516113"/>
    <n v="758900"/>
    <n v="0"/>
    <n v="0"/>
    <s v="AB"/>
  </r>
  <r>
    <x v="240"/>
    <n v="10.653767062189713"/>
    <n v="11.108500952420979"/>
    <n v="10.608793296947789"/>
    <n v="10.993568420410156"/>
    <n v="931400"/>
    <n v="0"/>
    <n v="0"/>
    <s v="AB"/>
  </r>
  <r>
    <x v="241"/>
    <n v="11.058529684920373"/>
    <n v="11.713147381404882"/>
    <n v="11.028547493308748"/>
    <n v="11.578226089477539"/>
    <n v="438200"/>
    <n v="0"/>
    <n v="0"/>
    <s v="AB"/>
  </r>
  <r>
    <x v="242"/>
    <n v="11.558239966412534"/>
    <n v="11.853067618434153"/>
    <n v="11.523260576023004"/>
    <n v="11.63819408416748"/>
    <n v="333800"/>
    <n v="0"/>
    <n v="0"/>
    <s v="AB"/>
  </r>
  <r>
    <x v="243"/>
    <n v="11.598216548731555"/>
    <n v="11.7281406795476"/>
    <n v="11.538252151811475"/>
    <n v="11.63819408416748"/>
    <n v="224300"/>
    <n v="0"/>
    <n v="0"/>
    <s v="AB"/>
  </r>
  <r>
    <x v="244"/>
    <n v="11.643190436029398"/>
    <n v="12.082933798925215"/>
    <n v="11.643190436029398"/>
    <n v="11.958006858825684"/>
    <n v="283400"/>
    <n v="0"/>
    <n v="0"/>
    <s v="AB"/>
  </r>
  <r>
    <x v="245"/>
    <n v="11.987987777802013"/>
    <n v="12.257830397106131"/>
    <n v="11.987987777802013"/>
    <n v="12.162885665893555"/>
    <n v="203200"/>
    <n v="0"/>
    <n v="0"/>
    <s v="AB"/>
  </r>
  <r>
    <x v="246"/>
    <n v="12.242836603568151"/>
    <n v="12.572643554190451"/>
    <n v="12.172877842259371"/>
    <n v="12.442719459533691"/>
    <n v="188700"/>
    <n v="0"/>
    <n v="0"/>
    <s v="AB"/>
  </r>
  <r>
    <x v="247"/>
    <n v="12.492693036566466"/>
    <n v="12.527672424570158"/>
    <n v="12.287812947016123"/>
    <n v="12.422734260559082"/>
    <n v="476500"/>
    <n v="0"/>
    <n v="0"/>
    <s v="AB"/>
  </r>
  <r>
    <x v="248"/>
    <n v="12.412738904663321"/>
    <n v="12.612621786961288"/>
    <n v="12.097922531066853"/>
    <n v="12.267823219299316"/>
    <n v="243600"/>
    <n v="0"/>
    <n v="0"/>
    <s v="AB"/>
  </r>
  <r>
    <x v="249"/>
    <n v="12.302805376716435"/>
    <n v="12.422735123827492"/>
    <n v="12.192869060360287"/>
    <n v="12.337784767150879"/>
    <n v="247500"/>
    <n v="0"/>
    <n v="0"/>
    <s v="AB"/>
  </r>
  <r>
    <x v="250"/>
    <n v="12.292808926046549"/>
    <n v="12.557653382302819"/>
    <n v="12.212855774748419"/>
    <n v="12.247835159301758"/>
    <n v="280400"/>
    <n v="0"/>
    <n v="0"/>
    <s v="AB"/>
  </r>
  <r>
    <x v="251"/>
    <n v="12.252832048025093"/>
    <n v="12.252832048025093"/>
    <n v="11.883048494117491"/>
    <n v="11.918027877807617"/>
    <n v="214400"/>
    <n v="0"/>
    <n v="0"/>
    <s v="AB"/>
  </r>
  <r>
    <x v="252"/>
    <n v="11.873056629341393"/>
    <n v="11.98299199469122"/>
    <n v="11.628199938482512"/>
    <n v="11.813091278076172"/>
    <n v="326400"/>
    <n v="0"/>
    <n v="0"/>
    <s v="AB"/>
  </r>
  <r>
    <x v="253"/>
    <n v="11.758123613658505"/>
    <n v="11.89304398079179"/>
    <n v="11.543249130249023"/>
    <n v="11.543249130249023"/>
    <n v="202500"/>
    <n v="0"/>
    <n v="0"/>
    <s v="AB"/>
  </r>
  <r>
    <x v="254"/>
    <n v="11.393335440414093"/>
    <n v="11.578227713031746"/>
    <n v="11.253417891195481"/>
    <n v="11.478285789489746"/>
    <n v="182600"/>
    <n v="0"/>
    <n v="0"/>
    <s v="AB"/>
  </r>
  <r>
    <x v="255"/>
    <n v="11.268411029336431"/>
    <n v="11.358358589990589"/>
    <n v="11.108504678447723"/>
    <n v="11.218441009521484"/>
    <n v="414300"/>
    <n v="0"/>
    <n v="0"/>
    <s v="AB"/>
  </r>
  <r>
    <x v="256"/>
    <n v="11.268408123728337"/>
    <n v="11.413323812552234"/>
    <n v="10.863645158271556"/>
    <n v="10.908618927001953"/>
    <n v="191400"/>
    <n v="0"/>
    <n v="0"/>
    <s v="AB"/>
  </r>
  <r>
    <x v="257"/>
    <n v="10.838661223030918"/>
    <n v="10.903622810312353"/>
    <n v="10.268993747340192"/>
    <n v="10.298976898193359"/>
    <n v="410900"/>
    <n v="0"/>
    <n v="0"/>
    <s v="AB"/>
  </r>
  <r>
    <x v="258"/>
    <n v="10.428902463213619"/>
    <n v="10.578814425673219"/>
    <n v="10.338954904491056"/>
    <n v="10.493864059448242"/>
    <n v="161900"/>
    <n v="0"/>
    <n v="0"/>
    <s v="AB"/>
  </r>
  <r>
    <x v="259"/>
    <n v="10.58880813973389"/>
    <n v="10.638779108426471"/>
    <n v="9.7443017234918496"/>
    <n v="9.8942136764526367"/>
    <n v="319000"/>
    <n v="0"/>
    <n v="0"/>
    <s v="AB"/>
  </r>
  <r>
    <x v="260"/>
    <n v="9.8642310120622092"/>
    <n v="10.149064281147529"/>
    <n v="9.6693452917652873"/>
    <n v="10.089099884033203"/>
    <n v="362500"/>
    <n v="0"/>
    <n v="0"/>
    <s v="AB"/>
  </r>
  <r>
    <x v="261"/>
    <n v="9.7992696492872664"/>
    <n v="9.9591759827739104"/>
    <n v="9.5893923483068146"/>
    <n v="9.7193164825439453"/>
    <n v="254700"/>
    <n v="0"/>
    <n v="0"/>
    <s v="AB"/>
  </r>
  <r>
    <x v="262"/>
    <n v="9.8392452137524913"/>
    <n v="9.8792217929843638"/>
    <n v="9.2695777683022715"/>
    <n v="9.3295431137084961"/>
    <n v="430800"/>
    <n v="0"/>
    <n v="0"/>
    <s v="AB"/>
  </r>
  <r>
    <x v="263"/>
    <n v="9.1846270607204623"/>
    <n v="9.2545867864902007"/>
    <n v="8.8298350529899068"/>
    <n v="9.0696945190429688"/>
    <n v="677100"/>
    <n v="0"/>
    <n v="0"/>
    <s v="AB"/>
  </r>
  <r>
    <x v="264"/>
    <n v="9.0796887719632515"/>
    <n v="9.4894489255596497"/>
    <n v="9.0147271915878537"/>
    <n v="9.2895660400390625"/>
    <n v="346200"/>
    <n v="0"/>
    <n v="0"/>
    <s v="AB"/>
  </r>
  <r>
    <x v="265"/>
    <n v="9.4544700424357639"/>
    <n v="9.8892161755360632"/>
    <n v="9.3545281178030795"/>
    <n v="9.869227409362793"/>
    <n v="218300"/>
    <n v="0"/>
    <n v="0"/>
    <s v="AB"/>
  </r>
  <r>
    <x v="266"/>
    <n v="9.8442437849663555"/>
    <n v="9.9042081856597566"/>
    <n v="9.5144367218017578"/>
    <n v="9.5144367218017578"/>
    <n v="536100"/>
    <n v="0"/>
    <n v="0"/>
    <s v="AB"/>
  </r>
  <r>
    <x v="267"/>
    <n v="9.5594097293037059"/>
    <n v="9.639363853624964"/>
    <n v="9.3095558310110977"/>
    <n v="9.5294275283813477"/>
    <n v="228700"/>
    <n v="0"/>
    <n v="0"/>
    <s v="AB"/>
  </r>
  <r>
    <x v="268"/>
    <n v="9.5294260098678585"/>
    <n v="9.6293679345059537"/>
    <n v="9.239595572157576"/>
    <n v="9.3295431137084961"/>
    <n v="278300"/>
    <n v="0"/>
    <n v="0"/>
    <s v="AB"/>
  </r>
  <r>
    <x v="269"/>
    <n v="9.3695218625134142"/>
    <n v="9.5144375914831407"/>
    <n v="9.1096735607782833"/>
    <n v="9.1146707534790039"/>
    <n v="233600"/>
    <n v="0"/>
    <n v="0"/>
    <s v="AB"/>
  </r>
  <r>
    <x v="270"/>
    <n v="9.1646419855177044"/>
    <n v="9.2695801758375573"/>
    <n v="9.12966258874442"/>
    <n v="9.2146129608154297"/>
    <n v="282600"/>
    <n v="0"/>
    <n v="0"/>
    <s v="AB"/>
  </r>
  <r>
    <x v="271"/>
    <n v="9.2196096028012668"/>
    <n v="9.4045009613037109"/>
    <n v="9.1096732730913601"/>
    <n v="9.4045009613037109"/>
    <n v="239200"/>
    <n v="0"/>
    <n v="0"/>
    <s v="AB"/>
  </r>
  <r>
    <x v="272"/>
    <n v="9.2695792086360882"/>
    <n v="9.2945651702364174"/>
    <n v="8.9447693327676312"/>
    <n v="8.9797487258911133"/>
    <n v="234200"/>
    <n v="0"/>
    <n v="0"/>
    <s v="AB"/>
  </r>
  <r>
    <x v="273"/>
    <n v="9.0696971381196452"/>
    <n v="9.2995632409703717"/>
    <n v="8.8947992028648226"/>
    <n v="9.0497093200683594"/>
    <n v="200000"/>
    <n v="0"/>
    <n v="0"/>
    <s v="AB"/>
  </r>
  <r>
    <x v="274"/>
    <n v="9.0097305857553902"/>
    <n v="9.1546453297554695"/>
    <n v="8.9547624312466496"/>
    <n v="9.0297183990478516"/>
    <n v="273300"/>
    <n v="0"/>
    <n v="0"/>
    <s v="AB"/>
  </r>
  <r>
    <x v="275"/>
    <n v="9.0147247943567521"/>
    <n v="9.1946188669287494"/>
    <n v="8.9547594680884011"/>
    <n v="9.0197210311889648"/>
    <n v="192500"/>
    <n v="0"/>
    <n v="0"/>
    <s v="AB"/>
  </r>
  <r>
    <x v="276"/>
    <n v="8.8548202809488235"/>
    <n v="8.8798062383270135"/>
    <n v="8.2751594134102326"/>
    <n v="8.3950891494750977"/>
    <n v="305100"/>
    <n v="0"/>
    <n v="0"/>
    <s v="AB"/>
  </r>
  <r>
    <x v="277"/>
    <n v="8.2501753662445481"/>
    <n v="8.6899177828298555"/>
    <n v="8.2451781741891885"/>
    <n v="8.6299533843994141"/>
    <n v="298100"/>
    <n v="0"/>
    <n v="0"/>
    <s v="AB"/>
  </r>
  <r>
    <x v="278"/>
    <n v="8.6999122287648198"/>
    <n v="8.7848625880757343"/>
    <n v="8.5699880937530111"/>
    <n v="8.6349506378173828"/>
    <n v="200300"/>
    <n v="0"/>
    <n v="0"/>
    <s v="AB"/>
  </r>
  <r>
    <x v="279"/>
    <n v="8.0752781401948024"/>
    <n v="8.5949747205314324"/>
    <n v="8.0752781401948024"/>
    <n v="8.4550561904907227"/>
    <n v="262000"/>
    <n v="0"/>
    <n v="0"/>
    <s v="AB"/>
  </r>
  <r>
    <x v="280"/>
    <n v="8.5250135589260729"/>
    <n v="8.7298936508231204"/>
    <n v="8.0502917899691706"/>
    <n v="8.6499404907226563"/>
    <n v="695200"/>
    <n v="0"/>
    <n v="0"/>
    <s v="AB"/>
  </r>
  <r>
    <x v="281"/>
    <n v="8.8098465380672994"/>
    <n v="9.3295430157412653"/>
    <n v="8.7348905719342369"/>
    <n v="9.2445926666259766"/>
    <n v="572000"/>
    <n v="0"/>
    <n v="0"/>
    <s v="AB"/>
  </r>
  <r>
    <x v="282"/>
    <n v="9.3945057720606879"/>
    <n v="9.6343662280033691"/>
    <n v="9.35952638037155"/>
    <n v="9.4944477081298828"/>
    <n v="399700"/>
    <n v="0"/>
    <n v="0"/>
    <s v="AB"/>
  </r>
  <r>
    <x v="283"/>
    <n v="9.6176185332966515"/>
    <n v="9.7818466567320588"/>
    <n v="9.5611647487869202"/>
    <n v="9.7664508819580078"/>
    <n v="460700"/>
    <n v="0.5"/>
    <n v="0"/>
    <s v="AB"/>
  </r>
  <r>
    <x v="284"/>
    <n v="9.7459211257670155"/>
    <n v="9.7715823798735642"/>
    <n v="9.5355037364770929"/>
    <n v="9.5970897674560547"/>
    <n v="257500"/>
    <n v="0"/>
    <n v="0"/>
    <s v="AB"/>
  </r>
  <r>
    <x v="285"/>
    <n v="9.7356582818880746"/>
    <n v="9.7356582818880746"/>
    <n v="9.5509021152448774"/>
    <n v="9.6740732192993164"/>
    <n v="147700"/>
    <n v="0"/>
    <n v="0"/>
    <s v="AB"/>
  </r>
  <r>
    <x v="286"/>
    <n v="9.6330134732409736"/>
    <n v="9.7407877918748671"/>
    <n v="9.4071993565952212"/>
    <n v="9.5611629486083984"/>
    <n v="220300"/>
    <n v="0"/>
    <n v="0"/>
    <s v="AB"/>
  </r>
  <r>
    <x v="287"/>
    <n v="9.4174657074947241"/>
    <n v="9.8126402445518082"/>
    <n v="9.2891623626484119"/>
    <n v="9.7099971771240234"/>
    <n v="220600"/>
    <n v="0"/>
    <n v="0"/>
    <s v="AB"/>
  </r>
  <r>
    <x v="288"/>
    <n v="9.751055228923077"/>
    <n v="10.007661945473684"/>
    <n v="9.7253949488187921"/>
    <n v="9.8485660552978516"/>
    <n v="255700"/>
    <n v="0"/>
    <n v="0"/>
    <s v="AB"/>
  </r>
  <r>
    <x v="289"/>
    <n v="9.9563411226910361"/>
    <n v="10.084644490197046"/>
    <n v="9.8896238022937943"/>
    <n v="10.017927169799805"/>
    <n v="192600"/>
    <n v="0"/>
    <n v="0"/>
    <s v="AB"/>
  </r>
  <r>
    <x v="290"/>
    <n v="10.007662300368443"/>
    <n v="10.295061559011419"/>
    <n v="9.8793589375432056"/>
    <n v="10.151362419128418"/>
    <n v="198100"/>
    <n v="0"/>
    <n v="0"/>
    <s v="AB"/>
  </r>
  <r>
    <x v="291"/>
    <n v="10.259137188373145"/>
    <n v="10.484951390151"/>
    <n v="10.259137188373145"/>
    <n v="10.351515769958496"/>
    <n v="449300"/>
    <n v="0"/>
    <n v="0"/>
    <s v="AB"/>
  </r>
  <r>
    <x v="292"/>
    <n v="10.315587865511784"/>
    <n v="10.638911824454482"/>
    <n v="10.315587865511784"/>
    <n v="10.577326774597168"/>
    <n v="262900"/>
    <n v="0"/>
    <n v="0"/>
    <s v="AB"/>
  </r>
  <r>
    <x v="293"/>
    <n v="10.572195070666019"/>
    <n v="11.054615887586332"/>
    <n v="10.520873540546535"/>
    <n v="10.916048049926758"/>
    <n v="381100"/>
    <n v="0"/>
    <n v="0"/>
    <s v="AB"/>
  </r>
  <r>
    <x v="294"/>
    <n v="10.921180307647255"/>
    <n v="11.326618340203176"/>
    <n v="10.921180307647255"/>
    <n v="11.064879417419434"/>
    <n v="281900"/>
    <n v="0"/>
    <n v="0"/>
    <s v="AB"/>
  </r>
  <r>
    <x v="295"/>
    <n v="10.998162274233975"/>
    <n v="11.300958229790599"/>
    <n v="10.998162274233975"/>
    <n v="11.146993637084961"/>
    <n v="382900"/>
    <n v="0"/>
    <n v="0"/>
    <s v="AB"/>
  </r>
  <r>
    <x v="296"/>
    <n v="11.049482723956819"/>
    <n v="11.239371097173596"/>
    <n v="11.003293448552375"/>
    <n v="11.111067771911621"/>
    <n v="223800"/>
    <n v="0"/>
    <n v="0"/>
    <s v="AB"/>
  </r>
  <r>
    <x v="297"/>
    <n v="11.157261255403395"/>
    <n v="11.316357164647592"/>
    <n v="11.095676184221086"/>
    <n v="11.311225891113281"/>
    <n v="192800"/>
    <n v="0"/>
    <n v="0"/>
    <s v="AB"/>
  </r>
  <r>
    <x v="298"/>
    <n v="11.465186862360827"/>
    <n v="11.588357954751121"/>
    <n v="11.188051170325046"/>
    <n v="11.290694236755371"/>
    <n v="430300"/>
    <n v="0"/>
    <n v="0"/>
    <s v="AB"/>
  </r>
  <r>
    <x v="299"/>
    <n v="11.465190344045988"/>
    <n v="11.562701188878664"/>
    <n v="11.326622455948572"/>
    <n v="11.42413330078125"/>
    <n v="321600"/>
    <n v="0"/>
    <n v="0"/>
    <s v="AB"/>
  </r>
  <r>
    <x v="300"/>
    <n v="11.300957422825759"/>
    <n v="11.624281380329544"/>
    <n v="11.290692921602981"/>
    <n v="11.377939224243164"/>
    <n v="214600"/>
    <n v="0"/>
    <n v="0"/>
    <s v="AB"/>
  </r>
  <r>
    <x v="301"/>
    <n v="11.465188632218934"/>
    <n v="11.516510173356499"/>
    <n v="11.12646783113877"/>
    <n v="11.162392616271973"/>
    <n v="410200"/>
    <n v="0"/>
    <n v="0"/>
    <s v="AB"/>
  </r>
  <r>
    <x v="302"/>
    <n v="11.07514523807461"/>
    <n v="11.639680179213874"/>
    <n v="11.044352707867564"/>
    <n v="11.562698364257813"/>
    <n v="214600"/>
    <n v="0"/>
    <n v="0"/>
    <s v="AB"/>
  </r>
  <r>
    <x v="303"/>
    <n v="11.521643654114378"/>
    <n v="11.957874353114226"/>
    <n v="11.501114643919189"/>
    <n v="11.855232238769531"/>
    <n v="380500"/>
    <n v="0"/>
    <n v="0"/>
    <s v="AB"/>
  </r>
  <r>
    <x v="304"/>
    <n v="11.942475767696481"/>
    <n v="12.183685707539748"/>
    <n v="11.860361703967842"/>
    <n v="11.993797302246094"/>
    <n v="207200"/>
    <n v="0"/>
    <n v="0"/>
    <s v="AB"/>
  </r>
  <r>
    <x v="305"/>
    <n v="11.973265982093315"/>
    <n v="12.055380029946907"/>
    <n v="11.732056088882967"/>
    <n v="11.737188339233398"/>
    <n v="241600"/>
    <n v="0"/>
    <n v="0"/>
    <s v="AB"/>
  </r>
  <r>
    <x v="306"/>
    <n v="11.701265205199318"/>
    <n v="11.737190965691537"/>
    <n v="11.342016410169087"/>
    <n v="11.665340423583984"/>
    <n v="174900"/>
    <n v="0"/>
    <n v="0"/>
    <s v="AB"/>
  </r>
  <r>
    <x v="307"/>
    <n v="11.572960421307275"/>
    <n v="11.696132484274743"/>
    <n v="11.393336535472974"/>
    <n v="11.418996810913086"/>
    <n v="287200"/>
    <n v="0"/>
    <n v="0"/>
    <s v="AB"/>
  </r>
  <r>
    <x v="308"/>
    <n v="11.336881704676388"/>
    <n v="11.434392504294205"/>
    <n v="11.27529567889759"/>
    <n v="11.42926025390625"/>
    <n v="212100"/>
    <n v="0"/>
    <n v="0"/>
    <s v="AB"/>
  </r>
  <r>
    <x v="309"/>
    <n v="11.449790788703828"/>
    <n v="11.67047270942092"/>
    <n v="11.352280946568696"/>
    <n v="11.562698364257813"/>
    <n v="180500"/>
    <n v="0"/>
    <n v="0"/>
    <s v="AB"/>
  </r>
  <r>
    <x v="310"/>
    <n v="11.547303126757679"/>
    <n v="11.721795785649956"/>
    <n v="11.306093147172245"/>
    <n v="11.649946212768555"/>
    <n v="205700"/>
    <n v="0"/>
    <n v="0"/>
    <s v="AB"/>
  </r>
  <r>
    <x v="311"/>
    <n v="11.726925070220284"/>
    <n v="11.793642374029949"/>
    <n v="11.362543088081569"/>
    <n v="11.511375427246094"/>
    <n v="496300"/>
    <n v="0"/>
    <n v="0"/>
    <s v="AB"/>
  </r>
  <r>
    <x v="312"/>
    <n v="11.511377989273148"/>
    <n v="12.219612128743863"/>
    <n v="11.511377989273148"/>
    <n v="12.024591445922852"/>
    <n v="352200"/>
    <n v="0"/>
    <n v="0"/>
    <s v="AB"/>
  </r>
  <r>
    <x v="313"/>
    <n v="11.927079626132056"/>
    <n v="12.517274856567383"/>
    <n v="11.803908524214179"/>
    <n v="12.517274856567383"/>
    <n v="324000"/>
    <n v="0"/>
    <n v="0"/>
    <s v="AB"/>
  </r>
  <r>
    <x v="314"/>
    <n v="12.522405539265691"/>
    <n v="12.578859320983906"/>
    <n v="12.322252646085524"/>
    <n v="12.383837699890137"/>
    <n v="315500"/>
    <n v="0"/>
    <n v="0"/>
    <s v="AB"/>
  </r>
  <r>
    <x v="315"/>
    <n v="12.317120976028654"/>
    <n v="12.419764042379624"/>
    <n v="12.106703570998311"/>
    <n v="12.322253227233887"/>
    <n v="210900"/>
    <n v="0"/>
    <n v="0"/>
    <s v="AB"/>
  </r>
  <r>
    <x v="316"/>
    <n v="12.342781253177984"/>
    <n v="12.460821073144647"/>
    <n v="12.214477909677685"/>
    <n v="12.322253227233887"/>
    <n v="241500"/>
    <n v="0"/>
    <n v="0"/>
    <s v="AB"/>
  </r>
  <r>
    <x v="317"/>
    <n v="12.250403563035947"/>
    <n v="12.281196091126382"/>
    <n v="11.865493535836633"/>
    <n v="11.988664627075195"/>
    <n v="312300"/>
    <n v="0"/>
    <n v="0"/>
    <s v="AB"/>
  </r>
  <r>
    <x v="318"/>
    <n v="12.137496925188657"/>
    <n v="12.409500384312075"/>
    <n v="11.993797797172199"/>
    <n v="12.091307640075684"/>
    <n v="169100"/>
    <n v="0"/>
    <n v="0"/>
    <s v="AB"/>
  </r>
  <r>
    <x v="319"/>
    <n v="12.22474193572998"/>
    <n v="12.424894830550558"/>
    <n v="12.111835350244975"/>
    <n v="12.22474193572998"/>
    <n v="175500"/>
    <n v="0"/>
    <n v="0"/>
    <s v="AB"/>
  </r>
  <r>
    <x v="320"/>
    <n v="12.260669331241823"/>
    <n v="12.291462843846947"/>
    <n v="12.070780897895215"/>
    <n v="12.152894973754883"/>
    <n v="347300"/>
    <n v="0"/>
    <n v="0"/>
    <s v="AB"/>
  </r>
  <r>
    <x v="321"/>
    <n v="12.240137838632155"/>
    <n v="12.378705669519437"/>
    <n v="12.204213062967316"/>
    <n v="12.214476585388184"/>
    <n v="252300"/>
    <n v="0"/>
    <n v="0"/>
    <s v="AB"/>
  </r>
  <r>
    <x v="322"/>
    <n v="12.224742864918998"/>
    <n v="12.317121432281407"/>
    <n v="12.137496548951932"/>
    <n v="12.178553581237793"/>
    <n v="218200"/>
    <n v="0"/>
    <n v="0"/>
    <s v="AB"/>
  </r>
  <r>
    <x v="323"/>
    <n v="12.188819759583863"/>
    <n v="12.276066087544386"/>
    <n v="12.101573431623342"/>
    <n v="12.152894973754883"/>
    <n v="147200"/>
    <n v="0"/>
    <n v="0"/>
    <s v="AB"/>
  </r>
  <r>
    <x v="324"/>
    <n v="12.075912987363218"/>
    <n v="12.301726203497658"/>
    <n v="12.004062437795909"/>
    <n v="12.024591445922852"/>
    <n v="354400"/>
    <n v="0"/>
    <n v="0"/>
    <s v="AB"/>
  </r>
  <r>
    <x v="325"/>
    <n v="12.050250535820826"/>
    <n v="12.383839053886518"/>
    <n v="12.014325754027475"/>
    <n v="12.342782020568848"/>
    <n v="249500"/>
    <n v="0"/>
    <n v="0"/>
    <s v="AB"/>
  </r>
  <r>
    <x v="326"/>
    <n v="12.342779712006946"/>
    <n v="12.635312120917343"/>
    <n v="12.286326913551989"/>
    <n v="12.532669067382813"/>
    <n v="192500"/>
    <n v="0"/>
    <n v="0"/>
    <s v="AB"/>
  </r>
  <r>
    <x v="327"/>
    <n v="12.583992084573801"/>
    <n v="12.65070939205942"/>
    <n v="12.373574680895619"/>
    <n v="12.378706932067871"/>
    <n v="162400"/>
    <n v="0"/>
    <n v="0"/>
    <s v="AB"/>
  </r>
  <r>
    <x v="328"/>
    <n v="12.37357696392232"/>
    <n v="12.532672864109314"/>
    <n v="12.337652177964966"/>
    <n v="12.486483573913574"/>
    <n v="162200"/>
    <n v="0"/>
    <n v="0"/>
    <s v="AB"/>
  </r>
  <r>
    <x v="329"/>
    <n v="12.409499039062492"/>
    <n v="12.537802377383855"/>
    <n v="12.394102286068286"/>
    <n v="12.522405624389648"/>
    <n v="164700"/>
    <n v="0"/>
    <n v="0"/>
    <s v="AB"/>
  </r>
  <r>
    <x v="330"/>
    <n v="12.573726780014601"/>
    <n v="12.650708584933216"/>
    <n v="12.424894442145421"/>
    <n v="12.460820198059082"/>
    <n v="145500"/>
    <n v="0"/>
    <n v="0"/>
    <s v="AB"/>
  </r>
  <r>
    <x v="331"/>
    <n v="12.455690343226872"/>
    <n v="12.60452173084893"/>
    <n v="12.317122480391994"/>
    <n v="12.558332443237305"/>
    <n v="177200"/>
    <n v="0"/>
    <n v="0"/>
    <s v="AB"/>
  </r>
  <r>
    <x v="332"/>
    <n v="12.409500928549839"/>
    <n v="12.430028956790952"/>
    <n v="12.009194099640286"/>
    <n v="12.086175918579102"/>
    <n v="269700"/>
    <n v="0"/>
    <n v="0"/>
    <s v="AB"/>
  </r>
  <r>
    <x v="333"/>
    <n v="12.034854701456339"/>
    <n v="12.188818330927832"/>
    <n v="11.834700808491139"/>
    <n v="12.05538272857666"/>
    <n v="263700"/>
    <n v="0"/>
    <n v="0"/>
    <s v="AB"/>
  </r>
  <r>
    <x v="334"/>
    <n v="12.060517475521692"/>
    <n v="12.31199197775881"/>
    <n v="11.952743108367393"/>
    <n v="12.235010147094727"/>
    <n v="285400"/>
    <n v="0"/>
    <n v="0"/>
    <s v="AB"/>
  </r>
  <r>
    <x v="335"/>
    <n v="11.819308489569966"/>
    <n v="12.142632597570904"/>
    <n v="11.675608342193344"/>
    <n v="11.752590179443359"/>
    <n v="349000"/>
    <n v="0"/>
    <n v="0"/>
    <s v="AB"/>
  </r>
  <r>
    <x v="336"/>
    <n v="11.691001984357985"/>
    <n v="11.978401223613053"/>
    <n v="11.680737481093935"/>
    <n v="11.829568862915039"/>
    <n v="300300"/>
    <n v="0"/>
    <n v="0"/>
    <s v="AB"/>
  </r>
  <r>
    <x v="337"/>
    <n v="11.850458318921397"/>
    <n v="11.981027490803235"/>
    <n v="11.589319975157723"/>
    <n v="11.66243839263916"/>
    <n v="150500"/>
    <n v="0.4"/>
    <n v="0"/>
    <s v="AB"/>
  </r>
  <r>
    <x v="338"/>
    <n v="11.542312607741533"/>
    <n v="11.944465813090089"/>
    <n v="11.542312607741533"/>
    <n v="11.934020042419434"/>
    <n v="153500"/>
    <n v="0"/>
    <n v="0"/>
    <s v="AB"/>
  </r>
  <r>
    <x v="339"/>
    <n v="11.93924892416547"/>
    <n v="12.038480806884712"/>
    <n v="11.772120494149888"/>
    <n v="11.860906600952148"/>
    <n v="151900"/>
    <n v="0"/>
    <n v="0"/>
    <s v="AB"/>
  </r>
  <r>
    <x v="340"/>
    <n v="11.934025162232693"/>
    <n v="12.383182535965057"/>
    <n v="11.860905732332677"/>
    <n v="12.116822242736816"/>
    <n v="309300"/>
    <n v="0"/>
    <n v="0"/>
    <s v="AB"/>
  </r>
  <r>
    <x v="341"/>
    <n v="12.048923704214996"/>
    <n v="12.268279965245444"/>
    <n v="11.949690849039278"/>
    <n v="11.975805282592773"/>
    <n v="255900"/>
    <n v="0"/>
    <n v="0"/>
    <s v="AB"/>
  </r>
  <r>
    <x v="342"/>
    <n v="12.012364881937701"/>
    <n v="12.158602726075916"/>
    <n v="11.93402357107087"/>
    <n v="11.98102855682373"/>
    <n v="153700"/>
    <n v="0"/>
    <n v="0"/>
    <s v="AB"/>
  </r>
  <r>
    <x v="343"/>
    <n v="11.970580057675701"/>
    <n v="12.122039758046309"/>
    <n v="11.636323342791389"/>
    <n v="11.704218864440918"/>
    <n v="231700"/>
    <n v="0"/>
    <n v="0"/>
    <s v="AB"/>
  </r>
  <r>
    <x v="344"/>
    <n v="11.657219253415777"/>
    <n v="11.902690013004538"/>
    <n v="11.63632869720459"/>
    <n v="11.63632869720459"/>
    <n v="253400"/>
    <n v="0"/>
    <n v="0"/>
    <s v="AB"/>
  </r>
  <r>
    <x v="345"/>
    <n v="11.594543069845374"/>
    <n v="11.913131177568522"/>
    <n v="11.584097296827895"/>
    <n v="11.678107261657715"/>
    <n v="203300"/>
    <n v="0"/>
    <n v="0"/>
    <s v="AB"/>
  </r>
  <r>
    <x v="346"/>
    <n v="11.62065944322484"/>
    <n v="12.054149171372734"/>
    <n v="11.563208673272372"/>
    <n v="11.90791130065918"/>
    <n v="264200"/>
    <n v="0"/>
    <n v="0"/>
    <s v="AB"/>
  </r>
  <r>
    <x v="347"/>
    <n v="11.913135560695006"/>
    <n v="11.95491767197381"/>
    <n v="11.683334446743633"/>
    <n v="11.824348449707031"/>
    <n v="233100"/>
    <n v="0"/>
    <n v="0"/>
    <s v="AB"/>
  </r>
  <r>
    <x v="348"/>
    <n v="11.918358617578749"/>
    <n v="12.252615512533557"/>
    <n v="11.881799394213584"/>
    <n v="12.132492065429688"/>
    <n v="368200"/>
    <n v="0"/>
    <n v="0"/>
    <s v="AB"/>
  </r>
  <r>
    <x v="349"/>
    <n v="12.116820054710598"/>
    <n v="12.252611122509919"/>
    <n v="11.965359330848926"/>
    <n v="11.986250877380371"/>
    <n v="154500"/>
    <n v="0"/>
    <n v="0"/>
    <s v="AB"/>
  </r>
  <r>
    <x v="350"/>
    <n v="12.080264176551969"/>
    <n v="12.247393620193497"/>
    <n v="12.028037283838373"/>
    <n v="12.132492065429688"/>
    <n v="406600"/>
    <n v="0"/>
    <n v="0"/>
    <s v="AB"/>
  </r>
  <r>
    <x v="351"/>
    <n v="12.221278372145063"/>
    <n v="12.362293363971105"/>
    <n v="12.158605706553972"/>
    <n v="12.210832595825195"/>
    <n v="175500"/>
    <n v="0"/>
    <n v="0"/>
    <s v="AB"/>
  </r>
  <r>
    <x v="352"/>
    <n v="12.169046611505939"/>
    <n v="12.27872523560954"/>
    <n v="12.085482419885929"/>
    <n v="12.184715270996094"/>
    <n v="163100"/>
    <n v="0"/>
    <n v="0"/>
    <s v="AB"/>
  </r>
  <r>
    <x v="353"/>
    <n v="12.18471973952972"/>
    <n v="12.26306107338333"/>
    <n v="12.069819182955365"/>
    <n v="12.231724739074707"/>
    <n v="183500"/>
    <n v="0"/>
    <n v="0"/>
    <s v="AB"/>
  </r>
  <r>
    <x v="354"/>
    <n v="12.283950418906377"/>
    <n v="12.367514626150863"/>
    <n v="12.200386211661893"/>
    <n v="12.278727531433105"/>
    <n v="158600"/>
    <n v="0"/>
    <n v="0"/>
    <s v="AB"/>
  </r>
  <r>
    <x v="355"/>
    <n v="12.184715479477937"/>
    <n v="12.367512525335789"/>
    <n v="12.142933382953036"/>
    <n v="12.28917121887207"/>
    <n v="152200"/>
    <n v="0"/>
    <n v="0"/>
    <s v="AB"/>
  </r>
  <r>
    <x v="356"/>
    <n v="12.299617587597611"/>
    <n v="12.404073340509562"/>
    <n v="12.195162830849547"/>
    <n v="12.310063362121582"/>
    <n v="127700"/>
    <n v="0"/>
    <n v="0"/>
    <s v="AB"/>
  </r>
  <r>
    <x v="357"/>
    <n v="12.189938898253532"/>
    <n v="12.273503094951588"/>
    <n v="12.05414682957824"/>
    <n v="12.257834434509277"/>
    <n v="151200"/>
    <n v="0"/>
    <n v="0"/>
    <s v="AB"/>
  </r>
  <r>
    <x v="358"/>
    <n v="12.278725133694119"/>
    <n v="12.518971933566622"/>
    <n v="12.278725133694119"/>
    <n v="12.398848533630371"/>
    <n v="183900"/>
    <n v="0"/>
    <n v="0"/>
    <s v="AB"/>
  </r>
  <r>
    <x v="359"/>
    <n v="12.39362624616439"/>
    <n v="12.597314843035113"/>
    <n v="12.304839164493504"/>
    <n v="12.330953598022461"/>
    <n v="234000"/>
    <n v="0"/>
    <n v="0"/>
    <s v="AB"/>
  </r>
  <r>
    <x v="360"/>
    <n v="12.351845066161976"/>
    <n v="12.451077928615339"/>
    <n v="12.294395300458538"/>
    <n v="12.393627166748047"/>
    <n v="188700"/>
    <n v="0"/>
    <n v="0"/>
    <s v="AB"/>
  </r>
  <r>
    <x v="361"/>
    <n v="12.15338236753127"/>
    <n v="12.471970564155878"/>
    <n v="12.142936591598916"/>
    <n v="12.294397354125977"/>
    <n v="286600"/>
    <n v="0"/>
    <n v="0"/>
    <s v="AB"/>
  </r>
  <r>
    <x v="362"/>
    <n v="12.21083219242297"/>
    <n v="12.231723744372523"/>
    <n v="11.975808209974643"/>
    <n v="12.001921653747559"/>
    <n v="171000"/>
    <n v="0"/>
    <n v="0"/>
    <s v="AB"/>
  </r>
  <r>
    <x v="363"/>
    <n v="12.043703079223633"/>
    <n v="12.205609609168818"/>
    <n v="11.99147519847241"/>
    <n v="12.043703079223633"/>
    <n v="185800"/>
    <n v="0"/>
    <n v="0"/>
    <s v="AB"/>
  </r>
  <r>
    <x v="364"/>
    <n v="11.960136310376853"/>
    <n v="12.075037822686467"/>
    <n v="11.636325312073188"/>
    <n v="11.730334281921387"/>
    <n v="189900"/>
    <n v="0"/>
    <n v="0"/>
    <s v="AB"/>
  </r>
  <r>
    <x v="365"/>
    <n v="11.730336781769681"/>
    <n v="12.012366739908854"/>
    <n v="11.683332784910453"/>
    <n v="11.751228332519531"/>
    <n v="194700"/>
    <n v="0"/>
    <n v="0"/>
    <s v="AB"/>
  </r>
  <r>
    <x v="366"/>
    <n v="11.672887597040724"/>
    <n v="11.845238914745689"/>
    <n v="11.594546270113742"/>
    <n v="11.772120475769043"/>
    <n v="124900"/>
    <n v="0"/>
    <n v="0"/>
    <s v="AB"/>
  </r>
  <r>
    <x v="367"/>
    <n v="11.766897671299233"/>
    <n v="12.080262981230335"/>
    <n v="11.751229007337068"/>
    <n v="12.001921653747559"/>
    <n v="245300"/>
    <n v="0"/>
    <n v="0"/>
    <s v="AB"/>
  </r>
  <r>
    <x v="368"/>
    <n v="12.132488826971869"/>
    <n v="12.367513766105645"/>
    <n v="12.03325696037215"/>
    <n v="12.038478851318359"/>
    <n v="195100"/>
    <n v="0"/>
    <n v="0"/>
    <s v="AB"/>
  </r>
  <r>
    <x v="369"/>
    <n v="12.043705859114898"/>
    <n v="12.148161644727507"/>
    <n v="11.923582402975338"/>
    <n v="11.991477966308594"/>
    <n v="163100"/>
    <n v="0"/>
    <n v="0"/>
    <s v="AB"/>
  </r>
  <r>
    <x v="370"/>
    <n v="12.028037283838373"/>
    <n v="12.17427417729904"/>
    <n v="11.991477064309082"/>
    <n v="12.132492065429688"/>
    <n v="142200"/>
    <n v="0"/>
    <n v="0"/>
    <s v="AB"/>
  </r>
  <r>
    <x v="371"/>
    <n v="12.247391877227047"/>
    <n v="12.325733201312554"/>
    <n v="12.069817678012441"/>
    <n v="12.122044563293457"/>
    <n v="207500"/>
    <n v="0"/>
    <n v="0"/>
    <s v="AB"/>
  </r>
  <r>
    <x v="372"/>
    <n v="11.693778218633074"/>
    <n v="11.897466865188889"/>
    <n v="11.542318451875188"/>
    <n v="11.798233985900879"/>
    <n v="300100"/>
    <n v="0"/>
    <n v="0"/>
    <s v="AB"/>
  </r>
  <r>
    <x v="373"/>
    <n v="11.620656579570014"/>
    <n v="11.667661562281598"/>
    <n v="11.223726167874263"/>
    <n v="11.260285377502441"/>
    <n v="365500"/>
    <n v="0"/>
    <n v="0"/>
    <s v="AB"/>
  </r>
  <r>
    <x v="374"/>
    <n v="11.396077366640858"/>
    <n v="11.636325165213028"/>
    <n v="11.369963930262113"/>
    <n v="11.589320182800293"/>
    <n v="209000"/>
    <n v="0"/>
    <n v="0"/>
    <s v="AB"/>
  </r>
  <r>
    <x v="375"/>
    <n v="11.657215992656488"/>
    <n v="11.996695654482325"/>
    <n v="11.657215992656488"/>
    <n v="11.986250877380371"/>
    <n v="222500"/>
    <n v="0"/>
    <n v="0"/>
    <s v="AB"/>
  </r>
  <r>
    <x v="376"/>
    <n v="12.001920843345125"/>
    <n v="12.205609476443561"/>
    <n v="12.001920843345125"/>
    <n v="12.169049263000488"/>
    <n v="213400"/>
    <n v="0"/>
    <n v="0"/>
    <s v="AB"/>
  </r>
  <r>
    <x v="377"/>
    <n v="12.169046041645711"/>
    <n v="12.278724660613207"/>
    <n v="12.054145532589772"/>
    <n v="12.101150512695313"/>
    <n v="101900"/>
    <n v="0"/>
    <n v="0"/>
    <s v="AB"/>
  </r>
  <r>
    <x v="378"/>
    <n v="11.944471860842999"/>
    <n v="12.095931627600885"/>
    <n v="11.72511554651183"/>
    <n v="11.798233985900879"/>
    <n v="158600"/>
    <n v="0"/>
    <n v="0"/>
    <s v="AB"/>
  </r>
  <r>
    <x v="379"/>
    <n v="11.766893752199863"/>
    <n v="12.012363428866465"/>
    <n v="11.725111658380788"/>
    <n v="11.923576354980469"/>
    <n v="196600"/>
    <n v="0"/>
    <n v="0"/>
    <s v="AB"/>
  </r>
  <r>
    <x v="380"/>
    <n v="11.991477966308594"/>
    <n v="12.148161644727507"/>
    <n v="11.881800287963134"/>
    <n v="11.991477966308594"/>
    <n v="126000"/>
    <n v="0"/>
    <n v="0"/>
    <s v="AB"/>
  </r>
  <r>
    <x v="381"/>
    <n v="12.111597627431534"/>
    <n v="12.221275262390035"/>
    <n v="12.043701094793009"/>
    <n v="12.106374740600586"/>
    <n v="178000"/>
    <n v="0"/>
    <n v="0"/>
    <s v="AB"/>
  </r>
  <r>
    <x v="382"/>
    <n v="12.122044073738202"/>
    <n v="12.362291920217064"/>
    <n v="12.122044073738202"/>
    <n v="12.268281936645508"/>
    <n v="165900"/>
    <n v="0"/>
    <n v="0"/>
    <s v="AB"/>
  </r>
  <r>
    <x v="383"/>
    <n v="12.482413041738326"/>
    <n v="12.524195138263227"/>
    <n v="12.242166235761086"/>
    <n v="12.28917121887207"/>
    <n v="189200"/>
    <n v="0"/>
    <n v="0"/>
    <s v="AB"/>
  </r>
  <r>
    <x v="384"/>
    <n v="12.26828166079145"/>
    <n v="12.341400092519052"/>
    <n v="12.122043801172323"/>
    <n v="12.226499557495117"/>
    <n v="138400"/>
    <n v="0"/>
    <n v="0"/>
    <s v="AB"/>
  </r>
  <r>
    <x v="385"/>
    <n v="12.357068754816648"/>
    <n v="12.461524511139441"/>
    <n v="12.163826900632577"/>
    <n v="12.226499557495117"/>
    <n v="181200"/>
    <n v="0"/>
    <n v="0"/>
    <s v="AB"/>
  </r>
  <r>
    <x v="386"/>
    <n v="12.27350291269712"/>
    <n v="12.513749725595552"/>
    <n v="12.153379506247905"/>
    <n v="12.357067108154297"/>
    <n v="167800"/>
    <n v="0"/>
    <n v="0"/>
    <s v="AB"/>
  </r>
  <r>
    <x v="387"/>
    <n v="12.330953283250235"/>
    <n v="12.513749332467778"/>
    <n v="12.330953283250235"/>
    <n v="12.440630912780762"/>
    <n v="145300"/>
    <n v="0"/>
    <n v="0"/>
    <s v="AB"/>
  </r>
  <r>
    <x v="388"/>
    <n v="12.435410043564595"/>
    <n v="12.518974249952896"/>
    <n v="12.236945302433359"/>
    <n v="12.404073715209961"/>
    <n v="257400"/>
    <n v="0"/>
    <n v="0"/>
    <s v="AB"/>
  </r>
  <r>
    <x v="389"/>
    <n v="12.419741124069997"/>
    <n v="12.644319283471699"/>
    <n v="12.29961671786633"/>
    <n v="12.62865161895752"/>
    <n v="140600"/>
    <n v="0"/>
    <n v="0"/>
    <s v="AB"/>
  </r>
  <r>
    <x v="390"/>
    <n v="12.524197038521757"/>
    <n v="12.696548337357784"/>
    <n v="12.49808359779299"/>
    <n v="12.555534362792969"/>
    <n v="124800"/>
    <n v="0"/>
    <n v="0"/>
    <s v="AB"/>
  </r>
  <r>
    <x v="391"/>
    <n v="12.60775807404975"/>
    <n v="12.769664553581489"/>
    <n v="12.565975981691418"/>
    <n v="12.753995895385742"/>
    <n v="157000"/>
    <n v="0"/>
    <n v="0"/>
    <s v="AB"/>
  </r>
  <r>
    <x v="392"/>
    <n v="12.748776241426857"/>
    <n v="12.895014099837491"/>
    <n v="12.733107579258746"/>
    <n v="12.84800910949707"/>
    <n v="124800"/>
    <n v="0"/>
    <n v="0"/>
    <s v="AB"/>
  </r>
  <r>
    <x v="393"/>
    <n v="12.821892591209661"/>
    <n v="12.868897573919901"/>
    <n v="12.524195031487313"/>
    <n v="12.59209156036377"/>
    <n v="163700"/>
    <n v="0"/>
    <n v="0"/>
    <s v="AB"/>
  </r>
  <r>
    <x v="394"/>
    <n v="12.560754624951922"/>
    <n v="12.733105901435007"/>
    <n v="12.560754624951922"/>
    <n v="12.686101913452148"/>
    <n v="145300"/>
    <n v="0"/>
    <n v="0"/>
    <s v="AB"/>
  </r>
  <r>
    <x v="395"/>
    <n v="12.827117037440201"/>
    <n v="12.827117037440201"/>
    <n v="12.404073137772579"/>
    <n v="12.498083114624023"/>
    <n v="349000"/>
    <n v="0"/>
    <n v="0"/>
    <s v="AB"/>
  </r>
  <r>
    <x v="396"/>
    <n v="12.451082170516688"/>
    <n v="12.743556974261065"/>
    <n v="12.351849274256129"/>
    <n v="12.513754844665527"/>
    <n v="225200"/>
    <n v="0"/>
    <n v="0"/>
    <s v="AB"/>
  </r>
  <r>
    <x v="397"/>
    <n v="12.607760962907591"/>
    <n v="12.607760962907591"/>
    <n v="12.299617587597611"/>
    <n v="12.310063362121582"/>
    <n v="205600"/>
    <n v="0"/>
    <n v="0"/>
    <s v="AB"/>
  </r>
  <r>
    <x v="398"/>
    <n v="12.273505076265907"/>
    <n v="12.372737949425456"/>
    <n v="11.699000384101518"/>
    <n v="11.725114822387695"/>
    <n v="408000"/>
    <n v="0"/>
    <n v="0"/>
    <s v="AB"/>
  </r>
  <r>
    <x v="399"/>
    <n v="11.766896078429744"/>
    <n v="11.766896078429744"/>
    <n v="11.432638265633111"/>
    <n v="11.484866142272949"/>
    <n v="464600"/>
    <n v="0"/>
    <n v="0"/>
    <s v="AB"/>
  </r>
  <r>
    <x v="400"/>
    <n v="11.436992939837923"/>
    <n v="11.665732960973902"/>
    <n v="11.436992939837923"/>
    <n v="11.607217788696289"/>
    <n v="284100"/>
    <n v="0.4"/>
    <n v="0"/>
    <s v="AB"/>
  </r>
  <r>
    <x v="401"/>
    <n v="11.612537965615594"/>
    <n v="11.952987678681904"/>
    <n v="11.32528377387094"/>
    <n v="11.35188102722168"/>
    <n v="468300"/>
    <n v="0"/>
    <n v="0"/>
    <s v="AB"/>
  </r>
  <r>
    <x v="402"/>
    <n v="11.436989846332029"/>
    <n v="11.724244962048132"/>
    <n v="11.351877444924263"/>
    <n v="11.639131546020508"/>
    <n v="249800"/>
    <n v="0"/>
    <n v="0"/>
    <s v="AB"/>
  </r>
  <r>
    <x v="403"/>
    <n v="11.628496195009006"/>
    <n v="11.724247924441524"/>
    <n v="11.527424812316895"/>
    <n v="11.527424812316895"/>
    <n v="209400"/>
    <n v="0"/>
    <n v="0"/>
    <s v="AB"/>
  </r>
  <r>
    <x v="404"/>
    <n v="11.548700167304828"/>
    <n v="11.687008081326553"/>
    <n v="11.458269123318999"/>
    <n v="11.463587760925293"/>
    <n v="265400"/>
    <n v="0"/>
    <n v="0"/>
    <s v="AB"/>
  </r>
  <r>
    <x v="405"/>
    <n v="11.511462938357628"/>
    <n v="11.559338790953889"/>
    <n v="11.378474684394641"/>
    <n v="11.431670188903809"/>
    <n v="280400"/>
    <n v="0"/>
    <n v="0"/>
    <s v="AB"/>
  </r>
  <r>
    <x v="406"/>
    <n v="11.410393257474162"/>
    <n v="11.713606331751617"/>
    <n v="11.378475344146072"/>
    <n v="11.665730476379395"/>
    <n v="244200"/>
    <n v="0"/>
    <n v="0"/>
    <s v="AB"/>
  </r>
  <r>
    <x v="407"/>
    <n v="11.734884476827142"/>
    <n v="11.910428949891656"/>
    <n v="11.702967576620857"/>
    <n v="11.809358596801758"/>
    <n v="198600"/>
    <n v="0"/>
    <n v="0"/>
    <s v="AB"/>
  </r>
  <r>
    <x v="408"/>
    <n v="11.830635009617085"/>
    <n v="11.857233269313848"/>
    <n v="11.554019196489921"/>
    <n v="11.628493309020996"/>
    <n v="229300"/>
    <n v="0"/>
    <n v="0"/>
    <s v="AB"/>
  </r>
  <r>
    <x v="409"/>
    <n v="11.671050968123536"/>
    <n v="11.777440976343613"/>
    <n v="11.633814414515511"/>
    <n v="11.676370620727539"/>
    <n v="118900"/>
    <n v="0"/>
    <n v="0"/>
    <s v="AB"/>
  </r>
  <r>
    <x v="410"/>
    <n v="11.649771240501796"/>
    <n v="11.77212019480069"/>
    <n v="11.649771240501796"/>
    <n v="11.697647094726563"/>
    <n v="115500"/>
    <n v="0"/>
    <n v="0"/>
    <s v="AB"/>
  </r>
  <r>
    <x v="411"/>
    <n v="11.692327329273562"/>
    <n v="11.804037992921591"/>
    <n v="11.676369387766616"/>
    <n v="11.708286285400391"/>
    <n v="120200"/>
    <n v="0"/>
    <n v="0"/>
    <s v="AB"/>
  </r>
  <r>
    <x v="412"/>
    <n v="11.671050128600744"/>
    <n v="11.756162534902488"/>
    <n v="11.468907402669164"/>
    <n v="11.665730476379395"/>
    <n v="242600"/>
    <n v="0"/>
    <n v="0"/>
    <s v="AB"/>
  </r>
  <r>
    <x v="413"/>
    <n v="11.708286285400391"/>
    <n v="11.835954890555366"/>
    <n v="11.702966633358114"/>
    <n v="11.708286285400391"/>
    <n v="132200"/>
    <n v="0"/>
    <n v="0"/>
    <s v="AB"/>
  </r>
  <r>
    <x v="414"/>
    <n v="11.655090667665609"/>
    <n v="11.79339857557687"/>
    <n v="11.596575510382419"/>
    <n v="11.617854118347168"/>
    <n v="207600"/>
    <n v="0"/>
    <n v="0"/>
    <s v="AB"/>
  </r>
  <r>
    <x v="415"/>
    <n v="11.554019196489921"/>
    <n v="11.702966406932209"/>
    <n v="11.554019196489921"/>
    <n v="11.628493309020996"/>
    <n v="164100"/>
    <n v="0"/>
    <n v="0"/>
    <s v="AB"/>
  </r>
  <r>
    <x v="416"/>
    <n v="11.681686676970168"/>
    <n v="11.772118722012058"/>
    <n v="11.585935995119724"/>
    <n v="11.64976978302002"/>
    <n v="285200"/>
    <n v="0"/>
    <n v="0"/>
    <s v="AB"/>
  </r>
  <r>
    <x v="417"/>
    <n v="11.681686854265546"/>
    <n v="11.772118900679942"/>
    <n v="11.623172716905488"/>
    <n v="11.734882354736328"/>
    <n v="231900"/>
    <n v="0"/>
    <n v="0"/>
    <s v="AB"/>
  </r>
  <r>
    <x v="418"/>
    <n v="11.724248280940706"/>
    <n v="11.804041053020692"/>
    <n v="11.64977414766193"/>
    <n v="11.692330360412598"/>
    <n v="180600"/>
    <n v="0"/>
    <n v="0"/>
    <s v="AB"/>
  </r>
  <r>
    <x v="419"/>
    <n v="11.671048444952822"/>
    <n v="11.750841187522438"/>
    <n v="11.569977096567433"/>
    <n v="11.644450187683105"/>
    <n v="221400"/>
    <n v="0"/>
    <n v="0"/>
    <s v="AB"/>
  </r>
  <r>
    <x v="420"/>
    <n v="11.681692077715086"/>
    <n v="11.73488760197216"/>
    <n v="11.474230649194753"/>
    <n v="11.484869956970215"/>
    <n v="219200"/>
    <n v="0"/>
    <n v="0"/>
    <s v="AB"/>
  </r>
  <r>
    <x v="421"/>
    <n v="11.516782870357986"/>
    <n v="11.718925589484941"/>
    <n v="11.474226668639661"/>
    <n v="11.708286285400391"/>
    <n v="218000"/>
    <n v="0"/>
    <n v="0"/>
    <s v="AB"/>
  </r>
  <r>
    <x v="422"/>
    <n v="11.702967248802487"/>
    <n v="11.835955512993424"/>
    <n v="11.62849414553394"/>
    <n v="11.745523452758789"/>
    <n v="339500"/>
    <n v="0"/>
    <n v="0"/>
    <s v="AB"/>
  </r>
  <r>
    <x v="423"/>
    <n v="11.702964615350648"/>
    <n v="11.80935560861081"/>
    <n v="11.702964615350648"/>
    <n v="11.718923568725586"/>
    <n v="218300"/>
    <n v="0"/>
    <n v="0"/>
    <s v="AB"/>
  </r>
  <r>
    <x v="424"/>
    <n v="11.628492368414545"/>
    <n v="11.782758203698055"/>
    <n v="11.596574459360207"/>
    <n v="11.734882354736328"/>
    <n v="174100"/>
    <n v="0"/>
    <n v="0"/>
    <s v="AB"/>
  </r>
  <r>
    <x v="425"/>
    <n v="11.702966746820412"/>
    <n v="11.793398803176093"/>
    <n v="11.655090892595647"/>
    <n v="11.697647094726563"/>
    <n v="282600"/>
    <n v="0"/>
    <n v="0"/>
    <s v="AB"/>
  </r>
  <r>
    <x v="426"/>
    <n v="11.623174436845918"/>
    <n v="11.83595545559556"/>
    <n v="11.58061823309599"/>
    <n v="11.750843048095703"/>
    <n v="230600"/>
    <n v="0"/>
    <n v="0"/>
    <s v="AB"/>
  </r>
  <r>
    <x v="427"/>
    <n v="11.548700156749559"/>
    <n v="11.782759781389315"/>
    <n v="11.463587750447816"/>
    <n v="11.665730476379395"/>
    <n v="239700"/>
    <n v="0"/>
    <n v="0"/>
    <s v="AB"/>
  </r>
  <r>
    <x v="428"/>
    <n v="11.70296573638916"/>
    <n v="11.745521934845783"/>
    <n v="11.623172991110467"/>
    <n v="11.70296573638916"/>
    <n v="175500"/>
    <n v="0"/>
    <n v="0"/>
    <s v="AB"/>
  </r>
  <r>
    <x v="429"/>
    <n v="11.702967827819364"/>
    <n v="12.155128151363655"/>
    <n v="11.702967827819364"/>
    <n v="12.091293334960938"/>
    <n v="333200"/>
    <n v="0"/>
    <n v="0"/>
    <s v="AB"/>
  </r>
  <r>
    <x v="430"/>
    <n v="12.075337412780364"/>
    <n v="12.133851571770929"/>
    <n v="11.974266025985525"/>
    <n v="12.080656051635742"/>
    <n v="262700"/>
    <n v="0"/>
    <n v="0"/>
    <s v="AB"/>
  </r>
  <r>
    <x v="431"/>
    <n v="12.128526850339782"/>
    <n v="12.351947129854343"/>
    <n v="11.968941371237836"/>
    <n v="12.10724925994873"/>
    <n v="300500"/>
    <n v="0"/>
    <n v="0"/>
    <s v="AB"/>
  </r>
  <r>
    <x v="432"/>
    <n v="12.085972447546659"/>
    <n v="12.176404503016036"/>
    <n v="11.968943146488595"/>
    <n v="12.016819000244141"/>
    <n v="223300"/>
    <n v="0"/>
    <n v="0"/>
    <s v="AB"/>
  </r>
  <r>
    <x v="433"/>
    <n v="12.107250218783983"/>
    <n v="12.234918815100217"/>
    <n v="12.027457472913813"/>
    <n v="12.208321571350098"/>
    <n v="163300"/>
    <n v="0"/>
    <n v="0"/>
    <s v="AB"/>
  </r>
  <r>
    <x v="434"/>
    <n v="12.218961094151775"/>
    <n v="12.320032456925752"/>
    <n v="12.20300315213793"/>
    <n v="12.282795906066895"/>
    <n v="205800"/>
    <n v="0"/>
    <n v="0"/>
    <s v="AB"/>
  </r>
  <r>
    <x v="435"/>
    <n v="12.245559355208039"/>
    <n v="12.3147128047145"/>
    <n v="12.208322804349182"/>
    <n v="12.282795906066895"/>
    <n v="140600"/>
    <n v="0"/>
    <n v="0"/>
    <s v="AB"/>
  </r>
  <r>
    <x v="436"/>
    <n v="12.23492018058629"/>
    <n v="12.314712935361781"/>
    <n v="11.835955392088911"/>
    <n v="11.857234001159668"/>
    <n v="183000"/>
    <n v="0"/>
    <n v="0"/>
    <s v="AB"/>
  </r>
  <r>
    <x v="437"/>
    <n v="11.835958422542154"/>
    <n v="11.883834290589467"/>
    <n v="11.702970125659657"/>
    <n v="11.841278076171875"/>
    <n v="191100"/>
    <n v="0"/>
    <n v="0"/>
    <s v="AB"/>
  </r>
  <r>
    <x v="438"/>
    <n v="11.841274318079106"/>
    <n v="11.968942920813399"/>
    <n v="11.830635014196282"/>
    <n v="11.835954666137695"/>
    <n v="284500"/>
    <n v="0"/>
    <n v="0"/>
    <s v="AB"/>
  </r>
  <r>
    <x v="439"/>
    <n v="11.846594760188026"/>
    <n v="11.878511659345488"/>
    <n v="11.660410988299615"/>
    <n v="11.750843048095703"/>
    <n v="262200"/>
    <n v="0"/>
    <n v="0"/>
    <s v="AB"/>
  </r>
  <r>
    <x v="440"/>
    <n v="11.819996809685696"/>
    <n v="12.224281263256525"/>
    <n v="11.819996809685696"/>
    <n v="12.12852954864502"/>
    <n v="201500"/>
    <n v="0"/>
    <n v="0"/>
    <s v="AB"/>
  </r>
  <r>
    <x v="441"/>
    <n v="12.144489515090896"/>
    <n v="12.362590209997817"/>
    <n v="12.04341813964475"/>
    <n v="12.117892265319824"/>
    <n v="169200"/>
    <n v="0"/>
    <n v="0"/>
    <s v="AB"/>
  </r>
  <r>
    <x v="442"/>
    <n v="12.08597605541798"/>
    <n v="12.149810884354459"/>
    <n v="11.750845993706971"/>
    <n v="11.841278076171875"/>
    <n v="147300"/>
    <n v="0"/>
    <n v="0"/>
    <s v="AB"/>
  </r>
  <r>
    <x v="443"/>
    <n v="11.873194607595744"/>
    <n v="12.043419459879242"/>
    <n v="11.873194607595744"/>
    <n v="11.979585647583008"/>
    <n v="115300"/>
    <n v="0"/>
    <n v="0"/>
    <s v="AB"/>
  </r>
  <r>
    <x v="444"/>
    <n v="11.942347853645755"/>
    <n v="12.048737868016691"/>
    <n v="11.825317518831664"/>
    <n v="12.011501312255859"/>
    <n v="98900"/>
    <n v="0"/>
    <n v="0"/>
    <s v="AB"/>
  </r>
  <r>
    <x v="445"/>
    <n v="12.027461514115259"/>
    <n v="12.027461514115259"/>
    <n v="11.756165275305877"/>
    <n v="11.979585647583008"/>
    <n v="121100"/>
    <n v="0"/>
    <n v="0"/>
    <s v="AB"/>
  </r>
  <r>
    <x v="446"/>
    <n v="12.022138425607654"/>
    <n v="12.144487376400535"/>
    <n v="11.825315362254871"/>
    <n v="11.835954666137695"/>
    <n v="100400"/>
    <n v="0"/>
    <n v="0"/>
    <s v="AB"/>
  </r>
  <r>
    <x v="447"/>
    <n v="11.835956661460813"/>
    <n v="11.915749424793844"/>
    <n v="11.490187343937649"/>
    <n v="11.623175621032715"/>
    <n v="215200"/>
    <n v="0"/>
    <n v="0"/>
    <s v="AB"/>
  </r>
  <r>
    <x v="448"/>
    <n v="11.516784077836348"/>
    <n v="11.809358883117264"/>
    <n v="11.516784077836348"/>
    <n v="11.782760620117188"/>
    <n v="130400"/>
    <n v="0"/>
    <n v="0"/>
    <s v="AB"/>
  </r>
  <r>
    <x v="449"/>
    <n v="11.649772870603714"/>
    <n v="11.756163898127779"/>
    <n v="11.468908732584822"/>
    <n v="11.623175621032715"/>
    <n v="125400"/>
    <n v="0"/>
    <n v="0"/>
    <s v="AB"/>
  </r>
  <r>
    <x v="450"/>
    <n v="11.70296786912756"/>
    <n v="11.809358891967625"/>
    <n v="11.569979597887475"/>
    <n v="11.676370620727539"/>
    <n v="140800"/>
    <n v="0"/>
    <n v="0"/>
    <s v="AB"/>
  </r>
  <r>
    <x v="451"/>
    <n v="11.676371134794747"/>
    <n v="11.782761147698778"/>
    <n v="11.596577356841681"/>
    <n v="11.623175621032715"/>
    <n v="119300"/>
    <n v="0"/>
    <n v="0"/>
    <s v="AB"/>
  </r>
  <r>
    <x v="452"/>
    <n v="11.702967712086238"/>
    <n v="11.756163222792445"/>
    <n v="11.596576690673828"/>
    <n v="11.596576690673828"/>
    <n v="116500"/>
    <n v="0"/>
    <n v="0"/>
    <s v="AB"/>
  </r>
  <r>
    <x v="453"/>
    <n v="11.70296573638916"/>
    <n v="11.835953983393582"/>
    <n v="11.64977023466343"/>
    <n v="11.70296573638916"/>
    <n v="146900"/>
    <n v="0"/>
    <n v="0"/>
    <s v="AB"/>
  </r>
  <r>
    <x v="454"/>
    <n v="11.623172991110467"/>
    <n v="11.75616123811489"/>
    <n v="11.5965747329377"/>
    <n v="11.70296573638916"/>
    <n v="173900"/>
    <n v="0"/>
    <n v="0"/>
    <s v="AB"/>
  </r>
  <r>
    <x v="455"/>
    <n v="11.649772357707528"/>
    <n v="11.915748900187699"/>
    <n v="11.649772357707528"/>
    <n v="11.676370620727539"/>
    <n v="159300"/>
    <n v="0"/>
    <n v="0"/>
    <s v="AB"/>
  </r>
  <r>
    <x v="456"/>
    <n v="11.702965282683444"/>
    <n v="11.835953524532119"/>
    <n v="11.543379798312939"/>
    <n v="11.64976978302002"/>
    <n v="174500"/>
    <n v="0"/>
    <n v="0"/>
    <s v="AB"/>
  </r>
  <r>
    <x v="457"/>
    <n v="11.649771467713476"/>
    <n v="11.702966975069593"/>
    <n v="11.490185960265038"/>
    <n v="11.569978713989258"/>
    <n v="301100"/>
    <n v="0"/>
    <n v="0"/>
    <s v="AB"/>
  </r>
  <r>
    <x v="458"/>
    <n v="11.862550237878029"/>
    <n v="12.176402555809863"/>
    <n v="11.809355755207323"/>
    <n v="11.915745735168457"/>
    <n v="273200"/>
    <n v="0"/>
    <n v="0"/>
    <s v="AB"/>
  </r>
  <r>
    <x v="459"/>
    <n v="11.995540743598369"/>
    <n v="11.995540743598369"/>
    <n v="11.543381467621154"/>
    <n v="11.569978713989258"/>
    <n v="212900"/>
    <n v="0"/>
    <n v="0"/>
    <s v="AB"/>
  </r>
  <r>
    <x v="460"/>
    <n v="11.543382194587599"/>
    <n v="11.702967712086238"/>
    <n v="11.543382194587599"/>
    <n v="11.596576690673828"/>
    <n v="367600"/>
    <n v="0"/>
    <n v="0"/>
    <s v="AB"/>
  </r>
  <r>
    <x v="461"/>
    <n v="11.623174953336919"/>
    <n v="11.729564960129354"/>
    <n v="11.506144626859273"/>
    <n v="11.596576690673828"/>
    <n v="157400"/>
    <n v="0"/>
    <n v="0"/>
    <s v="AB"/>
  </r>
  <r>
    <x v="462"/>
    <n v="11.596576022720807"/>
    <n v="11.62317428385186"/>
    <n v="11.410393267903022"/>
    <n v="11.463587760925293"/>
    <n v="222900"/>
    <n v="0"/>
    <n v="0"/>
    <s v="AB"/>
  </r>
  <r>
    <x v="463"/>
    <n v="11.410392595246057"/>
    <n v="11.463587085132447"/>
    <n v="11.277404341290367"/>
    <n v="11.330598831176758"/>
    <n v="209700"/>
    <n v="0"/>
    <n v="0"/>
    <s v="AB"/>
  </r>
  <r>
    <x v="464"/>
    <n v="11.384943809041163"/>
    <n v="11.602317222633635"/>
    <n v="11.276256583985827"/>
    <n v="11.412115097045898"/>
    <n v="245500"/>
    <n v="0.45"/>
    <n v="0"/>
    <s v="AB"/>
  </r>
  <r>
    <x v="465"/>
    <n v="11.384942707568387"/>
    <n v="11.738174600046378"/>
    <n v="11.330599100298366"/>
    <n v="11.439285278320313"/>
    <n v="254700"/>
    <n v="0"/>
    <n v="0"/>
    <s v="AB"/>
  </r>
  <r>
    <x v="466"/>
    <n v="11.547973218384996"/>
    <n v="11.73274087280061"/>
    <n v="11.439285997016462"/>
    <n v="11.466458320617676"/>
    <n v="188200"/>
    <n v="0"/>
    <n v="0"/>
    <s v="AB"/>
  </r>
  <r>
    <x v="467"/>
    <n v="11.412112613150722"/>
    <n v="11.493627495941061"/>
    <n v="11.330597730360383"/>
    <n v="11.357769012451172"/>
    <n v="241600"/>
    <n v="0"/>
    <n v="0"/>
    <s v="AB"/>
  </r>
  <r>
    <x v="468"/>
    <n v="11.357769163848392"/>
    <n v="11.819688221174918"/>
    <n v="11.281688743765665"/>
    <n v="11.765344619750977"/>
    <n v="321500"/>
    <n v="0"/>
    <n v="0"/>
    <s v="AB"/>
  </r>
  <r>
    <x v="469"/>
    <n v="11.874036613092526"/>
    <n v="12.444642066955566"/>
    <n v="11.841430853690799"/>
    <n v="12.444642066955566"/>
    <n v="492300"/>
    <n v="0"/>
    <n v="0"/>
    <s v="AB"/>
  </r>
  <r>
    <x v="470"/>
    <n v="12.33595694538965"/>
    <n v="12.558764887914018"/>
    <n v="12.227269689101352"/>
    <n v="12.553330421447754"/>
    <n v="342800"/>
    <n v="0"/>
    <n v="0"/>
    <s v="AB"/>
  </r>
  <r>
    <x v="471"/>
    <n v="12.634837860173993"/>
    <n v="13.042413275018315"/>
    <n v="12.580494264224509"/>
    <n v="12.960898399353027"/>
    <n v="528600"/>
    <n v="0"/>
    <n v="0"/>
    <s v="AB"/>
  </r>
  <r>
    <x v="472"/>
    <n v="12.87938750488545"/>
    <n v="12.906558793000276"/>
    <n v="12.498983252168689"/>
    <n v="12.662013053894043"/>
    <n v="247600"/>
    <n v="0"/>
    <n v="0"/>
    <s v="AB"/>
  </r>
  <r>
    <x v="473"/>
    <n v="12.526149964778872"/>
    <n v="12.879382800353255"/>
    <n v="12.526149964778872"/>
    <n v="12.63483715057373"/>
    <n v="183500"/>
    <n v="0"/>
    <n v="0"/>
    <s v="AB"/>
  </r>
  <r>
    <x v="474"/>
    <n v="12.770700279389747"/>
    <n v="12.960902405748127"/>
    <n v="12.634841765779218"/>
    <n v="12.662013053894043"/>
    <n v="317100"/>
    <n v="0"/>
    <n v="0"/>
    <s v="AB"/>
  </r>
  <r>
    <x v="475"/>
    <n v="12.716356666641895"/>
    <n v="12.87938750488545"/>
    <n v="12.607670477664392"/>
    <n v="12.662013053894043"/>
    <n v="207400"/>
    <n v="0"/>
    <n v="0"/>
    <s v="AB"/>
  </r>
  <r>
    <x v="476"/>
    <n v="12.662015118839918"/>
    <n v="12.770702362060547"/>
    <n v="12.526156583073316"/>
    <n v="12.770702362060547"/>
    <n v="214400"/>
    <n v="0"/>
    <n v="0"/>
    <s v="AB"/>
  </r>
  <r>
    <x v="477"/>
    <n v="12.689182905221596"/>
    <n v="13.015243481636578"/>
    <n v="12.553324418091853"/>
    <n v="12.879384994506836"/>
    <n v="359600"/>
    <n v="0"/>
    <n v="0"/>
    <s v="AB"/>
  </r>
  <r>
    <x v="478"/>
    <n v="12.770700279389747"/>
    <n v="12.852215180252424"/>
    <n v="12.607670477664392"/>
    <n v="12.662013053894043"/>
    <n v="311000"/>
    <n v="0"/>
    <n v="0"/>
    <s v="AB"/>
  </r>
  <r>
    <x v="479"/>
    <n v="12.66201156099336"/>
    <n v="13.042415768858978"/>
    <n v="12.66201156099336"/>
    <n v="13.015244483947754"/>
    <n v="166500"/>
    <n v="0"/>
    <n v="0"/>
    <s v="AB"/>
  </r>
  <r>
    <x v="480"/>
    <n v="12.879389036444518"/>
    <n v="12.933731619136346"/>
    <n v="12.58049964904785"/>
    <n v="12.580499649047852"/>
    <n v="213000"/>
    <n v="0"/>
    <n v="0"/>
    <s v="AB"/>
  </r>
  <r>
    <x v="481"/>
    <n v="12.634843010928687"/>
    <n v="12.743530247135396"/>
    <n v="12.254438720723513"/>
    <n v="12.335954666137695"/>
    <n v="288100"/>
    <n v="0"/>
    <n v="0"/>
    <s v="AB"/>
  </r>
  <r>
    <x v="482"/>
    <n v="12.363123474068372"/>
    <n v="12.553325580973043"/>
    <n v="12.118577759974068"/>
    <n v="12.281608581542969"/>
    <n v="353700"/>
    <n v="0"/>
    <n v="0"/>
    <s v="AB"/>
  </r>
  <r>
    <x v="483"/>
    <n v="12.281612233428527"/>
    <n v="12.71092468119288"/>
    <n v="12.281612233428527"/>
    <n v="12.444642066955566"/>
    <n v="333300"/>
    <n v="0"/>
    <n v="0"/>
    <s v="AB"/>
  </r>
  <r>
    <x v="484"/>
    <n v="12.526151603091675"/>
    <n v="12.580495203096779"/>
    <n v="12.341383984985091"/>
    <n v="12.390293121337891"/>
    <n v="225400"/>
    <n v="0"/>
    <n v="0"/>
    <s v="AB"/>
  </r>
  <r>
    <x v="485"/>
    <n v="12.390298443607087"/>
    <n v="12.607672937001009"/>
    <n v="12.390298443607087"/>
    <n v="12.444642066955566"/>
    <n v="210600"/>
    <n v="0"/>
    <n v="0"/>
    <s v="AB"/>
  </r>
  <r>
    <x v="486"/>
    <n v="12.390297101925251"/>
    <n v="12.580499244789715"/>
    <n v="12.281610903515764"/>
    <n v="12.498984336853027"/>
    <n v="252400"/>
    <n v="0"/>
    <n v="0"/>
    <s v="AB"/>
  </r>
  <r>
    <x v="487"/>
    <n v="12.417466297514567"/>
    <n v="12.90655665831555"/>
    <n v="12.417466297514567"/>
    <n v="12.825041770935059"/>
    <n v="252400"/>
    <n v="0"/>
    <n v="0"/>
    <s v="AB"/>
  </r>
  <r>
    <x v="488"/>
    <n v="12.145752378115187"/>
    <n v="12.623973931457169"/>
    <n v="11.982721525723521"/>
    <n v="12.498984336853027"/>
    <n v="1270800"/>
    <n v="0"/>
    <n v="0"/>
    <s v="AB"/>
  </r>
  <r>
    <x v="489"/>
    <n v="12.553327169928327"/>
    <n v="12.689185686839851"/>
    <n v="12.335953750173537"/>
    <n v="12.607670783996582"/>
    <n v="624800"/>
    <n v="0"/>
    <n v="0"/>
    <s v="AB"/>
  </r>
  <r>
    <x v="490"/>
    <n v="12.526152333464763"/>
    <n v="12.662010823140164"/>
    <n v="12.145749184284451"/>
    <n v="12.417466163635254"/>
    <n v="597000"/>
    <n v="0"/>
    <n v="0"/>
    <s v="AB"/>
  </r>
  <r>
    <x v="491"/>
    <n v="12.335950557850744"/>
    <n v="12.553323921353206"/>
    <n v="12.281606957845639"/>
    <n v="12.390293121337891"/>
    <n v="326800"/>
    <n v="0"/>
    <n v="0"/>
    <s v="AB"/>
  </r>
  <r>
    <x v="492"/>
    <n v="12.363124826219346"/>
    <n v="12.444639727660007"/>
    <n v="12.118579085379151"/>
    <n v="12.227266311645508"/>
    <n v="427800"/>
    <n v="0"/>
    <n v="0"/>
    <s v="AB"/>
  </r>
  <r>
    <x v="493"/>
    <n v="12.22726574501422"/>
    <n v="12.444639150955284"/>
    <n v="12.118578523784606"/>
    <n v="12.172922134399414"/>
    <n v="482500"/>
    <n v="0"/>
    <n v="0"/>
    <s v="AB"/>
  </r>
  <r>
    <x v="494"/>
    <n v="12.009892339073154"/>
    <n v="12.363124253292156"/>
    <n v="12.009892339073154"/>
    <n v="12.172922134399414"/>
    <n v="283700"/>
    <n v="0"/>
    <n v="0"/>
    <s v="AB"/>
  </r>
  <r>
    <x v="495"/>
    <n v="12.172923104732783"/>
    <n v="12.363125238787001"/>
    <n v="12.118579489786114"/>
    <n v="12.308781623840332"/>
    <n v="263100"/>
    <n v="0"/>
    <n v="0"/>
    <s v="AB"/>
  </r>
  <r>
    <x v="496"/>
    <n v="12.308781623840332"/>
    <n v="12.542458442548236"/>
    <n v="12.308781623840332"/>
    <n v="12.308781623840332"/>
    <n v="405900"/>
    <n v="0"/>
    <n v="0"/>
    <s v="AB"/>
  </r>
  <r>
    <x v="497"/>
    <n v="12.254434981128156"/>
    <n v="12.580495553728481"/>
    <n v="12.254434981128156"/>
    <n v="12.471809387207031"/>
    <n v="387000"/>
    <n v="0"/>
    <n v="0"/>
    <s v="AB"/>
  </r>
  <r>
    <x v="498"/>
    <n v="12.498983807017398"/>
    <n v="12.960902981102125"/>
    <n v="12.44464019185715"/>
    <n v="12.716357231140137"/>
    <n v="628400"/>
    <n v="0"/>
    <n v="0"/>
    <s v="AB"/>
  </r>
  <r>
    <x v="499"/>
    <n v="12.79786907301459"/>
    <n v="13.015243481636578"/>
    <n v="12.553324418091853"/>
    <n v="12.879384994506836"/>
    <n v="207100"/>
    <n v="0"/>
    <n v="0"/>
    <s v="AB"/>
  </r>
  <r>
    <x v="500"/>
    <n v="12.87938675028134"/>
    <n v="13.042416542454768"/>
    <n v="12.797870817676486"/>
    <n v="12.906558036804199"/>
    <n v="358800"/>
    <n v="0"/>
    <n v="0"/>
    <s v="AB"/>
  </r>
  <r>
    <x v="501"/>
    <n v="12.906560897827148"/>
    <n v="13.096763055204065"/>
    <n v="12.662015118839918"/>
    <n v="12.770702362060547"/>
    <n v="320400"/>
    <n v="0"/>
    <n v="0"/>
    <s v="AB"/>
  </r>
  <r>
    <x v="502"/>
    <n v="12.743526507377092"/>
    <n v="13.004374553901879"/>
    <n v="12.743526507377092"/>
    <n v="12.879384994506836"/>
    <n v="266500"/>
    <n v="0"/>
    <n v="0"/>
    <s v="AB"/>
  </r>
  <r>
    <x v="503"/>
    <n v="12.933727510781555"/>
    <n v="12.960899830014597"/>
    <n v="12.727223067200409"/>
    <n v="12.743526458740234"/>
    <n v="218300"/>
    <n v="0"/>
    <n v="0"/>
    <s v="AB"/>
  </r>
  <r>
    <x v="504"/>
    <n v="12.90656074219577"/>
    <n v="13.205449102670856"/>
    <n v="12.797873500285727"/>
    <n v="13.06959056854248"/>
    <n v="292500"/>
    <n v="0"/>
    <n v="0"/>
    <s v="AB"/>
  </r>
  <r>
    <x v="505"/>
    <n v="13.205446783623911"/>
    <n v="13.259790395035493"/>
    <n v="13.069588273354043"/>
    <n v="13.123931884765625"/>
    <n v="428900"/>
    <n v="0"/>
    <n v="0"/>
    <s v="AB"/>
  </r>
  <r>
    <x v="506"/>
    <n v="13.123933007139591"/>
    <n v="13.259791529028238"/>
    <n v="13.042418101310055"/>
    <n v="13.232620239257813"/>
    <n v="241000"/>
    <n v="0"/>
    <n v="0"/>
    <s v="AB"/>
  </r>
  <r>
    <x v="507"/>
    <n v="13.259791529028238"/>
    <n v="13.585852188864642"/>
    <n v="13.205447912969126"/>
    <n v="13.232620239257813"/>
    <n v="492900"/>
    <n v="0"/>
    <n v="0"/>
    <s v="AB"/>
  </r>
  <r>
    <x v="508"/>
    <n v="13.341301497963668"/>
    <n v="13.341301497963668"/>
    <n v="12.906554803403543"/>
    <n v="12.960898399353027"/>
    <n v="364700"/>
    <n v="0"/>
    <n v="0"/>
    <s v="AB"/>
  </r>
  <r>
    <x v="509"/>
    <n v="13.015243725510622"/>
    <n v="13.096758612012259"/>
    <n v="12.281607673959853"/>
    <n v="12.417466163635254"/>
    <n v="1044600"/>
    <n v="0"/>
    <n v="0"/>
    <s v="AB"/>
  </r>
  <r>
    <x v="510"/>
    <n v="12.390299537015306"/>
    <n v="12.656583211269787"/>
    <n v="12.363128241202478"/>
    <n v="12.553330421447754"/>
    <n v="243900"/>
    <n v="0"/>
    <n v="0"/>
    <s v="AB"/>
  </r>
  <r>
    <x v="511"/>
    <n v="12.49898076823283"/>
    <n v="12.770697741455281"/>
    <n v="12.335950998906556"/>
    <n v="12.743526458740234"/>
    <n v="190300"/>
    <n v="0"/>
    <n v="0"/>
    <s v="AB"/>
  </r>
  <r>
    <x v="512"/>
    <n v="12.79786907301459"/>
    <n v="13.069586047274077"/>
    <n v="12.743526507377092"/>
    <n v="12.879384994506836"/>
    <n v="259600"/>
    <n v="0"/>
    <n v="0"/>
    <s v="AB"/>
  </r>
  <r>
    <x v="513"/>
    <n v="12.879389036444518"/>
    <n v="12.906560327790432"/>
    <n v="12.553328357701938"/>
    <n v="12.580499649047852"/>
    <n v="233100"/>
    <n v="0"/>
    <n v="0"/>
    <s v="AB"/>
  </r>
  <r>
    <x v="514"/>
    <n v="12.607669495483632"/>
    <n v="12.667446531983051"/>
    <n v="12.444638669940739"/>
    <n v="12.526153564453125"/>
    <n v="198100"/>
    <n v="0"/>
    <n v="0"/>
    <s v="AB"/>
  </r>
  <r>
    <x v="515"/>
    <n v="12.553330421447754"/>
    <n v="12.580501717260582"/>
    <n v="12.471815497490777"/>
    <n v="12.553330421447754"/>
    <n v="136500"/>
    <n v="0"/>
    <n v="0"/>
    <s v="AB"/>
  </r>
  <r>
    <x v="516"/>
    <n v="12.553330421447754"/>
    <n v="12.662016641217557"/>
    <n v="12.471815497490777"/>
    <n v="12.553330421447754"/>
    <n v="175100"/>
    <n v="0"/>
    <n v="0"/>
    <s v="AB"/>
  </r>
  <r>
    <x v="517"/>
    <n v="12.553330421447754"/>
    <n v="12.662016641217557"/>
    <n v="12.526158089116432"/>
    <n v="12.553330421447754"/>
    <n v="181000"/>
    <n v="0"/>
    <n v="0"/>
    <s v="AB"/>
  </r>
  <r>
    <x v="518"/>
    <n v="12.607671037337891"/>
    <n v="12.825044461460632"/>
    <n v="12.580498711498644"/>
    <n v="12.716357231140137"/>
    <n v="204400"/>
    <n v="0"/>
    <n v="0"/>
    <s v="AB"/>
  </r>
  <r>
    <x v="519"/>
    <n v="12.770697741455281"/>
    <n v="12.841343698425202"/>
    <n v="12.689182856792145"/>
    <n v="12.743526458740234"/>
    <n v="267300"/>
    <n v="0"/>
    <n v="0"/>
    <s v="AB"/>
  </r>
  <r>
    <x v="520"/>
    <n v="12.743530669771369"/>
    <n v="12.814176650085873"/>
    <n v="12.662014721653732"/>
    <n v="12.689187049865723"/>
    <n v="254700"/>
    <n v="0"/>
    <n v="0"/>
    <s v="AB"/>
  </r>
  <r>
    <x v="521"/>
    <n v="12.689186887468152"/>
    <n v="12.743530506678303"/>
    <n v="12.526156029837701"/>
    <n v="12.580499649047852"/>
    <n v="177100"/>
    <n v="0"/>
    <n v="0"/>
    <s v="AB"/>
  </r>
  <r>
    <x v="522"/>
    <n v="12.580498153031366"/>
    <n v="12.754396884609932"/>
    <n v="12.498983252168689"/>
    <n v="12.662013053894043"/>
    <n v="256700"/>
    <n v="0"/>
    <n v="0"/>
    <s v="AB"/>
  </r>
  <r>
    <x v="523"/>
    <n v="12.662014721653732"/>
    <n v="12.797873253158679"/>
    <n v="12.553328518360775"/>
    <n v="12.689187049865723"/>
    <n v="222500"/>
    <n v="0"/>
    <n v="0"/>
    <s v="AB"/>
  </r>
  <r>
    <x v="524"/>
    <n v="12.743524336368591"/>
    <n v="12.85221048564563"/>
    <n v="12.580493557676302"/>
    <n v="12.63483715057373"/>
    <n v="306000"/>
    <n v="0"/>
    <n v="0"/>
    <s v="AB"/>
  </r>
  <r>
    <x v="525"/>
    <n v="12.662010959656044"/>
    <n v="12.87938537469473"/>
    <n v="12.662010959656044"/>
    <n v="12.825041770935059"/>
    <n v="306900"/>
    <n v="0"/>
    <n v="0"/>
    <s v="AB"/>
  </r>
  <r>
    <x v="526"/>
    <n v="12.988072932890912"/>
    <n v="13.02611314863017"/>
    <n v="12.797870817676486"/>
    <n v="12.906558036804199"/>
    <n v="365500"/>
    <n v="0"/>
    <n v="0"/>
    <s v="AB"/>
  </r>
  <r>
    <x v="527"/>
    <n v="12.933727510781555"/>
    <n v="13.042414714677735"/>
    <n v="12.689182856792145"/>
    <n v="12.743526458740234"/>
    <n v="391400"/>
    <n v="0"/>
    <n v="0"/>
    <s v="AB"/>
  </r>
  <r>
    <x v="528"/>
    <n v="12.770695614558395"/>
    <n v="12.781564540441446"/>
    <n v="12.607665872383928"/>
    <n v="12.63483715057373"/>
    <n v="275000"/>
    <n v="0"/>
    <n v="0"/>
    <s v="AB"/>
  </r>
  <r>
    <x v="529"/>
    <n v="12.634845345404729"/>
    <n v="12.743532601693028"/>
    <n v="12.526158089116432"/>
    <n v="12.553330421447754"/>
    <n v="296100"/>
    <n v="0"/>
    <n v="0"/>
    <s v="AB"/>
  </r>
  <r>
    <x v="530"/>
    <n v="12.634837150573732"/>
    <n v="12.662008428763535"/>
    <n v="12.553322279486498"/>
    <n v="12.63483715057373"/>
    <n v="183900"/>
    <n v="0"/>
    <n v="0"/>
    <s v="AB"/>
  </r>
  <r>
    <x v="531"/>
    <n v="12.689185941819138"/>
    <n v="12.825044461460632"/>
    <n v="12.634842326658891"/>
    <n v="12.716357231140137"/>
    <n v="392400"/>
    <n v="0"/>
    <n v="0"/>
    <s v="AB"/>
  </r>
  <r>
    <x v="532"/>
    <n v="12.743528244630768"/>
    <n v="12.960901646368054"/>
    <n v="12.743528244630768"/>
    <n v="12.906558036804199"/>
    <n v="392400"/>
    <n v="0"/>
    <n v="0"/>
    <s v="AB"/>
  </r>
  <r>
    <x v="533"/>
    <n v="13.314130783081055"/>
    <n v="13.531504139582875"/>
    <n v="13.205443586571183"/>
    <n v="13.314130783081055"/>
    <n v="673500"/>
    <n v="0"/>
    <n v="0"/>
    <s v="AB"/>
  </r>
  <r>
    <x v="534"/>
    <n v="13.15110610825681"/>
    <n v="13.15110610825681"/>
    <n v="12.79787310132016"/>
    <n v="12.852216720581055"/>
    <n v="990600"/>
    <n v="0"/>
    <n v="0"/>
    <s v="AB"/>
  </r>
  <r>
    <x v="535"/>
    <n v="12.906554803403543"/>
    <n v="13.151100466917288"/>
    <n v="12.906554803403543"/>
    <n v="12.960898399353027"/>
    <n v="562300"/>
    <n v="0"/>
    <n v="0"/>
    <s v="AB"/>
  </r>
  <r>
    <x v="536"/>
    <n v="12.960900915229439"/>
    <n v="13.205445589694548"/>
    <n v="12.770698810744522"/>
    <n v="13.151103019714355"/>
    <n v="419000"/>
    <n v="0"/>
    <n v="0"/>
    <s v="AB"/>
  </r>
  <r>
    <x v="537"/>
    <n v="13.314133823591414"/>
    <n v="13.656496808701489"/>
    <n v="13.23261892585265"/>
    <n v="13.422821044921875"/>
    <n v="990900"/>
    <n v="0"/>
    <n v="0"/>
    <s v="AB"/>
  </r>
  <r>
    <x v="538"/>
    <n v="13.406063277848109"/>
    <n v="13.43399215017635"/>
    <n v="13.266416785370524"/>
    <n v="13.350204467773438"/>
    <n v="340100"/>
    <n v="0.67"/>
    <n v="0"/>
    <s v="AB"/>
  </r>
  <r>
    <x v="539"/>
    <n v="13.378130139307506"/>
    <n v="13.433987866151268"/>
    <n v="13.26641255478429"/>
    <n v="13.322271347045898"/>
    <n v="224500"/>
    <n v="0"/>
    <n v="0"/>
    <s v="AB"/>
  </r>
  <r>
    <x v="540"/>
    <n v="13.266418025940906"/>
    <n v="13.283175990155836"/>
    <n v="13.154700395344616"/>
    <n v="13.238489151000977"/>
    <n v="222700"/>
    <n v="0"/>
    <n v="0"/>
    <s v="AB"/>
  </r>
  <r>
    <x v="541"/>
    <n v="13.238486919598261"/>
    <n v="13.294344660063063"/>
    <n v="13.070910501949536"/>
    <n v="13.210556983947754"/>
    <n v="396800"/>
    <n v="0"/>
    <n v="0"/>
    <s v="AB"/>
  </r>
  <r>
    <x v="542"/>
    <n v="13.238489151000977"/>
    <n v="13.266418025940906"/>
    <n v="13.126771520404686"/>
    <n v="13.238489151000977"/>
    <n v="240500"/>
    <n v="0"/>
    <n v="0"/>
    <s v="AB"/>
  </r>
  <r>
    <x v="543"/>
    <n v="13.350204189758788"/>
    <n v="13.406062998670214"/>
    <n v="13.042982338873195"/>
    <n v="13.12677001953125"/>
    <n v="448800"/>
    <n v="0"/>
    <n v="0"/>
    <s v="AB"/>
  </r>
  <r>
    <x v="544"/>
    <n v="13.098839951576418"/>
    <n v="13.154697689968657"/>
    <n v="13.015051213151928"/>
    <n v="13.042981147766113"/>
    <n v="160400"/>
    <n v="0"/>
    <n v="0"/>
    <s v="AB"/>
  </r>
  <r>
    <x v="545"/>
    <n v="13.042981814441955"/>
    <n v="13.13235547893944"/>
    <n v="12.819547653198242"/>
    <n v="12.819547653198242"/>
    <n v="340400"/>
    <n v="0"/>
    <n v="0"/>
    <s v="AB"/>
  </r>
  <r>
    <x v="546"/>
    <n v="12.847476005554199"/>
    <n v="13.015051353372458"/>
    <n v="12.819547136057183"/>
    <n v="12.847476005554199"/>
    <n v="320300"/>
    <n v="0"/>
    <n v="0"/>
    <s v="AB"/>
  </r>
  <r>
    <x v="547"/>
    <n v="12.791617201142088"/>
    <n v="13.015051353372458"/>
    <n v="12.791617201142088"/>
    <n v="12.847476005554199"/>
    <n v="339300"/>
    <n v="0"/>
    <n v="0"/>
    <s v="AB"/>
  </r>
  <r>
    <x v="548"/>
    <n v="12.959195741585717"/>
    <n v="13.015053489748608"/>
    <n v="12.76369042676084"/>
    <n v="12.791619300842285"/>
    <n v="174500"/>
    <n v="0"/>
    <n v="0"/>
    <s v="AB"/>
  </r>
  <r>
    <x v="549"/>
    <n v="12.903336165954055"/>
    <n v="12.959194976236267"/>
    <n v="12.707830862675412"/>
    <n v="12.735759735107422"/>
    <n v="263600"/>
    <n v="0"/>
    <n v="0"/>
    <s v="AB"/>
  </r>
  <r>
    <x v="550"/>
    <n v="12.735760256326481"/>
    <n v="12.875406755038036"/>
    <n v="12.651972570183196"/>
    <n v="12.707831382751465"/>
    <n v="199500"/>
    <n v="0"/>
    <n v="0"/>
    <s v="AB"/>
  </r>
  <r>
    <x v="551"/>
    <n v="12.707831382751463"/>
    <n v="12.763690195319732"/>
    <n v="12.624043696608178"/>
    <n v="12.707831382751465"/>
    <n v="259400"/>
    <n v="0"/>
    <n v="0"/>
    <s v="AB"/>
  </r>
  <r>
    <x v="552"/>
    <n v="12.6799009928232"/>
    <n v="12.6799009928232"/>
    <n v="12.568183381046655"/>
    <n v="12.596112251281738"/>
    <n v="151900"/>
    <n v="0"/>
    <n v="0"/>
    <s v="AB"/>
  </r>
  <r>
    <x v="553"/>
    <n v="12.596112251281738"/>
    <n v="12.6799009928232"/>
    <n v="12.484395704923298"/>
    <n v="12.596112251281738"/>
    <n v="400600"/>
    <n v="0"/>
    <n v="0"/>
    <s v="AB"/>
  </r>
  <r>
    <x v="554"/>
    <n v="12.624040090396855"/>
    <n v="12.791615414813489"/>
    <n v="12.624040090396855"/>
    <n v="12.651968955993652"/>
    <n v="320700"/>
    <n v="0"/>
    <n v="0"/>
    <s v="AB"/>
  </r>
  <r>
    <x v="555"/>
    <n v="12.707832085392551"/>
    <n v="12.719004061607572"/>
    <n v="12.484397888183594"/>
    <n v="12.484397888183594"/>
    <n v="296900"/>
    <n v="0"/>
    <n v="0"/>
    <s v="AB"/>
  </r>
  <r>
    <x v="556"/>
    <n v="12.512326763302854"/>
    <n v="12.596114454078926"/>
    <n v="12.42853907252678"/>
    <n v="12.484397888183594"/>
    <n v="302600"/>
    <n v="0"/>
    <n v="0"/>
    <s v="AB"/>
  </r>
  <r>
    <x v="557"/>
    <n v="12.512324560671818"/>
    <n v="12.596112236698167"/>
    <n v="12.233031596971919"/>
    <n v="12.260961532592773"/>
    <n v="289400"/>
    <n v="0"/>
    <n v="0"/>
    <s v="AB"/>
  </r>
  <r>
    <x v="558"/>
    <n v="12.177171784555258"/>
    <n v="12.233030585761441"/>
    <n v="12.121314048767092"/>
    <n v="12.12131404876709"/>
    <n v="468500"/>
    <n v="0"/>
    <n v="0"/>
    <s v="AB"/>
  </r>
  <r>
    <x v="559"/>
    <n v="12.121312765743943"/>
    <n v="12.260959221269021"/>
    <n v="12.093382835388185"/>
    <n v="12.093382835388184"/>
    <n v="607800"/>
    <n v="0"/>
    <n v="0"/>
    <s v="AB"/>
  </r>
  <r>
    <x v="560"/>
    <n v="12.09338411545499"/>
    <n v="12.177171784555258"/>
    <n v="12.065455247560907"/>
    <n v="12.12131404876709"/>
    <n v="194700"/>
    <n v="0"/>
    <n v="0"/>
    <s v="AB"/>
  </r>
  <r>
    <x v="561"/>
    <n v="12.121314238788404"/>
    <n v="12.121314238788404"/>
    <n v="11.925808964210907"/>
    <n v="12.065455436706543"/>
    <n v="390700"/>
    <n v="0"/>
    <n v="0"/>
    <s v="AB"/>
  </r>
  <r>
    <x v="562"/>
    <n v="12.065456244919224"/>
    <n v="12.400608014442723"/>
    <n v="12.03752630929837"/>
    <n v="12.260961532592773"/>
    <n v="388400"/>
    <n v="0"/>
    <n v="0"/>
    <s v="AB"/>
  </r>
  <r>
    <x v="563"/>
    <n v="12.260961532592773"/>
    <n v="12.344749208619122"/>
    <n v="12.149243920945572"/>
    <n v="12.260961532592773"/>
    <n v="270700"/>
    <n v="0"/>
    <n v="0"/>
    <s v="AB"/>
  </r>
  <r>
    <x v="564"/>
    <n v="12.288889058430989"/>
    <n v="12.679899591002807"/>
    <n v="12.288889058430989"/>
    <n v="12.568181991577148"/>
    <n v="234500"/>
    <n v="0"/>
    <n v="0"/>
    <s v="AB"/>
  </r>
  <r>
    <x v="565"/>
    <n v="12.568181869403633"/>
    <n v="12.819545932958897"/>
    <n v="12.484394203357871"/>
    <n v="12.763687133789063"/>
    <n v="298100"/>
    <n v="0"/>
    <n v="0"/>
    <s v="AB"/>
  </r>
  <r>
    <x v="566"/>
    <n v="12.763689960806408"/>
    <n v="12.819548772348357"/>
    <n v="12.568184653118697"/>
    <n v="12.624043464660645"/>
    <n v="209600"/>
    <n v="0"/>
    <n v="0"/>
    <s v="AB"/>
  </r>
  <r>
    <x v="567"/>
    <n v="12.484395704923298"/>
    <n v="12.624042186934927"/>
    <n v="12.344749222911668"/>
    <n v="12.596112251281738"/>
    <n v="312100"/>
    <n v="0"/>
    <n v="0"/>
    <s v="AB"/>
  </r>
  <r>
    <x v="568"/>
    <n v="12.596114249575788"/>
    <n v="12.763690693825552"/>
    <n v="12.540256500244141"/>
    <n v="12.540256500244141"/>
    <n v="308100"/>
    <n v="0"/>
    <n v="0"/>
    <s v="AB"/>
  </r>
  <r>
    <x v="569"/>
    <n v="12.5123230702338"/>
    <n v="12.791616000664991"/>
    <n v="12.484394203357871"/>
    <n v="12.763687133789063"/>
    <n v="262400"/>
    <n v="0"/>
    <n v="0"/>
    <s v="AB"/>
  </r>
  <r>
    <x v="570"/>
    <n v="12.763686549216693"/>
    <n v="12.819545345828214"/>
    <n v="12.640796983587762"/>
    <n v="12.651968955993652"/>
    <n v="469400"/>
    <n v="0"/>
    <n v="0"/>
    <s v="AB"/>
  </r>
  <r>
    <x v="571"/>
    <n v="12.679899215698242"/>
    <n v="12.875403410779555"/>
    <n v="12.635212390334235"/>
    <n v="12.679899215698242"/>
    <n v="722900"/>
    <n v="0"/>
    <n v="0"/>
    <s v="AB"/>
  </r>
  <r>
    <x v="572"/>
    <n v="12.651973269735738"/>
    <n v="12.707832085392551"/>
    <n v="12.372680256869968"/>
    <n v="12.484397888183594"/>
    <n v="622200"/>
    <n v="0"/>
    <n v="0"/>
    <s v="AB"/>
  </r>
  <r>
    <x v="573"/>
    <n v="12.903335330487369"/>
    <n v="12.931264201111038"/>
    <n v="12.596112426536408"/>
    <n v="12.819547653198242"/>
    <n v="616400"/>
    <n v="0"/>
    <n v="0"/>
    <s v="AB"/>
  </r>
  <r>
    <x v="574"/>
    <n v="12.847476523821911"/>
    <n v="12.847476523821911"/>
    <n v="12.707830039867325"/>
    <n v="12.819547653198242"/>
    <n v="321200"/>
    <n v="0"/>
    <n v="0"/>
    <s v="AB"/>
  </r>
  <r>
    <x v="575"/>
    <n v="12.903339070418802"/>
    <n v="12.931267949137437"/>
    <n v="12.819551368844468"/>
    <n v="12.875409126281738"/>
    <n v="278000"/>
    <n v="0"/>
    <n v="0"/>
    <s v="AB"/>
  </r>
  <r>
    <x v="576"/>
    <n v="12.847480247563103"/>
    <n v="12.903339070418802"/>
    <n v="12.707833723133069"/>
    <n v="12.875409126281738"/>
    <n v="208400"/>
    <n v="0"/>
    <n v="0"/>
    <s v="AB"/>
  </r>
  <r>
    <x v="577"/>
    <n v="12.959193614378425"/>
    <n v="12.959193614378425"/>
    <n v="12.735758396729976"/>
    <n v="12.847476005554199"/>
    <n v="233400"/>
    <n v="0"/>
    <n v="0"/>
    <s v="AB"/>
  </r>
  <r>
    <x v="578"/>
    <n v="12.903339070418802"/>
    <n v="12.959197893274501"/>
    <n v="12.791621424707403"/>
    <n v="12.875409126281738"/>
    <n v="203700"/>
    <n v="0"/>
    <n v="0"/>
    <s v="AB"/>
  </r>
  <r>
    <x v="579"/>
    <n v="12.903336928004574"/>
    <n v="12.959195741585717"/>
    <n v="12.76369042676084"/>
    <n v="12.791619300842285"/>
    <n v="180800"/>
    <n v="0"/>
    <n v="0"/>
    <s v="AB"/>
  </r>
  <r>
    <x v="580"/>
    <n v="12.987124380174572"/>
    <n v="12.992710367973222"/>
    <n v="12.707831382751463"/>
    <n v="12.707831382751465"/>
    <n v="323100"/>
    <n v="0"/>
    <n v="0"/>
    <s v="AB"/>
  </r>
  <r>
    <x v="581"/>
    <n v="12.819548483239833"/>
    <n v="12.847477355671844"/>
    <n v="12.6519720523932"/>
    <n v="12.735759735107422"/>
    <n v="566300"/>
    <n v="0"/>
    <n v="0"/>
    <s v="AB"/>
  </r>
  <r>
    <x v="582"/>
    <n v="12.707831382751463"/>
    <n v="12.903336694031287"/>
    <n v="12.679902509176447"/>
    <n v="12.707831382751465"/>
    <n v="764800"/>
    <n v="0"/>
    <n v="0"/>
    <s v="AB"/>
  </r>
  <r>
    <x v="583"/>
    <n v="12.847477355671844"/>
    <n v="12.847477355671844"/>
    <n v="12.624043179961189"/>
    <n v="12.735759735107422"/>
    <n v="404300"/>
    <n v="0"/>
    <n v="0"/>
    <s v="AB"/>
  </r>
  <r>
    <x v="584"/>
    <n v="12.791619300842285"/>
    <n v="12.808377264542104"/>
    <n v="12.624043925517107"/>
    <n v="12.791619300842285"/>
    <n v="453700"/>
    <n v="0"/>
    <n v="0"/>
    <s v="AB"/>
  </r>
  <r>
    <x v="585"/>
    <n v="12.791618225217169"/>
    <n v="12.819548162368287"/>
    <n v="12.28889107609684"/>
    <n v="12.372678756713867"/>
    <n v="1349200"/>
    <n v="0"/>
    <n v="0"/>
    <s v="AB"/>
  </r>
  <r>
    <x v="586"/>
    <n v="12.400605865553926"/>
    <n v="12.406190786292187"/>
    <n v="12.009595357964654"/>
    <n v="12.037524223327637"/>
    <n v="1212800"/>
    <n v="0"/>
    <n v="0"/>
    <s v="AB"/>
  </r>
  <r>
    <x v="587"/>
    <n v="12.037530044726308"/>
    <n v="12.23303539306813"/>
    <n v="11.897883519541928"/>
    <n v="11.981672286987305"/>
    <n v="822400"/>
    <n v="0"/>
    <n v="0"/>
    <s v="AB"/>
  </r>
  <r>
    <x v="588"/>
    <n v="11.930292431556609"/>
    <n v="12.072999281428737"/>
    <n v="11.64487873181235"/>
    <n v="11.759044647216797"/>
    <n v="1080200"/>
    <n v="0.46"/>
    <n v="0"/>
    <s v="AB"/>
  </r>
  <r>
    <x v="589"/>
    <n v="11.816126361221034"/>
    <n v="12.015915058999909"/>
    <n v="11.730501389296665"/>
    <n v="11.930291175842285"/>
    <n v="486100"/>
    <n v="0"/>
    <n v="0"/>
    <s v="AB"/>
  </r>
  <r>
    <x v="590"/>
    <n v="11.958835434301536"/>
    <n v="11.987376371106917"/>
    <n v="11.8732104463515"/>
    <n v="11.901752471923828"/>
    <n v="281500"/>
    <n v="0"/>
    <n v="0"/>
    <s v="AB"/>
  </r>
  <r>
    <x v="591"/>
    <n v="11.930292928603603"/>
    <n v="12.072999784421269"/>
    <n v="11.901751992946831"/>
    <n v="12.01591682434082"/>
    <n v="558700"/>
    <n v="0"/>
    <n v="0"/>
    <s v="AB"/>
  </r>
  <r>
    <x v="592"/>
    <n v="11.987376371106917"/>
    <n v="12.015917307912297"/>
    <n v="11.844669509546119"/>
    <n v="11.901752471923828"/>
    <n v="823900"/>
    <n v="0"/>
    <n v="0"/>
    <s v="AB"/>
  </r>
  <r>
    <x v="593"/>
    <n v="11.873212335918574"/>
    <n v="12.130085163114915"/>
    <n v="11.873212335918574"/>
    <n v="12.044461250305176"/>
    <n v="737400"/>
    <n v="0"/>
    <n v="0"/>
    <s v="AB"/>
  </r>
  <r>
    <x v="594"/>
    <n v="12.13008291510693"/>
    <n v="12.158623851165121"/>
    <n v="11.930293096398845"/>
    <n v="12.072999954223633"/>
    <n v="481400"/>
    <n v="0"/>
    <n v="0"/>
    <s v="AB"/>
  </r>
  <r>
    <x v="595"/>
    <n v="12.072998224055011"/>
    <n v="12.215705061428633"/>
    <n v="12.01591527135221"/>
    <n v="12.130081176757813"/>
    <n v="685800"/>
    <n v="0"/>
    <n v="0"/>
    <s v="AB"/>
  </r>
  <r>
    <x v="596"/>
    <n v="12.187164129460614"/>
    <n v="12.187164129460614"/>
    <n v="12.044457292086994"/>
    <n v="12.130081176757813"/>
    <n v="363300"/>
    <n v="0"/>
    <n v="0"/>
    <s v="AB"/>
  </r>
  <r>
    <x v="597"/>
    <n v="12.101542136324065"/>
    <n v="12.187166034378347"/>
    <n v="11.901752315019449"/>
    <n v="11.98737621307373"/>
    <n v="622300"/>
    <n v="0"/>
    <n v="0"/>
    <s v="AB"/>
  </r>
  <r>
    <x v="598"/>
    <n v="11.98737621307373"/>
    <n v="12.015917149502847"/>
    <n v="11.759045455339999"/>
    <n v="11.98737621307373"/>
    <n v="537400"/>
    <n v="0"/>
    <n v="0"/>
    <s v="AB"/>
  </r>
  <r>
    <x v="599"/>
    <n v="12.044460462691561"/>
    <n v="12.073001402172746"/>
    <n v="11.93029452723272"/>
    <n v="11.958836555480957"/>
    <n v="677300"/>
    <n v="0"/>
    <n v="0"/>
    <s v="AB"/>
  </r>
  <r>
    <x v="600"/>
    <n v="11.901753587751536"/>
    <n v="12.061584590873451"/>
    <n v="11.844670620022116"/>
    <n v="11.958836555480957"/>
    <n v="1091400"/>
    <n v="0"/>
    <n v="0"/>
    <s v="AB"/>
  </r>
  <r>
    <x v="601"/>
    <n v="12.015919220190513"/>
    <n v="12.187168134577115"/>
    <n v="11.947420525449571"/>
    <n v="12.044461250305176"/>
    <n v="856200"/>
    <n v="0"/>
    <n v="0"/>
    <s v="AB"/>
  </r>
  <r>
    <x v="602"/>
    <n v="12.044460462691561"/>
    <n v="12.147209586851108"/>
    <n v="11.901753587751536"/>
    <n v="11.958836555480957"/>
    <n v="567600"/>
    <n v="0"/>
    <n v="0"/>
    <s v="AB"/>
  </r>
  <r>
    <x v="603"/>
    <n v="11.93029138668139"/>
    <n v="12.244247082163415"/>
    <n v="11.93029138668139"/>
    <n v="12.130081176757813"/>
    <n v="484700"/>
    <n v="0"/>
    <n v="0"/>
    <s v="AB"/>
  </r>
  <r>
    <x v="604"/>
    <n v="12.072998903466345"/>
    <n v="12.50111943967981"/>
    <n v="12.044457969892179"/>
    <n v="12.444036483764648"/>
    <n v="514500"/>
    <n v="0"/>
    <n v="0"/>
    <s v="AB"/>
  </r>
  <r>
    <x v="605"/>
    <n v="12.501123408664903"/>
    <n v="12.729454216051529"/>
    <n v="12.415499491990813"/>
    <n v="12.643830299377441"/>
    <n v="812500"/>
    <n v="0"/>
    <n v="0"/>
    <s v="AB"/>
  </r>
  <r>
    <x v="606"/>
    <n v="12.672368383116643"/>
    <n v="12.974906200370432"/>
    <n v="12.501119514348302"/>
    <n v="12.872157096862793"/>
    <n v="963900"/>
    <n v="0"/>
    <n v="0"/>
    <s v="AB"/>
  </r>
  <r>
    <x v="607"/>
    <n v="12.872157461613192"/>
    <n v="13.186113185534772"/>
    <n v="12.815075592506416"/>
    <n v="13.129030227661133"/>
    <n v="949200"/>
    <n v="0"/>
    <n v="0"/>
    <s v="AB"/>
  </r>
  <r>
    <x v="608"/>
    <n v="12.957785898263953"/>
    <n v="13.100492786620309"/>
    <n v="12.843619952072007"/>
    <n v="13.014867782592773"/>
    <n v="703900"/>
    <n v="0"/>
    <n v="0"/>
    <s v="AB"/>
  </r>
  <r>
    <x v="609"/>
    <n v="12.986323183768285"/>
    <n v="13.100489097813647"/>
    <n v="12.889282483459782"/>
    <n v="12.929240226745605"/>
    <n v="523600"/>
    <n v="0"/>
    <n v="0"/>
    <s v="AB"/>
  </r>
  <r>
    <x v="610"/>
    <n v="12.843620279333093"/>
    <n v="13.100493120426629"/>
    <n v="12.843620279333093"/>
    <n v="12.986327171325684"/>
    <n v="328300"/>
    <n v="0"/>
    <n v="0"/>
    <s v="AB"/>
  </r>
  <r>
    <x v="611"/>
    <n v="12.986326996188216"/>
    <n v="13.14615910502056"/>
    <n v="12.934952428662363"/>
    <n v="13.071950912475586"/>
    <n v="361500"/>
    <n v="0"/>
    <n v="0"/>
    <s v="AB"/>
  </r>
  <r>
    <x v="612"/>
    <n v="13.043406335234106"/>
    <n v="13.24319614340841"/>
    <n v="13.043406335234106"/>
    <n v="13.129030227661133"/>
    <n v="305300"/>
    <n v="0"/>
    <n v="0"/>
    <s v="AB"/>
  </r>
  <r>
    <x v="613"/>
    <n v="13.129029304750505"/>
    <n v="13.442983917835649"/>
    <n v="13.129029304750505"/>
    <n v="13.271736145019531"/>
    <n v="496100"/>
    <n v="0"/>
    <n v="0"/>
    <s v="AB"/>
  </r>
  <r>
    <x v="614"/>
    <n v="13.243197273965007"/>
    <n v="13.300279147944797"/>
    <n v="13.157572285461411"/>
    <n v="13.186114311218262"/>
    <n v="335500"/>
    <n v="0"/>
    <n v="0"/>
    <s v="AB"/>
  </r>
  <r>
    <x v="615"/>
    <n v="13.157570237297595"/>
    <n v="13.414442985288559"/>
    <n v="13.129029304750505"/>
    <n v="13.271736145019531"/>
    <n v="525200"/>
    <n v="0"/>
    <n v="0"/>
    <s v="AB"/>
  </r>
  <r>
    <x v="616"/>
    <n v="13.186115722042492"/>
    <n v="13.414446508692352"/>
    <n v="13.157573693231839"/>
    <n v="13.300280570983887"/>
    <n v="303600"/>
    <n v="0"/>
    <n v="0"/>
    <s v="AB"/>
  </r>
  <r>
    <x v="617"/>
    <n v="13.186114311218262"/>
    <n v="13.300279147944797"/>
    <n v="13.100490411481621"/>
    <n v="13.186114311218262"/>
    <n v="314600"/>
    <n v="0"/>
    <n v="0"/>
    <s v="AB"/>
  </r>
  <r>
    <x v="618"/>
    <n v="13.129032753188259"/>
    <n v="13.300280570983885"/>
    <n v="13.077658190096157"/>
    <n v="13.300280570983887"/>
    <n v="196100"/>
    <n v="0"/>
    <n v="0"/>
    <s v="AB"/>
  </r>
  <r>
    <x v="619"/>
    <n v="13.300277077566623"/>
    <n v="13.340235907406051"/>
    <n v="13.214653191158563"/>
    <n v="13.271736145019531"/>
    <n v="308500"/>
    <n v="0"/>
    <n v="0"/>
    <s v="AB"/>
  </r>
  <r>
    <x v="620"/>
    <n v="13.071949784334025"/>
    <n v="13.40302969716809"/>
    <n v="13.014866815479794"/>
    <n v="13.300280570983887"/>
    <n v="424200"/>
    <n v="0"/>
    <n v="0"/>
    <s v="AB"/>
  </r>
  <r>
    <x v="621"/>
    <n v="13.243198690896726"/>
    <n v="13.40302969716809"/>
    <n v="13.231781879372464"/>
    <n v="13.300280570983887"/>
    <n v="309700"/>
    <n v="0"/>
    <n v="0"/>
    <s v="AB"/>
  </r>
  <r>
    <x v="622"/>
    <n v="13.271739330682511"/>
    <n v="13.585694019127322"/>
    <n v="13.271739330682511"/>
    <n v="13.385905265808105"/>
    <n v="321000"/>
    <n v="0"/>
    <n v="0"/>
    <s v="AB"/>
  </r>
  <r>
    <x v="623"/>
    <n v="13.385904938375461"/>
    <n v="13.55715274810791"/>
    <n v="13.328821972208971"/>
    <n v="13.414445877075195"/>
    <n v="234500"/>
    <n v="0"/>
    <n v="0"/>
    <s v="AB"/>
  </r>
  <r>
    <x v="624"/>
    <n v="13.500069946004594"/>
    <n v="13.671318846585212"/>
    <n v="13.414446040097802"/>
    <n v="13.471529006958008"/>
    <n v="324000"/>
    <n v="0"/>
    <n v="0"/>
    <s v="AB"/>
  </r>
  <r>
    <x v="625"/>
    <n v="13.442983917835649"/>
    <n v="13.56285822982036"/>
    <n v="13.271736145019531"/>
    <n v="13.271736145019531"/>
    <n v="269600"/>
    <n v="0"/>
    <n v="0"/>
    <s v="AB"/>
  </r>
  <r>
    <x v="626"/>
    <n v="13.271738219467617"/>
    <n v="13.431570297507632"/>
    <n v="13.231780472149351"/>
    <n v="13.328821182250977"/>
    <n v="254200"/>
    <n v="0"/>
    <n v="0"/>
    <s v="AB"/>
  </r>
  <r>
    <x v="627"/>
    <n v="13.328822599794538"/>
    <n v="13.442987448735932"/>
    <n v="13.271739630940306"/>
    <n v="13.300280570983887"/>
    <n v="240900"/>
    <n v="0"/>
    <n v="0"/>
    <s v="AB"/>
  </r>
  <r>
    <x v="628"/>
    <n v="13.271737907550609"/>
    <n v="13.642775523771755"/>
    <n v="13.271737907550609"/>
    <n v="13.500068664550781"/>
    <n v="231600"/>
    <n v="0"/>
    <n v="0"/>
    <s v="AB"/>
  </r>
  <r>
    <x v="629"/>
    <n v="13.471528518560561"/>
    <n v="13.699859288956436"/>
    <n v="13.471528518560561"/>
    <n v="13.585693359375"/>
    <n v="246300"/>
    <n v="0"/>
    <n v="0"/>
    <s v="AB"/>
  </r>
  <r>
    <x v="630"/>
    <n v="13.557151625992557"/>
    <n v="13.671317548876109"/>
    <n v="13.471527728213358"/>
    <n v="13.500068664550781"/>
    <n v="175700"/>
    <n v="0"/>
    <n v="0"/>
    <s v="AB"/>
  </r>
  <r>
    <x v="631"/>
    <n v="13.414444598688165"/>
    <n v="13.528610520141216"/>
    <n v="13.414444598688165"/>
    <n v="13.442985534667969"/>
    <n v="150300"/>
    <n v="0"/>
    <n v="0"/>
    <s v="AB"/>
  </r>
  <r>
    <x v="632"/>
    <n v="13.442989623153608"/>
    <n v="13.785486402911147"/>
    <n v="13.4144486784935"/>
    <n v="13.699862480163574"/>
    <n v="308100"/>
    <n v="0"/>
    <n v="0"/>
    <s v="AB"/>
  </r>
  <r>
    <x v="633"/>
    <n v="13.642776327583684"/>
    <n v="13.871107098036765"/>
    <n v="13.625652200279076"/>
    <n v="13.728400230407715"/>
    <n v="314400"/>
    <n v="0"/>
    <n v="0"/>
    <s v="AB"/>
  </r>
  <r>
    <x v="634"/>
    <n v="13.728403424823682"/>
    <n v="13.842569380998611"/>
    <n v="13.585696523988645"/>
    <n v="13.699862480163574"/>
    <n v="212100"/>
    <n v="0"/>
    <n v="0"/>
    <s v="AB"/>
  </r>
  <r>
    <x v="635"/>
    <n v="13.728399612031428"/>
    <n v="13.985272397700044"/>
    <n v="13.728399612031428"/>
    <n v="13.842565536499023"/>
    <n v="243600"/>
    <n v="0"/>
    <n v="0"/>
    <s v="AB"/>
  </r>
  <r>
    <x v="636"/>
    <n v="13.842567108762383"/>
    <n v="14.042356954889687"/>
    <n v="13.831150297265491"/>
    <n v="14.013814926147461"/>
    <n v="212800"/>
    <n v="0"/>
    <n v="0"/>
    <s v="AB"/>
  </r>
  <r>
    <x v="637"/>
    <n v="13.956729567322103"/>
    <n v="14.070894387532906"/>
    <n v="13.956729567322103"/>
    <n v="13.985270500183105"/>
    <n v="202100"/>
    <n v="0"/>
    <n v="0"/>
    <s v="AB"/>
  </r>
  <r>
    <x v="638"/>
    <n v="13.871105556203565"/>
    <n v="14.213602218196701"/>
    <n v="13.871105556203565"/>
    <n v="14.127978324890137"/>
    <n v="280600"/>
    <n v="0"/>
    <n v="0"/>
    <s v="AB"/>
  </r>
  <r>
    <x v="639"/>
    <n v="13.985272250614935"/>
    <n v="14.156520046748344"/>
    <n v="13.928189288981487"/>
    <n v="14.070896148681641"/>
    <n v="179900"/>
    <n v="0"/>
    <n v="0"/>
    <s v="AB"/>
  </r>
  <r>
    <x v="640"/>
    <n v="14.070891882379545"/>
    <n v="14.213598698810914"/>
    <n v="13.985268010274046"/>
    <n v="14.099433898925781"/>
    <n v="176600"/>
    <n v="0"/>
    <n v="0"/>
    <s v="AB"/>
  </r>
  <r>
    <x v="641"/>
    <n v="13.985272250614935"/>
    <n v="14.202186198301716"/>
    <n v="13.985272250614935"/>
    <n v="14.070896148681641"/>
    <n v="196000"/>
    <n v="0"/>
    <n v="0"/>
    <s v="AB"/>
  </r>
  <r>
    <x v="642"/>
    <n v="14.04235443158357"/>
    <n v="14.185061283350137"/>
    <n v="14.04235443158357"/>
    <n v="14.127978324890137"/>
    <n v="125900"/>
    <n v="0"/>
    <n v="0"/>
    <s v="AB"/>
  </r>
  <r>
    <x v="643"/>
    <n v="14.070895366430134"/>
    <n v="14.185061283350137"/>
    <n v="14.04235443158357"/>
    <n v="14.127978324890137"/>
    <n v="232500"/>
    <n v="0"/>
    <n v="0"/>
    <s v="AB"/>
  </r>
  <r>
    <x v="644"/>
    <n v="14.127974751415865"/>
    <n v="14.356305438735932"/>
    <n v="14.099433823788331"/>
    <n v="14.327764511108398"/>
    <n v="260700"/>
    <n v="0"/>
    <n v="0"/>
    <s v="AB"/>
  </r>
  <r>
    <x v="645"/>
    <n v="14.270686938897665"/>
    <n v="14.441934746657633"/>
    <n v="14.185063035017681"/>
    <n v="14.213603973388672"/>
    <n v="309100"/>
    <n v="0"/>
    <n v="0"/>
    <s v="AB"/>
  </r>
  <r>
    <x v="646"/>
    <n v="14.299230575561523"/>
    <n v="14.927141137114379"/>
    <n v="14.242148688048077"/>
    <n v="14.299230575561523"/>
    <n v="331600"/>
    <n v="0"/>
    <n v="0"/>
    <s v="AB"/>
  </r>
  <r>
    <x v="647"/>
    <n v="13.785482574265226"/>
    <n v="14.01381333443347"/>
    <n v="13.500068851863183"/>
    <n v="13.842565536499023"/>
    <n v="536300"/>
    <n v="0"/>
    <n v="0"/>
    <s v="AB"/>
  </r>
  <r>
    <x v="648"/>
    <n v="13.842564621357001"/>
    <n v="14.156519259736699"/>
    <n v="13.814023686510438"/>
    <n v="14.127978324890137"/>
    <n v="279400"/>
    <n v="0"/>
    <n v="0"/>
    <s v="AB"/>
  </r>
  <r>
    <x v="649"/>
    <n v="14.127977718957883"/>
    <n v="14.270684564603922"/>
    <n v="14.042353829323625"/>
    <n v="14.242143630981445"/>
    <n v="265100"/>
    <n v="0"/>
    <n v="0"/>
    <s v="AB"/>
  </r>
  <r>
    <x v="650"/>
    <n v="14.185059047924089"/>
    <n v="14.242141997388378"/>
    <n v="14.042352218646718"/>
    <n v="14.156517028808594"/>
    <n v="267500"/>
    <n v="0"/>
    <n v="0"/>
    <s v="AB"/>
  </r>
  <r>
    <x v="651"/>
    <n v="14.034228885621634"/>
    <n v="14.296278131997795"/>
    <n v="14.00511156221607"/>
    <n v="14.150694847106934"/>
    <n v="341600"/>
    <n v="0.49"/>
    <n v="0"/>
    <s v="AB"/>
  </r>
  <r>
    <x v="652"/>
    <n v="14.150694847106932"/>
    <n v="14.238045706611304"/>
    <n v="14.080815492358216"/>
    <n v="14.150694847106934"/>
    <n v="215300"/>
    <n v="0"/>
    <n v="0"/>
    <s v="AB"/>
  </r>
  <r>
    <x v="653"/>
    <n v="14.092465767100119"/>
    <n v="14.412748625606339"/>
    <n v="14.063348436782457"/>
    <n v="14.354515075683594"/>
    <n v="324800"/>
    <n v="0"/>
    <n v="0"/>
    <s v="AB"/>
  </r>
  <r>
    <x v="654"/>
    <n v="14.3545096186179"/>
    <n v="14.470976674186822"/>
    <n v="14.3020995546831"/>
    <n v="14.383626937866211"/>
    <n v="298800"/>
    <n v="0"/>
    <n v="0"/>
    <s v="AB"/>
  </r>
  <r>
    <x v="655"/>
    <n v="14.267162600769961"/>
    <n v="14.441862106698521"/>
    <n v="14.17981284780568"/>
    <n v="14.208929061889648"/>
    <n v="214300"/>
    <n v="0"/>
    <n v="0"/>
    <s v="AB"/>
  </r>
  <r>
    <x v="656"/>
    <n v="14.238047937507899"/>
    <n v="14.238047937507899"/>
    <n v="13.626597378733408"/>
    <n v="13.859530448913574"/>
    <n v="433000"/>
    <n v="0"/>
    <n v="0"/>
    <s v="AB"/>
  </r>
  <r>
    <x v="657"/>
    <n v="13.684829571372584"/>
    <n v="13.975996157997532"/>
    <n v="13.481012738592645"/>
    <n v="13.830412864685059"/>
    <n v="253100"/>
    <n v="0"/>
    <n v="0"/>
    <s v="AB"/>
  </r>
  <r>
    <x v="658"/>
    <n v="13.917762478574181"/>
    <n v="14.121579309304556"/>
    <n v="13.830412725607555"/>
    <n v="13.975996017456055"/>
    <n v="194100"/>
    <n v="0"/>
    <n v="0"/>
    <s v="AB"/>
  </r>
  <r>
    <x v="659"/>
    <n v="13.975997797232289"/>
    <n v="14.022584412127896"/>
    <n v="13.859530704637015"/>
    <n v="13.88864803314209"/>
    <n v="202100"/>
    <n v="0"/>
    <n v="0"/>
    <s v="AB"/>
  </r>
  <r>
    <x v="660"/>
    <n v="13.859529901833326"/>
    <n v="13.9468807715763"/>
    <n v="13.713946599878303"/>
    <n v="13.743063926696777"/>
    <n v="158900"/>
    <n v="0"/>
    <n v="0"/>
    <s v="AB"/>
  </r>
  <r>
    <x v="661"/>
    <n v="13.655716821785864"/>
    <n v="13.71394926531595"/>
    <n v="13.451899937292573"/>
    <n v="13.481016159057617"/>
    <n v="149400"/>
    <n v="0"/>
    <n v="0"/>
    <s v="AB"/>
  </r>
  <r>
    <x v="662"/>
    <n v="13.393663127392804"/>
    <n v="13.597479962343433"/>
    <n v="13.131612752354508"/>
    <n v="13.451896667480469"/>
    <n v="256600"/>
    <n v="0"/>
    <n v="0"/>
    <s v="AB"/>
  </r>
  <r>
    <x v="663"/>
    <n v="13.422781084657061"/>
    <n v="13.818767875806234"/>
    <n v="13.422781084657061"/>
    <n v="13.597481727600098"/>
    <n v="285900"/>
    <n v="0"/>
    <n v="0"/>
    <s v="AB"/>
  </r>
  <r>
    <x v="664"/>
    <n v="13.510130865711227"/>
    <n v="13.801297469621275"/>
    <n v="13.510130865711227"/>
    <n v="13.743063926696777"/>
    <n v="242400"/>
    <n v="0"/>
    <n v="0"/>
    <s v="AB"/>
  </r>
  <r>
    <x v="665"/>
    <n v="13.539246827686311"/>
    <n v="13.830413426131178"/>
    <n v="13.539246827686311"/>
    <n v="13.713946342468262"/>
    <n v="226200"/>
    <n v="0"/>
    <n v="0"/>
    <s v="AB"/>
  </r>
  <r>
    <x v="666"/>
    <n v="13.772180581217981"/>
    <n v="13.772180581217981"/>
    <n v="13.539247512817383"/>
    <n v="13.539247512817383"/>
    <n v="149400"/>
    <n v="0"/>
    <n v="0"/>
    <s v="AB"/>
  </r>
  <r>
    <x v="667"/>
    <n v="13.568364398419989"/>
    <n v="13.830414807478277"/>
    <n v="13.53924817995242"/>
    <n v="13.597481727600098"/>
    <n v="184400"/>
    <n v="0"/>
    <n v="0"/>
    <s v="AB"/>
  </r>
  <r>
    <x v="668"/>
    <n v="13.597477649120865"/>
    <n v="13.684827389036101"/>
    <n v="13.510127909205629"/>
    <n v="13.568360328674316"/>
    <n v="153200"/>
    <n v="0"/>
    <n v="0"/>
    <s v="AB"/>
  </r>
  <r>
    <x v="669"/>
    <n v="13.39366474172445"/>
    <n v="13.626597819438022"/>
    <n v="13.39366474172445"/>
    <n v="13.5101318359375"/>
    <n v="157700"/>
    <n v="0"/>
    <n v="0"/>
    <s v="AB"/>
  </r>
  <r>
    <x v="670"/>
    <n v="13.451897751006218"/>
    <n v="13.626597274628546"/>
    <n v="13.335430661449678"/>
    <n v="13.539247512817383"/>
    <n v="124700"/>
    <n v="0"/>
    <n v="0"/>
    <s v="AB"/>
  </r>
  <r>
    <x v="671"/>
    <n v="13.539249786938184"/>
    <n v="13.743066672540001"/>
    <n v="13.539249786938184"/>
    <n v="13.655716896057129"/>
    <n v="149100"/>
    <n v="0"/>
    <n v="0"/>
    <s v="AB"/>
  </r>
  <r>
    <x v="672"/>
    <n v="13.597480624741753"/>
    <n v="13.830413685727301"/>
    <n v="13.568363297923279"/>
    <n v="13.743063926696777"/>
    <n v="174200"/>
    <n v="0"/>
    <n v="0"/>
    <s v="AB"/>
  </r>
  <r>
    <x v="673"/>
    <n v="13.597481727600099"/>
    <n v="13.743065041363028"/>
    <n v="13.48101463230474"/>
    <n v="13.597481727600098"/>
    <n v="245500"/>
    <n v="0"/>
    <n v="0"/>
    <s v="AB"/>
  </r>
  <r>
    <x v="674"/>
    <n v="13.626596840847778"/>
    <n v="13.772180142802801"/>
    <n v="13.498483934983838"/>
    <n v="13.743063926696777"/>
    <n v="264600"/>
    <n v="0"/>
    <n v="0"/>
    <s v="AB"/>
  </r>
  <r>
    <x v="675"/>
    <n v="13.71394771218292"/>
    <n v="13.772181259830598"/>
    <n v="13.545071645788441"/>
    <n v="13.597481727600098"/>
    <n v="155100"/>
    <n v="0"/>
    <n v="0"/>
    <s v="AB"/>
  </r>
  <r>
    <x v="676"/>
    <n v="13.539248589397472"/>
    <n v="13.801299006380516"/>
    <n v="13.539248589397472"/>
    <n v="13.626598358154297"/>
    <n v="156100"/>
    <n v="0"/>
    <n v="0"/>
    <s v="AB"/>
  </r>
  <r>
    <x v="677"/>
    <n v="13.684830383772278"/>
    <n v="13.882823763288107"/>
    <n v="13.684830383772278"/>
    <n v="13.743063926696777"/>
    <n v="232300"/>
    <n v="0"/>
    <n v="0"/>
    <s v="AB"/>
  </r>
  <r>
    <x v="678"/>
    <n v="13.772180813243564"/>
    <n v="13.888647904762273"/>
    <n v="13.713947267484208"/>
    <n v="13.801298141479492"/>
    <n v="182200"/>
    <n v="0"/>
    <n v="0"/>
    <s v="AB"/>
  </r>
  <r>
    <x v="679"/>
    <n v="13.801296511522803"/>
    <n v="14.005112231540808"/>
    <n v="13.801296511522803"/>
    <n v="13.975996017456055"/>
    <n v="246700"/>
    <n v="0"/>
    <n v="0"/>
    <s v="AB"/>
  </r>
  <r>
    <x v="680"/>
    <n v="13.888646541681798"/>
    <n v="14.034229836435879"/>
    <n v="13.859529216303546"/>
    <n v="13.917762756347656"/>
    <n v="184700"/>
    <n v="0"/>
    <n v="0"/>
    <s v="AB"/>
  </r>
  <r>
    <x v="681"/>
    <n v="13.859528393327983"/>
    <n v="14.121578752609796"/>
    <n v="13.859528393327983"/>
    <n v="14.092462539672852"/>
    <n v="311600"/>
    <n v="0"/>
    <n v="0"/>
    <s v="AB"/>
  </r>
  <r>
    <x v="682"/>
    <n v="14.092464295543937"/>
    <n v="14.267163816357202"/>
    <n v="14.06334696826675"/>
    <n v="14.23804759979248"/>
    <n v="174500"/>
    <n v="0"/>
    <n v="0"/>
    <s v="AB"/>
  </r>
  <r>
    <x v="683"/>
    <n v="14.17981284780568"/>
    <n v="14.296278814853929"/>
    <n v="14.121579308925369"/>
    <n v="14.208929061889648"/>
    <n v="244700"/>
    <n v="0"/>
    <n v="0"/>
    <s v="AB"/>
  </r>
  <r>
    <x v="684"/>
    <n v="14.15069920658755"/>
    <n v="14.296282536329038"/>
    <n v="13.975999655182829"/>
    <n v="14.121582984924316"/>
    <n v="212400"/>
    <n v="0"/>
    <n v="0"/>
    <s v="AB"/>
  </r>
  <r>
    <x v="685"/>
    <n v="14.063349197028021"/>
    <n v="14.092466528919728"/>
    <n v="13.888649648528352"/>
    <n v="13.946883201599121"/>
    <n v="127700"/>
    <n v="0"/>
    <n v="0"/>
    <s v="AB"/>
  </r>
  <r>
    <x v="686"/>
    <n v="13.859528669484593"/>
    <n v="14.34286514456991"/>
    <n v="13.859528669484593"/>
    <n v="14.267162322998047"/>
    <n v="187000"/>
    <n v="0"/>
    <n v="0"/>
    <s v="AB"/>
  </r>
  <r>
    <x v="687"/>
    <n v="14.150696728673381"/>
    <n v="14.325397360199112"/>
    <n v="14.092464295543937"/>
    <n v="14.23804759979248"/>
    <n v="246100"/>
    <n v="0"/>
    <n v="0"/>
    <s v="AB"/>
  </r>
  <r>
    <x v="688"/>
    <n v="14.238045706611304"/>
    <n v="14.342864738734379"/>
    <n v="14.121578634413687"/>
    <n v="14.150694847106934"/>
    <n v="184900"/>
    <n v="0"/>
    <n v="0"/>
    <s v="AB"/>
  </r>
  <r>
    <x v="689"/>
    <n v="14.179814055950569"/>
    <n v="14.325397360199112"/>
    <n v="14.150696728673381"/>
    <n v="14.23804759979248"/>
    <n v="384500"/>
    <n v="0"/>
    <n v="0"/>
    <s v="AB"/>
  </r>
  <r>
    <x v="690"/>
    <n v="14.179813385009764"/>
    <n v="14.267163141283302"/>
    <n v="14.150696059110309"/>
    <n v="14.179813385009766"/>
    <n v="152800"/>
    <n v="0"/>
    <n v="0"/>
    <s v="AB"/>
  </r>
  <r>
    <x v="691"/>
    <n v="14.179812170512495"/>
    <n v="14.238045706611304"/>
    <n v="14.092462421720441"/>
    <n v="14.150694847106934"/>
    <n v="166600"/>
    <n v="0"/>
    <n v="0"/>
    <s v="AB"/>
  </r>
  <r>
    <x v="692"/>
    <n v="14.208931677677205"/>
    <n v="14.208931677677205"/>
    <n v="14.005114809430719"/>
    <n v="14.034232139587402"/>
    <n v="204800"/>
    <n v="0"/>
    <n v="0"/>
    <s v="AB"/>
  </r>
  <r>
    <x v="693"/>
    <n v="14.034229282724223"/>
    <n v="14.325395860744592"/>
    <n v="14.005111958494776"/>
    <n v="14.267162322998047"/>
    <n v="250700"/>
    <n v="0"/>
    <n v="0"/>
    <s v="AB"/>
  </r>
  <r>
    <x v="694"/>
    <n v="14.238049086550687"/>
    <n v="14.412748625606339"/>
    <n v="14.208931756233024"/>
    <n v="14.354515075683594"/>
    <n v="184300"/>
    <n v="0"/>
    <n v="0"/>
    <s v="AB"/>
  </r>
  <r>
    <x v="695"/>
    <n v="14.383626937866209"/>
    <n v="14.500092882722974"/>
    <n v="14.267159882297287"/>
    <n v="14.383626937866211"/>
    <n v="169400"/>
    <n v="0"/>
    <n v="0"/>
    <s v="AB"/>
  </r>
  <r>
    <x v="696"/>
    <n v="14.383630214274904"/>
    <n v="14.558329726710465"/>
    <n v="14.296279347344711"/>
    <n v="14.412746429443359"/>
    <n v="127000"/>
    <n v="0"/>
    <n v="0"/>
    <s v="AB"/>
  </r>
  <r>
    <x v="697"/>
    <n v="14.383632240660468"/>
    <n v="14.529215558437548"/>
    <n v="14.383632240660468"/>
    <n v="14.50009822845459"/>
    <n v="96400"/>
    <n v="0"/>
    <n v="0"/>
    <s v="AB"/>
  </r>
  <r>
    <x v="698"/>
    <n v="14.529215145498663"/>
    <n v="14.67479845913808"/>
    <n v="14.470981597900391"/>
    <n v="14.470981597900391"/>
    <n v="136400"/>
    <n v="0"/>
    <n v="0"/>
    <s v="AB"/>
  </r>
  <r>
    <x v="699"/>
    <n v="14.470975931812081"/>
    <n v="14.820375969882139"/>
    <n v="14.470975931812081"/>
    <n v="14.703908920288086"/>
    <n v="198300"/>
    <n v="0"/>
    <n v="0"/>
    <s v="AB"/>
  </r>
  <r>
    <x v="700"/>
    <n v="14.587445241693727"/>
    <n v="14.849495608481282"/>
    <n v="14.587445241693727"/>
    <n v="14.674796104431152"/>
    <n v="229000"/>
    <n v="0"/>
    <n v="0"/>
    <s v="AB"/>
  </r>
  <r>
    <x v="701"/>
    <n v="14.558328628540041"/>
    <n v="14.74467505727138"/>
    <n v="14.500095091883415"/>
    <n v="14.558328628540039"/>
    <n v="96800"/>
    <n v="0"/>
    <n v="0"/>
    <s v="AB"/>
  </r>
  <r>
    <x v="702"/>
    <n v="14.500095091883415"/>
    <n v="14.645678378168816"/>
    <n v="14.500095091883415"/>
    <n v="14.558328628540039"/>
    <n v="107800"/>
    <n v="0"/>
    <n v="0"/>
    <s v="AB"/>
  </r>
  <r>
    <x v="703"/>
    <n v="14.558328628540041"/>
    <n v="14.645678378168816"/>
    <n v="14.441861555226788"/>
    <n v="14.558328628540039"/>
    <n v="150700"/>
    <n v="0"/>
    <n v="0"/>
    <s v="AB"/>
  </r>
  <r>
    <x v="704"/>
    <n v="14.616562566176988"/>
    <n v="14.733028531972955"/>
    <n v="14.500095489668663"/>
    <n v="14.674796104431152"/>
    <n v="238600"/>
    <n v="0"/>
    <n v="0"/>
    <s v="AB"/>
  </r>
  <r>
    <x v="705"/>
    <n v="14.645677146497658"/>
    <n v="14.674794467733427"/>
    <n v="14.470977661931974"/>
    <n v="14.616560935974121"/>
    <n v="128200"/>
    <n v="0"/>
    <n v="0"/>
    <s v="AB"/>
  </r>
  <r>
    <x v="706"/>
    <n v="14.674799087336293"/>
    <n v="14.820382407207834"/>
    <n v="14.61656553724516"/>
    <n v="14.762148857116699"/>
    <n v="283200"/>
    <n v="0"/>
    <n v="0"/>
    <s v="AB"/>
  </r>
  <r>
    <x v="707"/>
    <n v="14.762145856456216"/>
    <n v="14.820379394710381"/>
    <n v="14.616562566176988"/>
    <n v="14.674796104431152"/>
    <n v="160000"/>
    <n v="0"/>
    <n v="0"/>
    <s v="AB"/>
  </r>
  <r>
    <x v="708"/>
    <n v="14.762150580370177"/>
    <n v="14.96596747412533"/>
    <n v="14.674800800393029"/>
    <n v="14.907733917236328"/>
    <n v="281200"/>
    <n v="0"/>
    <n v="0"/>
    <s v="AB"/>
  </r>
  <r>
    <x v="709"/>
    <n v="14.9077302357954"/>
    <n v="15.0241962100996"/>
    <n v="14.738853073592518"/>
    <n v="14.99507999420166"/>
    <n v="238600"/>
    <n v="0"/>
    <n v="0"/>
    <s v="AB"/>
  </r>
  <r>
    <x v="710"/>
    <n v="15.257129811911073"/>
    <n v="15.257129811911073"/>
    <n v="14.965963220925842"/>
    <n v="15.111546516418457"/>
    <n v="332900"/>
    <n v="0"/>
    <n v="0"/>
    <s v="AB"/>
  </r>
  <r>
    <x v="711"/>
    <n v="15.257130498051906"/>
    <n v="15.490063559173032"/>
    <n v="15.140663412135117"/>
    <n v="15.315362930297852"/>
    <n v="375100"/>
    <n v="0"/>
    <n v="0"/>
    <s v="AB"/>
  </r>
  <r>
    <x v="712"/>
    <n v="15.315361418111628"/>
    <n v="15.519178242985609"/>
    <n v="15.169778130446261"/>
    <n v="15.198895454406738"/>
    <n v="492900"/>
    <n v="0"/>
    <n v="0"/>
    <s v="AB"/>
  </r>
  <r>
    <x v="713"/>
    <n v="15.169779227437095"/>
    <n v="15.198896553503168"/>
    <n v="14.99507971389033"/>
    <n v="15.053313255310059"/>
    <n v="267300"/>
    <n v="0"/>
    <n v="0"/>
    <s v="AB"/>
  </r>
  <r>
    <x v="714"/>
    <n v="15.082427978515623"/>
    <n v="15.140661514174141"/>
    <n v="14.936844694725488"/>
    <n v="15.082427978515625"/>
    <n v="135300"/>
    <n v="0"/>
    <n v="0"/>
    <s v="AB"/>
  </r>
  <r>
    <x v="715"/>
    <n v="15.111546394694477"/>
    <n v="15.315362118172477"/>
    <n v="15.111546394694477"/>
    <n v="15.169778823852539"/>
    <n v="235100"/>
    <n v="0"/>
    <n v="0"/>
    <s v="AB"/>
  </r>
  <r>
    <x v="716"/>
    <n v="15.23511791229248"/>
    <n v="15.383608342495901"/>
    <n v="15.146023880748844"/>
    <n v="15.23511791229248"/>
    <n v="159400"/>
    <n v="0.51"/>
    <n v="0"/>
    <s v="AB"/>
  </r>
  <r>
    <x v="717"/>
    <n v="15.235115113675375"/>
    <n v="15.264813873995786"/>
    <n v="15.027228322999973"/>
    <n v="15.116323471069336"/>
    <n v="132500"/>
    <n v="0"/>
    <n v="0"/>
    <s v="AB"/>
  </r>
  <r>
    <x v="718"/>
    <n v="15.086624445357666"/>
    <n v="15.116323205155641"/>
    <n v="14.759946017822877"/>
    <n v="14.849040031433105"/>
    <n v="230500"/>
    <n v="0"/>
    <n v="0"/>
    <s v="AB"/>
  </r>
  <r>
    <x v="719"/>
    <n v="14.819345869097116"/>
    <n v="14.854983256294394"/>
    <n v="14.284779396677363"/>
    <n v="14.789647102355957"/>
    <n v="404800"/>
    <n v="0"/>
    <n v="0"/>
    <s v="AB"/>
  </r>
  <r>
    <x v="720"/>
    <n v="14.700549870169542"/>
    <n v="14.759946257839511"/>
    <n v="14.552059467440557"/>
    <n v="14.730247497558594"/>
    <n v="206400"/>
    <n v="0"/>
    <n v="0"/>
    <s v="AB"/>
  </r>
  <r>
    <x v="721"/>
    <n v="14.819343146534127"/>
    <n v="14.967833554283398"/>
    <n v="14.670852738784854"/>
    <n v="14.878738403320313"/>
    <n v="154300"/>
    <n v="0"/>
    <n v="0"/>
    <s v="AB"/>
  </r>
  <r>
    <x v="722"/>
    <n v="14.849040484187578"/>
    <n v="14.849040484187578"/>
    <n v="14.670852451534081"/>
    <n v="14.700550079345703"/>
    <n v="112600"/>
    <n v="0"/>
    <n v="0"/>
    <s v="AB"/>
  </r>
  <r>
    <x v="723"/>
    <n v="14.700549870169542"/>
    <n v="14.819342645509478"/>
    <n v="14.700549870169542"/>
    <n v="14.730247497558594"/>
    <n v="186300"/>
    <n v="0"/>
    <n v="0"/>
    <s v="AB"/>
  </r>
  <r>
    <x v="724"/>
    <n v="14.700549395862476"/>
    <n v="14.997530191738486"/>
    <n v="14.61145538367804"/>
    <n v="14.967832565307617"/>
    <n v="310600"/>
    <n v="0"/>
    <n v="0"/>
    <s v="AB"/>
  </r>
  <r>
    <x v="725"/>
    <n v="15.027229797348637"/>
    <n v="15.324210632338863"/>
    <n v="14.938135773429966"/>
    <n v="15.17572021484375"/>
    <n v="265500"/>
    <n v="0"/>
    <n v="0"/>
    <s v="AB"/>
  </r>
  <r>
    <x v="726"/>
    <n v="15.205417877738578"/>
    <n v="15.264814267016801"/>
    <n v="15.086625099182129"/>
    <n v="15.086625099182129"/>
    <n v="136300"/>
    <n v="0"/>
    <n v="0"/>
    <s v="AB"/>
  </r>
  <r>
    <x v="727"/>
    <n v="15.11632624786499"/>
    <n v="15.294514310952264"/>
    <n v="15.056929849205208"/>
    <n v="15.23511791229248"/>
    <n v="171400"/>
    <n v="0"/>
    <n v="0"/>
    <s v="AB"/>
  </r>
  <r>
    <x v="728"/>
    <n v="15.353910709612046"/>
    <n v="15.41330710827183"/>
    <n v="15.146023880748844"/>
    <n v="15.23511791229248"/>
    <n v="173100"/>
    <n v="0"/>
    <n v="0"/>
    <s v="AB"/>
  </r>
  <r>
    <x v="729"/>
    <n v="15.264815585447508"/>
    <n v="15.324210846963837"/>
    <n v="15.116325165872695"/>
    <n v="15.146022796630859"/>
    <n v="145800"/>
    <n v="0"/>
    <n v="0"/>
    <s v="AB"/>
  </r>
  <r>
    <x v="730"/>
    <n v="15.175720684850351"/>
    <n v="15.235117080266354"/>
    <n v="14.967835000232357"/>
    <n v="15.027230262756348"/>
    <n v="63900"/>
    <n v="0"/>
    <n v="0"/>
    <s v="AB"/>
  </r>
  <r>
    <x v="731"/>
    <n v="15.056926577492053"/>
    <n v="15.264813361183627"/>
    <n v="14.261017953913001"/>
    <n v="14.967832565307617"/>
    <n v="458100"/>
    <n v="0"/>
    <n v="0"/>
    <s v="AB"/>
  </r>
  <r>
    <x v="732"/>
    <n v="14.967834746297882"/>
    <n v="15.175720427389024"/>
    <n v="14.849041957481235"/>
    <n v="15.146022796630859"/>
    <n v="235700"/>
    <n v="0"/>
    <n v="0"/>
    <s v="AB"/>
  </r>
  <r>
    <x v="733"/>
    <n v="15.116326739156039"/>
    <n v="15.264817174185501"/>
    <n v="14.730250701765749"/>
    <n v="14.789647102355957"/>
    <n v="327500"/>
    <n v="0"/>
    <n v="0"/>
    <s v="AB"/>
  </r>
  <r>
    <x v="734"/>
    <n v="14.849040031433105"/>
    <n v="14.938134045043334"/>
    <n v="14.724308638957154"/>
    <n v="14.849040031433105"/>
    <n v="234000"/>
    <n v="0"/>
    <n v="0"/>
    <s v="AB"/>
  </r>
  <r>
    <x v="735"/>
    <n v="14.849043719883944"/>
    <n v="14.908440121341906"/>
    <n v="14.462968809745387"/>
    <n v="14.759949684143066"/>
    <n v="239000"/>
    <n v="0"/>
    <n v="0"/>
    <s v="AB"/>
  </r>
  <r>
    <x v="736"/>
    <n v="14.878739840662343"/>
    <n v="15.086626658172351"/>
    <n v="14.878739840662343"/>
    <n v="15.027230262756348"/>
    <n v="209300"/>
    <n v="0"/>
    <n v="0"/>
    <s v="AB"/>
  </r>
  <r>
    <x v="737"/>
    <n v="15.086625099182129"/>
    <n v="15.205417877738578"/>
    <n v="14.938134692432518"/>
    <n v="15.086625099182129"/>
    <n v="290400"/>
    <n v="0"/>
    <n v="0"/>
    <s v="AB"/>
  </r>
  <r>
    <x v="738"/>
    <n v="14.96783581766157"/>
    <n v="15.294514310952264"/>
    <n v="14.96783581766157"/>
    <n v="15.23511791229248"/>
    <n v="231600"/>
    <n v="0"/>
    <n v="0"/>
    <s v="AB"/>
  </r>
  <r>
    <x v="739"/>
    <n v="15.175719160404091"/>
    <n v="15.532096364208948"/>
    <n v="15.116323903846531"/>
    <n v="15.38360595703125"/>
    <n v="232900"/>
    <n v="0"/>
    <n v="0"/>
    <s v="AB"/>
  </r>
  <r>
    <x v="740"/>
    <n v="15.443004476181939"/>
    <n v="15.443004476181939"/>
    <n v="15.163842880030559"/>
    <n v="15.353910446166992"/>
    <n v="110800"/>
    <n v="0"/>
    <n v="0"/>
    <s v="AB"/>
  </r>
  <r>
    <x v="741"/>
    <n v="14.789643052878834"/>
    <n v="15.027227457295769"/>
    <n v="14.522361022744207"/>
    <n v="14.908435821533203"/>
    <n v="1090900"/>
    <n v="0"/>
    <n v="0"/>
    <s v="AB"/>
  </r>
  <r>
    <x v="742"/>
    <n v="14.789643853004007"/>
    <n v="14.997530642950004"/>
    <n v="14.759946225679665"/>
    <n v="14.819342613220215"/>
    <n v="410800"/>
    <n v="0"/>
    <n v="0"/>
    <s v="AB"/>
  </r>
  <r>
    <x v="743"/>
    <n v="14.789644385249129"/>
    <n v="15.146021590425763"/>
    <n v="14.789644385249129"/>
    <n v="14.878738403320313"/>
    <n v="367400"/>
    <n v="0"/>
    <n v="0"/>
    <s v="AB"/>
  </r>
  <r>
    <x v="744"/>
    <n v="14.878741354166861"/>
    <n v="14.938137755624822"/>
    <n v="14.670855648402188"/>
    <n v="14.759949684143066"/>
    <n v="329400"/>
    <n v="0"/>
    <n v="0"/>
    <s v="AB"/>
  </r>
  <r>
    <x v="745"/>
    <n v="14.730247258024901"/>
    <n v="14.96783280484131"/>
    <n v="14.700549631118774"/>
    <n v="14.849040031433105"/>
    <n v="459700"/>
    <n v="0"/>
    <n v="0"/>
    <s v="AB"/>
  </r>
  <r>
    <x v="746"/>
    <n v="14.997533450545424"/>
    <n v="15.324211943836117"/>
    <n v="14.908439419001787"/>
    <n v="15.23511791229248"/>
    <n v="319700"/>
    <n v="0"/>
    <n v="0"/>
    <s v="AB"/>
  </r>
  <r>
    <x v="747"/>
    <n v="15.264814267016801"/>
    <n v="15.300451647426977"/>
    <n v="14.96783345351758"/>
    <n v="15.086625099182129"/>
    <n v="257300"/>
    <n v="0"/>
    <n v="0"/>
    <s v="AB"/>
  </r>
  <r>
    <x v="748"/>
    <n v="15.175719328290429"/>
    <n v="15.294512108503532"/>
    <n v="15.056927680969238"/>
    <n v="15.056927680969238"/>
    <n v="219100"/>
    <n v="0"/>
    <n v="0"/>
    <s v="AB"/>
  </r>
  <r>
    <x v="749"/>
    <n v="15.056927083320383"/>
    <n v="15.252934369867623"/>
    <n v="15.033168075064054"/>
    <n v="15.116323471069336"/>
    <n v="162900"/>
    <n v="0"/>
    <n v="0"/>
    <s v="AB"/>
  </r>
  <r>
    <x v="750"/>
    <n v="15.056927470988967"/>
    <n v="15.146021488460354"/>
    <n v="15.056927470988967"/>
    <n v="15.086625099182129"/>
    <n v="94200"/>
    <n v="0"/>
    <n v="0"/>
    <s v="AB"/>
  </r>
  <r>
    <x v="751"/>
    <n v="15.11632386026719"/>
    <n v="15.205417877738578"/>
    <n v="15.027228709903905"/>
    <n v="15.086625099182129"/>
    <n v="173300"/>
    <n v="0"/>
    <n v="0"/>
    <s v="AB"/>
  </r>
  <r>
    <x v="752"/>
    <n v="15.11632542232636"/>
    <n v="15.11632542232636"/>
    <n v="14.955955494570754"/>
    <n v="15.027230262756348"/>
    <n v="177200"/>
    <n v="0"/>
    <n v="0"/>
    <s v="AB"/>
  </r>
  <r>
    <x v="753"/>
    <n v="14.967832205860388"/>
    <n v="15.027227457295769"/>
    <n v="14.849039437206018"/>
    <n v="14.908435821533203"/>
    <n v="174900"/>
    <n v="0"/>
    <n v="0"/>
    <s v="AB"/>
  </r>
  <r>
    <x v="754"/>
    <n v="14.938134792998401"/>
    <n v="14.973772173648493"/>
    <n v="14.819343146534127"/>
    <n v="14.878738403320313"/>
    <n v="164400"/>
    <n v="0"/>
    <n v="0"/>
    <s v="AB"/>
  </r>
  <r>
    <x v="755"/>
    <n v="14.878737420231349"/>
    <n v="14.997530191738486"/>
    <n v="14.825280786342322"/>
    <n v="14.967832565307617"/>
    <n v="271700"/>
    <n v="0"/>
    <n v="0"/>
    <s v="AB"/>
  </r>
  <r>
    <x v="756"/>
    <n v="14.938134307822477"/>
    <n v="15.146021098497879"/>
    <n v="14.878737920073522"/>
    <n v="15.116323471069336"/>
    <n v="218200"/>
    <n v="0"/>
    <n v="0"/>
    <s v="AB"/>
  </r>
  <r>
    <x v="757"/>
    <n v="15.146023620870746"/>
    <n v="15.443004476181939"/>
    <n v="15.116325988496451"/>
    <n v="15.353910446166992"/>
    <n v="309800"/>
    <n v="0"/>
    <n v="0"/>
    <s v="AB"/>
  </r>
  <r>
    <x v="758"/>
    <n v="15.383605122325919"/>
    <n v="15.579612403849566"/>
    <n v="15.353907495658515"/>
    <n v="15.561794281005859"/>
    <n v="229000"/>
    <n v="0"/>
    <n v="0"/>
    <s v="AB"/>
  </r>
  <r>
    <x v="759"/>
    <n v="15.561796211127829"/>
    <n v="15.947871070147951"/>
    <n v="15.549916705830723"/>
    <n v="15.858777046203613"/>
    <n v="424900"/>
    <n v="0"/>
    <n v="0"/>
    <s v="AB"/>
  </r>
  <r>
    <x v="760"/>
    <n v="15.947873224209154"/>
    <n v="16.512136207332315"/>
    <n v="15.888476822592995"/>
    <n v="16.333948135375977"/>
    <n v="1006000"/>
    <n v="0"/>
    <n v="0"/>
    <s v="AB"/>
  </r>
  <r>
    <x v="761"/>
    <n v="16.27454920454257"/>
    <n v="16.482436011445497"/>
    <n v="16.066662397639639"/>
    <n v="16.09636116027832"/>
    <n v="263000"/>
    <n v="0"/>
    <n v="0"/>
    <s v="AB"/>
  </r>
  <r>
    <x v="762"/>
    <n v="16.185454970097481"/>
    <n v="16.215152599454644"/>
    <n v="15.977568165921511"/>
    <n v="16.126058578491211"/>
    <n v="201700"/>
    <n v="0"/>
    <n v="0"/>
    <s v="AB"/>
  </r>
  <r>
    <x v="763"/>
    <n v="16.215155079198869"/>
    <n v="16.45274068195733"/>
    <n v="16.126061044610502"/>
    <n v="16.155759811401367"/>
    <n v="277100"/>
    <n v="0"/>
    <n v="0"/>
    <s v="AB"/>
  </r>
  <r>
    <x v="764"/>
    <n v="16.126060838596288"/>
    <n v="16.244853638457915"/>
    <n v="15.829079971834323"/>
    <n v="15.888476371765137"/>
    <n v="321400"/>
    <n v="0"/>
    <n v="0"/>
    <s v="AB"/>
  </r>
  <r>
    <x v="765"/>
    <n v="16.007266577304364"/>
    <n v="16.185454615325494"/>
    <n v="15.858776167989452"/>
    <n v="16.066661834716797"/>
    <n v="186300"/>
    <n v="0"/>
    <n v="0"/>
    <s v="AB"/>
  </r>
  <r>
    <x v="766"/>
    <n v="16.126058578491211"/>
    <n v="16.322065877767542"/>
    <n v="15.918171774315242"/>
    <n v="16.126058578491211"/>
    <n v="355700"/>
    <n v="0"/>
    <n v="0"/>
    <s v="AB"/>
  </r>
  <r>
    <x v="767"/>
    <n v="16.126061296165492"/>
    <n v="16.363645769737989"/>
    <n v="16.042907013638153"/>
    <n v="16.333948135375977"/>
    <n v="238000"/>
    <n v="0"/>
    <n v="0"/>
    <s v="AB"/>
  </r>
  <r>
    <x v="768"/>
    <n v="16.274551949515217"/>
    <n v="16.363645986674527"/>
    <n v="16.066665107548729"/>
    <n v="16.304250717163086"/>
    <n v="163200"/>
    <n v="0"/>
    <n v="0"/>
    <s v="AB"/>
  </r>
  <r>
    <x v="769"/>
    <n v="16.304246336572763"/>
    <n v="16.381460845927094"/>
    <n v="16.244849950127669"/>
    <n v="16.274547576904297"/>
    <n v="155800"/>
    <n v="0"/>
    <n v="0"/>
    <s v="AB"/>
  </r>
  <r>
    <x v="770"/>
    <n v="16.393340349794482"/>
    <n v="16.423037976571109"/>
    <n v="16.155755936905951"/>
    <n v="16.274547576904297"/>
    <n v="115800"/>
    <n v="0"/>
    <n v="0"/>
    <s v="AB"/>
  </r>
  <r>
    <x v="771"/>
    <n v="16.274551949515217"/>
    <n v="16.393344754322396"/>
    <n v="16.155760277600187"/>
    <n v="16.304250717163086"/>
    <n v="147600"/>
    <n v="0"/>
    <n v="0"/>
    <s v="AB"/>
  </r>
  <r>
    <x v="772"/>
    <n v="16.244853022070028"/>
    <n v="16.601230275240578"/>
    <n v="16.244853022070028"/>
    <n v="16.541833877563477"/>
    <n v="176000"/>
    <n v="0"/>
    <n v="0"/>
    <s v="AB"/>
  </r>
  <r>
    <x v="773"/>
    <n v="16.541829909577022"/>
    <n v="16.63092391827514"/>
    <n v="16.30424550875145"/>
    <n v="16.452735900878906"/>
    <n v="237000"/>
    <n v="0"/>
    <n v="0"/>
    <s v="AB"/>
  </r>
  <r>
    <x v="774"/>
    <n v="16.304245150364768"/>
    <n v="16.452735539228229"/>
    <n v="16.155754761501306"/>
    <n v="16.393339157104492"/>
    <n v="264000"/>
    <n v="0"/>
    <n v="0"/>
    <s v="AB"/>
  </r>
  <r>
    <x v="775"/>
    <n v="16.39333998853845"/>
    <n v="16.541830384933018"/>
    <n v="16.173573703402095"/>
    <n v="16.215150833129883"/>
    <n v="217300"/>
    <n v="0"/>
    <n v="0"/>
    <s v="AB"/>
  </r>
  <r>
    <x v="776"/>
    <n v="16.155761499960221"/>
    <n v="16.393345994658294"/>
    <n v="16.066666323167738"/>
    <n v="16.185459136962891"/>
    <n v="413000"/>
    <n v="0"/>
    <n v="0"/>
    <s v="AB"/>
  </r>
  <r>
    <x v="777"/>
    <n v="16.066661398530254"/>
    <n v="16.09636015932211"/>
    <n v="15.710285332163091"/>
    <n v="15.799379348754883"/>
    <n v="299200"/>
    <n v="0"/>
    <n v="0"/>
    <s v="AB"/>
  </r>
  <r>
    <x v="778"/>
    <n v="15.561795554160176"/>
    <n v="15.769681223623394"/>
    <n v="14.670853086545478"/>
    <n v="14.938135147094727"/>
    <n v="619800"/>
    <n v="0"/>
    <n v="0"/>
    <s v="AB"/>
  </r>
  <r>
    <x v="779"/>
    <n v="14.641155608915849"/>
    <n v="15.443004126687653"/>
    <n v="14.581759212619414"/>
    <n v="15.294513702392578"/>
    <n v="353300"/>
    <n v="0"/>
    <n v="0"/>
    <s v="AB"/>
  </r>
  <r>
    <x v="780"/>
    <n v="15.383609524532691"/>
    <n v="15.443005927756341"/>
    <n v="15.205421447753906"/>
    <n v="15.205421447753906"/>
    <n v="213400"/>
    <n v="0"/>
    <n v="0"/>
    <s v="AB"/>
  </r>
  <r>
    <x v="781"/>
    <n v="15.294511546243319"/>
    <n v="15.353907934166326"/>
    <n v="14.611455917358398"/>
    <n v="14.611455917358398"/>
    <n v="381000"/>
    <n v="0"/>
    <n v="0"/>
    <s v="AB"/>
  </r>
  <r>
    <x v="782"/>
    <n v="14.730247497558594"/>
    <n v="14.849040272898527"/>
    <n v="14.468905204437723"/>
    <n v="14.730247497558594"/>
    <n v="276600"/>
    <n v="0"/>
    <n v="0"/>
    <s v="AB"/>
  </r>
  <r>
    <x v="783"/>
    <n v="14.849040674961131"/>
    <n v="15.175719116653516"/>
    <n v="14.789644285682908"/>
    <n v="15.086625099182129"/>
    <n v="289700"/>
    <n v="0"/>
    <n v="0"/>
    <s v="AB"/>
  </r>
  <r>
    <x v="784"/>
    <n v="15.858779095687801"/>
    <n v="16.126061202062598"/>
    <n v="15.621193490609592"/>
    <n v="15.65089225769043"/>
    <n v="406600"/>
    <n v="0"/>
    <n v="0"/>
    <s v="AB"/>
  </r>
  <r>
    <x v="785"/>
    <n v="15.621190776753449"/>
    <n v="15.829077578634823"/>
    <n v="15.502399127744043"/>
    <n v="15.739983558654785"/>
    <n v="543400"/>
    <n v="0"/>
    <n v="0"/>
    <s v="AB"/>
  </r>
  <r>
    <x v="786"/>
    <n v="15.88847435337539"/>
    <n v="16.185455182410443"/>
    <n v="15.829077960989988"/>
    <n v="16.09636116027832"/>
    <n v="493200"/>
    <n v="0"/>
    <n v="0"/>
    <s v="AB"/>
  </r>
  <r>
    <x v="787"/>
    <n v="16.06666476992239"/>
    <n v="16.3042503745441"/>
    <n v="15.918174333479884"/>
    <n v="16.244853973388672"/>
    <n v="527000"/>
    <n v="0"/>
    <n v="0"/>
    <s v="AB"/>
  </r>
  <r>
    <x v="788"/>
    <n v="16.215150163463331"/>
    <n v="16.601226084458176"/>
    <n v="16.215150163463331"/>
    <n v="16.482433319091797"/>
    <n v="624400"/>
    <n v="0"/>
    <n v="0"/>
    <s v="AB"/>
  </r>
  <r>
    <x v="789"/>
    <n v="16.512135112278898"/>
    <n v="16.720021937702722"/>
    <n v="16.452739847493856"/>
    <n v="16.541833877563477"/>
    <n v="575400"/>
    <n v="0"/>
    <n v="0"/>
    <s v="AB"/>
  </r>
  <r>
    <x v="790"/>
    <n v="16.658197857037887"/>
    <n v="16.780683901676255"/>
    <n v="16.535710644274886"/>
    <n v="16.56633186340332"/>
    <n v="254900"/>
    <n v="0.84"/>
    <n v="0"/>
    <s v="AB"/>
  </r>
  <r>
    <x v="791"/>
    <n v="16.719436548193091"/>
    <n v="16.750058928583176"/>
    <n v="16.53570693835006"/>
    <n v="16.596950531005859"/>
    <n v="251400"/>
    <n v="0"/>
    <n v="0"/>
    <s v="AB"/>
  </r>
  <r>
    <x v="792"/>
    <n v="16.688813951280384"/>
    <n v="16.719435161005499"/>
    <n v="16.32135359395761"/>
    <n v="16.53570556640625"/>
    <n v="364700"/>
    <n v="0"/>
    <n v="0"/>
    <s v="AB"/>
  </r>
  <r>
    <x v="793"/>
    <n v="16.566332843680822"/>
    <n v="16.658198842751364"/>
    <n v="16.168251130832381"/>
    <n v="16.198873519897461"/>
    <n v="180200"/>
    <n v="0"/>
    <n v="0"/>
    <s v="AB"/>
  </r>
  <r>
    <x v="794"/>
    <n v="16.260112861524547"/>
    <n v="16.351978843079355"/>
    <n v="16.015139636335519"/>
    <n v="16.290735244750977"/>
    <n v="285400"/>
    <n v="0"/>
    <n v="0"/>
    <s v="AB"/>
  </r>
  <r>
    <x v="795"/>
    <n v="16.290735605532454"/>
    <n v="16.351979205217159"/>
    <n v="15.81916140652209"/>
    <n v="16.076383590698242"/>
    <n v="376600"/>
    <n v="0"/>
    <n v="0"/>
    <s v="AB"/>
  </r>
  <r>
    <x v="796"/>
    <n v="15.953896391328835"/>
    <n v="16.198870790067652"/>
    <n v="15.770166760399228"/>
    <n v="16.076383590698242"/>
    <n v="283100"/>
    <n v="0"/>
    <n v="0"/>
    <s v="AB"/>
  </r>
  <r>
    <x v="797"/>
    <n v="16.045762019561945"/>
    <n v="16.382600058181303"/>
    <n v="15.984518421233568"/>
    <n v="16.290735244750977"/>
    <n v="330800"/>
    <n v="0"/>
    <n v="0"/>
    <s v="AB"/>
  </r>
  <r>
    <x v="798"/>
    <n v="16.351980993255019"/>
    <n v="16.627575469784819"/>
    <n v="16.29073738687352"/>
    <n v="16.56633186340332"/>
    <n v="338600"/>
    <n v="0"/>
    <n v="0"/>
    <s v="AB"/>
  </r>
  <r>
    <x v="799"/>
    <n v="16.443840769106625"/>
    <n v="16.75005753885489"/>
    <n v="16.38259718153212"/>
    <n v="16.53570556640625"/>
    <n v="311400"/>
    <n v="0"/>
    <n v="0"/>
    <s v="AB"/>
  </r>
  <r>
    <x v="800"/>
    <n v="16.627571743271574"/>
    <n v="16.658194123661662"/>
    <n v="16.382598540772744"/>
    <n v="16.596950531005859"/>
    <n v="297900"/>
    <n v="0"/>
    <n v="0"/>
    <s v="AB"/>
  </r>
  <r>
    <x v="801"/>
    <n v="16.750063494604547"/>
    <n v="16.750063494604547"/>
    <n v="16.535711445939651"/>
    <n v="16.688819885253906"/>
    <n v="366900"/>
    <n v="0"/>
    <n v="0"/>
    <s v="AB"/>
  </r>
  <r>
    <x v="802"/>
    <n v="16.658194123661662"/>
    <n v="16.719436548193091"/>
    <n v="16.566328150615774"/>
    <n v="16.596950531005859"/>
    <n v="229400"/>
    <n v="0"/>
    <n v="0"/>
    <s v="AB"/>
  </r>
  <r>
    <x v="803"/>
    <n v="16.596952803889494"/>
    <n v="16.639822974182131"/>
    <n v="16.229492365756883"/>
    <n v="16.382600784301758"/>
    <n v="403500"/>
    <n v="0"/>
    <n v="0"/>
    <s v="AB"/>
  </r>
  <r>
    <x v="804"/>
    <n v="16.474466629866612"/>
    <n v="16.474466629866612"/>
    <n v="16.076384950433187"/>
    <n v="16.137628555297852"/>
    <n v="242300"/>
    <n v="0"/>
    <n v="0"/>
    <s v="AB"/>
  </r>
  <r>
    <x v="805"/>
    <n v="16.137627190382947"/>
    <n v="16.198870790067652"/>
    <n v="16.015139991013537"/>
    <n v="16.076383590698242"/>
    <n v="164600"/>
    <n v="0"/>
    <n v="0"/>
    <s v="AB"/>
  </r>
  <r>
    <x v="806"/>
    <n v="15.984518421233568"/>
    <n v="16.413221273283252"/>
    <n v="15.953896038007141"/>
    <n v="16.290735244750977"/>
    <n v="240800"/>
    <n v="0"/>
    <n v="0"/>
    <s v="AB"/>
  </r>
  <r>
    <x v="807"/>
    <n v="16.290731323609602"/>
    <n v="16.351974907196787"/>
    <n v="15.984514573797856"/>
    <n v="16.260108947753906"/>
    <n v="277000"/>
    <n v="0"/>
    <n v="0"/>
    <s v="AB"/>
  </r>
  <r>
    <x v="808"/>
    <n v="16.260108947753906"/>
    <n v="16.321352531341095"/>
    <n v="16.076379365116541"/>
    <n v="16.260108947753906"/>
    <n v="184500"/>
    <n v="0"/>
    <n v="0"/>
    <s v="AB"/>
  </r>
  <r>
    <x v="809"/>
    <n v="16.198873519897461"/>
    <n v="16.327484049596698"/>
    <n v="16.168251130832381"/>
    <n v="16.198873519897461"/>
    <n v="156600"/>
    <n v="0"/>
    <n v="0"/>
    <s v="AB"/>
  </r>
  <r>
    <x v="810"/>
    <n v="16.045759845716233"/>
    <n v="16.260110658639039"/>
    <n v="15.770164274637882"/>
    <n v="15.862029075622559"/>
    <n v="388000"/>
    <n v="0"/>
    <n v="0"/>
    <s v="AB"/>
  </r>
  <r>
    <x v="811"/>
    <n v="15.862033602667589"/>
    <n v="16.211120646913848"/>
    <n v="15.831412382974801"/>
    <n v="15.953898429870605"/>
    <n v="375400"/>
    <n v="0"/>
    <n v="0"/>
    <s v="AB"/>
  </r>
  <r>
    <x v="812"/>
    <n v="16.198870971377168"/>
    <n v="16.321357003993022"/>
    <n v="16.039638077664488"/>
    <n v="16.2294921875"/>
    <n v="260600"/>
    <n v="0"/>
    <n v="0"/>
    <s v="AB"/>
  </r>
  <r>
    <x v="813"/>
    <n v="16.290732383208159"/>
    <n v="16.321353592931349"/>
    <n v="15.953893235631684"/>
    <n v="16.045759201049805"/>
    <n v="306300"/>
    <n v="0"/>
    <n v="0"/>
    <s v="AB"/>
  </r>
  <r>
    <x v="814"/>
    <n v="16.076384950433187"/>
    <n v="16.168249773667885"/>
    <n v="15.806913789903417"/>
    <n v="16.137628555297852"/>
    <n v="340800"/>
    <n v="0"/>
    <n v="0"/>
    <s v="AB"/>
  </r>
  <r>
    <x v="815"/>
    <n v="16.198870613607014"/>
    <n v="16.505087440570286"/>
    <n v="16.107004631018437"/>
    <n v="16.443843841552734"/>
    <n v="274000"/>
    <n v="0"/>
    <n v="0"/>
    <s v="AB"/>
  </r>
  <r>
    <x v="816"/>
    <n v="16.413217955516242"/>
    <n v="16.443840332552664"/>
    <n v="15.892650395263729"/>
    <n v="15.984515190124512"/>
    <n v="325100"/>
    <n v="0"/>
    <n v="0"/>
    <s v="AB"/>
  </r>
  <r>
    <x v="817"/>
    <n v="16.168247762897497"/>
    <n v="16.229491360145577"/>
    <n v="15.953895756591436"/>
    <n v="16.107004165649414"/>
    <n v="228400"/>
    <n v="0"/>
    <n v="0"/>
    <s v="AB"/>
  </r>
  <r>
    <x v="818"/>
    <n v="15.892654841716405"/>
    <n v="16.351980112654747"/>
    <n v="15.892654841716405"/>
    <n v="16.321357727050781"/>
    <n v="221900"/>
    <n v="0"/>
    <n v="0"/>
    <s v="AB"/>
  </r>
  <r>
    <x v="819"/>
    <n v="16.443844385344615"/>
    <n v="16.535709202846636"/>
    <n v="16.3213571832589"/>
    <n v="16.382600784301758"/>
    <n v="220900"/>
    <n v="0"/>
    <n v="0"/>
    <s v="AB"/>
  </r>
  <r>
    <x v="820"/>
    <n v="16.260114596902582"/>
    <n v="16.351980588261881"/>
    <n v="15.972271172600635"/>
    <n v="16.137628555297852"/>
    <n v="342000"/>
    <n v="0"/>
    <n v="0"/>
    <s v="AB"/>
  </r>
  <r>
    <x v="821"/>
    <n v="16.3213571832589"/>
    <n v="16.596952803889494"/>
    <n v="16.168248764714026"/>
    <n v="16.382600784301758"/>
    <n v="551700"/>
    <n v="0"/>
    <n v="0"/>
    <s v="AB"/>
  </r>
  <r>
    <x v="822"/>
    <n v="16.535710644274886"/>
    <n v="16.627575469784819"/>
    <n v="16.382602212383453"/>
    <n v="16.56633186340332"/>
    <n v="487900"/>
    <n v="0"/>
    <n v="0"/>
    <s v="AB"/>
  </r>
  <r>
    <x v="823"/>
    <n v="16.382600604363208"/>
    <n v="16.505087805103582"/>
    <n v="16.113129463609098"/>
    <n v="16.2294921875"/>
    <n v="279500"/>
    <n v="0"/>
    <n v="0"/>
    <s v="AB"/>
  </r>
  <r>
    <x v="824"/>
    <n v="16.229486073436625"/>
    <n v="16.50508158721631"/>
    <n v="16.229486073436625"/>
    <n v="16.413215637207031"/>
    <n v="211400"/>
    <n v="0"/>
    <n v="0"/>
    <s v="AB"/>
  </r>
  <r>
    <x v="825"/>
    <n v="16.474460906246968"/>
    <n v="16.480585381418106"/>
    <n v="16.260108947753906"/>
    <n v="16.260108947753906"/>
    <n v="153700"/>
    <n v="0"/>
    <n v="0"/>
    <s v="AB"/>
  </r>
  <r>
    <x v="826"/>
    <n v="16.382603399037123"/>
    <n v="16.535711842018777"/>
    <n v="16.382603399037123"/>
    <n v="16.474468231201172"/>
    <n v="211500"/>
    <n v="0"/>
    <n v="0"/>
    <s v="AB"/>
  </r>
  <r>
    <x v="827"/>
    <n v="16.535709753780253"/>
    <n v="16.566330971259649"/>
    <n v="16.198871689008634"/>
    <n v="16.321357727050781"/>
    <n v="264300"/>
    <n v="0"/>
    <n v="0"/>
    <s v="AB"/>
  </r>
  <r>
    <x v="828"/>
    <n v="16.290731323609602"/>
    <n v="16.413217322659779"/>
    <n v="16.229487740022414"/>
    <n v="16.260108947753906"/>
    <n v="163500"/>
    <n v="0"/>
    <n v="0"/>
    <s v="AB"/>
  </r>
  <r>
    <x v="829"/>
    <n v="16.229488903529557"/>
    <n v="16.321353701434113"/>
    <n v="16.045759307720445"/>
    <n v="16.168245315551758"/>
    <n v="220700"/>
    <n v="0"/>
    <n v="0"/>
    <s v="AB"/>
  </r>
  <r>
    <x v="830"/>
    <n v="16.198867585914311"/>
    <n v="16.229488795637501"/>
    <n v="15.923272025908492"/>
    <n v="16.045759201049805"/>
    <n v="184100"/>
    <n v="0"/>
    <n v="0"/>
    <s v="AB"/>
  </r>
  <r>
    <x v="831"/>
    <n v="16.045762374918144"/>
    <n v="16.198870790067652"/>
    <n v="15.923275175548735"/>
    <n v="16.076383590698242"/>
    <n v="263800"/>
    <n v="0"/>
    <n v="0"/>
    <s v="AB"/>
  </r>
  <r>
    <x v="832"/>
    <n v="16.076384950433187"/>
    <n v="16.260114596902582"/>
    <n v="16.045763732063154"/>
    <n v="16.137628555297852"/>
    <n v="371200"/>
    <n v="0"/>
    <n v="0"/>
    <s v="AB"/>
  </r>
  <r>
    <x v="833"/>
    <n v="16.107001193897471"/>
    <n v="16.321353160655459"/>
    <n v="15.892650395263729"/>
    <n v="15.984515190124512"/>
    <n v="334300"/>
    <n v="0"/>
    <n v="0"/>
    <s v="AB"/>
  </r>
  <r>
    <x v="834"/>
    <n v="16.076383590698242"/>
    <n v="16.198870790067652"/>
    <n v="15.892653959768635"/>
    <n v="16.076383590698242"/>
    <n v="428900"/>
    <n v="0"/>
    <n v="0"/>
    <s v="AB"/>
  </r>
  <r>
    <x v="835"/>
    <n v="16.168251345237863"/>
    <n v="16.505090620672334"/>
    <n v="16.07638651307381"/>
    <n v="16.474468231201172"/>
    <n v="162500"/>
    <n v="0"/>
    <n v="0"/>
    <s v="AB"/>
  </r>
  <r>
    <x v="836"/>
    <n v="16.535706406882053"/>
    <n v="16.780679601507288"/>
    <n v="16.505085195600522"/>
    <n v="16.658193588256836"/>
    <n v="275600"/>
    <n v="0"/>
    <n v="0"/>
    <s v="AB"/>
  </r>
  <r>
    <x v="837"/>
    <n v="16.596950531005859"/>
    <n v="16.658194123661662"/>
    <n v="16.382598540772744"/>
    <n v="16.596950531005859"/>
    <n v="286700"/>
    <n v="0"/>
    <n v="0"/>
    <s v="AB"/>
  </r>
  <r>
    <x v="838"/>
    <n v="16.627570363705875"/>
    <n v="16.707187377990017"/>
    <n v="16.474461978831744"/>
    <n v="16.53570556640625"/>
    <n v="337200"/>
    <n v="0"/>
    <n v="0"/>
    <s v="AB"/>
  </r>
  <r>
    <x v="839"/>
    <n v="16.535711842018777"/>
    <n v="16.596955452836383"/>
    <n v="16.198873734709021"/>
    <n v="16.474468231201172"/>
    <n v="591300"/>
    <n v="0"/>
    <n v="0"/>
    <s v="AB"/>
  </r>
  <r>
    <x v="840"/>
    <n v="16.682206870391543"/>
    <n v="16.808110798753511"/>
    <n v="16.493352178557444"/>
    <n v="16.776634216308594"/>
    <n v="308300"/>
    <n v="0.73"/>
    <n v="0"/>
    <s v="AB"/>
  </r>
  <r>
    <x v="841"/>
    <n v="16.839582319612855"/>
    <n v="17.059913543375675"/>
    <n v="16.726269050208632"/>
    <n v="16.99696159362793"/>
    <n v="294200"/>
    <n v="0"/>
    <n v="0"/>
    <s v="AB"/>
  </r>
  <r>
    <x v="842"/>
    <n v="17.028440711725711"/>
    <n v="17.154344638900255"/>
    <n v="16.871061403111945"/>
    <n v="16.934013366699219"/>
    <n v="291200"/>
    <n v="0"/>
    <n v="0"/>
    <s v="AB"/>
  </r>
  <r>
    <x v="843"/>
    <n v="16.996961532476725"/>
    <n v="16.996961532476725"/>
    <n v="16.587775661651406"/>
    <n v="16.713678359985352"/>
    <n v="425700"/>
    <n v="0"/>
    <n v="0"/>
    <s v="AB"/>
  </r>
  <r>
    <x v="844"/>
    <n v="16.776632703840068"/>
    <n v="16.839584662345725"/>
    <n v="16.619253407930294"/>
    <n v="16.808109283447266"/>
    <n v="619300"/>
    <n v="0"/>
    <n v="0"/>
    <s v="AB"/>
  </r>
  <r>
    <x v="845"/>
    <n v="16.839588304294217"/>
    <n v="17.028443019946625"/>
    <n v="16.713684360053275"/>
    <n v="16.965492248535156"/>
    <n v="701700"/>
    <n v="0"/>
    <n v="0"/>
    <s v="AB"/>
  </r>
  <r>
    <x v="846"/>
    <n v="16.996967634240892"/>
    <n v="17.059919606361362"/>
    <n v="16.877359007282898"/>
    <n v="16.965492248535156"/>
    <n v="464500"/>
    <n v="0"/>
    <n v="0"/>
    <s v="AB"/>
  </r>
  <r>
    <x v="847"/>
    <n v="16.965489948847274"/>
    <n v="17.154344638900255"/>
    <n v="16.934013366699219"/>
    <n v="16.934013366699219"/>
    <n v="673900"/>
    <n v="0"/>
    <n v="0"/>
    <s v="AB"/>
  </r>
  <r>
    <x v="848"/>
    <n v="16.934009219189914"/>
    <n v="17.311719707495154"/>
    <n v="16.934009219189914"/>
    <n v="17.185815811157227"/>
    <n v="620500"/>
    <n v="0"/>
    <n v="0"/>
    <s v="AB"/>
  </r>
  <r>
    <x v="849"/>
    <n v="17.280242814084801"/>
    <n v="17.469097441274666"/>
    <n v="17.122863557857102"/>
    <n v="17.4376220703125"/>
    <n v="354500"/>
    <n v="0"/>
    <n v="0"/>
    <s v="AB"/>
  </r>
  <r>
    <x v="850"/>
    <n v="17.500574511698524"/>
    <n v="17.595003035171743"/>
    <n v="17.406147188933858"/>
    <n v="17.532051086425781"/>
    <n v="335400"/>
    <n v="0"/>
    <n v="0"/>
    <s v="AB"/>
  </r>
  <r>
    <x v="851"/>
    <n v="17.595004416697556"/>
    <n v="17.87828640723431"/>
    <n v="17.569823154938565"/>
    <n v="17.657955169677734"/>
    <n v="408100"/>
    <n v="0"/>
    <n v="0"/>
    <s v="AB"/>
  </r>
  <r>
    <x v="852"/>
    <n v="17.720907471406019"/>
    <n v="18.004190668215116"/>
    <n v="17.720907471406019"/>
    <n v="17.909763336181641"/>
    <n v="509800"/>
    <n v="0"/>
    <n v="0"/>
    <s v="AB"/>
  </r>
  <r>
    <x v="853"/>
    <n v="17.720905703765197"/>
    <n v="17.846809601056837"/>
    <n v="17.469099109890468"/>
    <n v="17.752382278442383"/>
    <n v="458600"/>
    <n v="0"/>
    <n v="0"/>
    <s v="AB"/>
  </r>
  <r>
    <x v="854"/>
    <n v="17.720911099812156"/>
    <n v="17.846815035441754"/>
    <n v="17.563531780629617"/>
    <n v="17.783863067626953"/>
    <n v="473000"/>
    <n v="0"/>
    <n v="0"/>
    <s v="AB"/>
  </r>
  <r>
    <x v="855"/>
    <n v="17.783859031755945"/>
    <n v="17.972713691632727"/>
    <n v="17.783859031755945"/>
    <n v="17.878286361694336"/>
    <n v="389500"/>
    <n v="0"/>
    <n v="0"/>
    <s v="AB"/>
  </r>
  <r>
    <x v="856"/>
    <n v="17.783859702399031"/>
    <n v="17.846811658301473"/>
    <n v="17.494282386239959"/>
    <n v="17.595005035400391"/>
    <n v="364600"/>
    <n v="0"/>
    <n v="0"/>
    <s v="AB"/>
  </r>
  <r>
    <x v="857"/>
    <n v="17.689431701817554"/>
    <n v="17.972713691632727"/>
    <n v="17.664250440122707"/>
    <n v="17.878286361694336"/>
    <n v="220500"/>
    <n v="0"/>
    <n v="0"/>
    <s v="AB"/>
  </r>
  <r>
    <x v="858"/>
    <n v="17.909759421022009"/>
    <n v="17.928644162875205"/>
    <n v="17.657951656367569"/>
    <n v="17.846807479858398"/>
    <n v="267900"/>
    <n v="0"/>
    <n v="0"/>
    <s v="AB"/>
  </r>
  <r>
    <x v="859"/>
    <n v="17.941238094436407"/>
    <n v="18.161569328720336"/>
    <n v="17.90976271841383"/>
    <n v="17.972713470458984"/>
    <n v="319800"/>
    <n v="0"/>
    <n v="0"/>
    <s v="AB"/>
  </r>
  <r>
    <x v="860"/>
    <n v="18.09861574092163"/>
    <n v="18.193043061167344"/>
    <n v="18.035663793854983"/>
    <n v="18.161567687988281"/>
    <n v="240700"/>
    <n v="0"/>
    <n v="0"/>
    <s v="AB"/>
  </r>
  <r>
    <x v="861"/>
    <n v="18.161569817891973"/>
    <n v="18.224521772341333"/>
    <n v="17.909763200803198"/>
    <n v="18.067142486572266"/>
    <n v="257400"/>
    <n v="0"/>
    <n v="0"/>
    <s v="AB"/>
  </r>
  <r>
    <x v="862"/>
    <n v="18.130094854485563"/>
    <n v="18.413378074374837"/>
    <n v="18.098619474812871"/>
    <n v="18.381902694702148"/>
    <n v="436000"/>
    <n v="0"/>
    <n v="0"/>
    <s v="AB"/>
  </r>
  <r>
    <x v="863"/>
    <n v="18.381898593149998"/>
    <n v="18.476325911807269"/>
    <n v="18.067140063820091"/>
    <n v="18.193042755126953"/>
    <n v="460400"/>
    <n v="0"/>
    <n v="0"/>
    <s v="AB"/>
  </r>
  <r>
    <x v="864"/>
    <n v="18.193044621219787"/>
    <n v="18.444851230370261"/>
    <n v="18.06714191699886"/>
    <n v="18.413375854492188"/>
    <n v="227700"/>
    <n v="0"/>
    <n v="0"/>
    <s v="AB"/>
  </r>
  <r>
    <x v="865"/>
    <n v="18.413375725180416"/>
    <n v="18.621116326359235"/>
    <n v="18.381900349523381"/>
    <n v="18.570755004882813"/>
    <n v="234300"/>
    <n v="0"/>
    <n v="0"/>
    <s v="AB"/>
  </r>
  <r>
    <x v="866"/>
    <n v="18.570755135299812"/>
    <n v="18.60223051117789"/>
    <n v="18.318948526149338"/>
    <n v="18.413375854492188"/>
    <n v="261800"/>
    <n v="0"/>
    <n v="0"/>
    <s v="AB"/>
  </r>
  <r>
    <x v="867"/>
    <n v="18.444850921630859"/>
    <n v="18.75960947797752"/>
    <n v="18.035665038521923"/>
    <n v="18.444850921630859"/>
    <n v="674000"/>
    <n v="0"/>
    <n v="0"/>
    <s v="AB"/>
  </r>
  <r>
    <x v="868"/>
    <n v="18.539281596321288"/>
    <n v="18.633708934020142"/>
    <n v="18.287473761512693"/>
    <n v="18.350425720214844"/>
    <n v="248100"/>
    <n v="0"/>
    <n v="0"/>
    <s v="AB"/>
  </r>
  <r>
    <x v="869"/>
    <n v="18.350426032608706"/>
    <n v="18.507805331688896"/>
    <n v="18.255998693302342"/>
    <n v="18.318950653076172"/>
    <n v="289700"/>
    <n v="0"/>
    <n v="0"/>
    <s v="AB"/>
  </r>
  <r>
    <x v="870"/>
    <n v="18.318948397500701"/>
    <n v="18.570755004882813"/>
    <n v="18.28747182113505"/>
    <n v="18.570755004882813"/>
    <n v="225500"/>
    <n v="0"/>
    <n v="0"/>
    <s v="AB"/>
  </r>
  <r>
    <x v="871"/>
    <n v="18.444849510150707"/>
    <n v="18.602228776280693"/>
    <n v="18.35042219061442"/>
    <n v="18.539278030395508"/>
    <n v="214200"/>
    <n v="0"/>
    <n v="0"/>
    <s v="AB"/>
  </r>
  <r>
    <x v="872"/>
    <n v="18.476330034428983"/>
    <n v="18.570757374155818"/>
    <n v="18.318950734648002"/>
    <n v="18.381902694702148"/>
    <n v="268100"/>
    <n v="0"/>
    <n v="0"/>
    <s v="AB"/>
  </r>
  <r>
    <x v="873"/>
    <n v="18.413378225313274"/>
    <n v="18.413378225313274"/>
    <n v="18.104914939299064"/>
    <n v="18.224523544311523"/>
    <n v="308400"/>
    <n v="0"/>
    <n v="0"/>
    <s v="AB"/>
  </r>
  <r>
    <x v="874"/>
    <n v="18.287473761512693"/>
    <n v="18.381902299920288"/>
    <n v="18.193046423813843"/>
    <n v="18.350425720214844"/>
    <n v="185500"/>
    <n v="0"/>
    <n v="0"/>
    <s v="AB"/>
  </r>
  <r>
    <x v="875"/>
    <n v="18.318946955300643"/>
    <n v="18.318946955300643"/>
    <n v="17.972711846788332"/>
    <n v="18.161567687988281"/>
    <n v="216400"/>
    <n v="0"/>
    <n v="0"/>
    <s v="AB"/>
  </r>
  <r>
    <x v="876"/>
    <n v="18.25599899484062"/>
    <n v="18.25599899484062"/>
    <n v="17.815336469854056"/>
    <n v="18.004192352294922"/>
    <n v="330800"/>
    <n v="0"/>
    <n v="0"/>
    <s v="AB"/>
  </r>
  <r>
    <x v="877"/>
    <n v="17.941238315222812"/>
    <n v="18.098617598689678"/>
    <n v="17.81533440816586"/>
    <n v="17.878286361694336"/>
    <n v="318000"/>
    <n v="0"/>
    <n v="0"/>
    <s v="AB"/>
  </r>
  <r>
    <x v="878"/>
    <n v="17.846811246353841"/>
    <n v="18.098617863442612"/>
    <n v="17.846811246353841"/>
    <n v="18.067142486572266"/>
    <n v="281400"/>
    <n v="0"/>
    <n v="0"/>
    <s v="AB"/>
  </r>
  <r>
    <x v="879"/>
    <n v="18.098617375966551"/>
    <n v="18.193044704742913"/>
    <n v="17.878286141682626"/>
    <n v="17.972713470458984"/>
    <n v="259000"/>
    <n v="0"/>
    <n v="0"/>
    <s v="AB"/>
  </r>
  <r>
    <x v="880"/>
    <n v="17.909766357206312"/>
    <n v="18.161573018673295"/>
    <n v="17.878289774079892"/>
    <n v="18.130096435546875"/>
    <n v="301500"/>
    <n v="0"/>
    <n v="0"/>
    <s v="AB"/>
  </r>
  <r>
    <x v="881"/>
    <n v="18.1300911366985"/>
    <n v="18.224519657770433"/>
    <n v="17.909761122753384"/>
    <n v="17.94123649597168"/>
    <n v="193400"/>
    <n v="0"/>
    <n v="0"/>
    <s v="AB"/>
  </r>
  <r>
    <x v="882"/>
    <n v="18.035665600338909"/>
    <n v="18.287472213118377"/>
    <n v="17.941238270635189"/>
    <n v="18.098617553710938"/>
    <n v="210900"/>
    <n v="0"/>
    <n v="0"/>
    <s v="AB"/>
  </r>
  <r>
    <x v="883"/>
    <n v="18.193046733528512"/>
    <n v="18.381902612850002"/>
    <n v="18.035667434448321"/>
    <n v="18.318950653076172"/>
    <n v="192600"/>
    <n v="0"/>
    <n v="0"/>
    <s v="AB"/>
  </r>
  <r>
    <x v="884"/>
    <n v="18.41336994318242"/>
    <n v="18.539273807692602"/>
    <n v="18.3189426451539"/>
    <n v="18.507797241210938"/>
    <n v="158600"/>
    <n v="0"/>
    <n v="0"/>
    <s v="AB"/>
  </r>
  <r>
    <x v="885"/>
    <n v="18.633707046508789"/>
    <n v="18.665182422317177"/>
    <n v="18.495212511251193"/>
    <n v="18.633707046508789"/>
    <n v="282800"/>
    <n v="0"/>
    <n v="0"/>
    <s v="AB"/>
  </r>
  <r>
    <x v="886"/>
    <n v="18.570757291462726"/>
    <n v="18.60223267099526"/>
    <n v="18.255998693302342"/>
    <n v="18.318950653076172"/>
    <n v="219600"/>
    <n v="0"/>
    <n v="0"/>
    <s v="AB"/>
  </r>
  <r>
    <x v="887"/>
    <n v="18.287470381413058"/>
    <n v="18.375603587589776"/>
    <n v="18.067140367742567"/>
    <n v="18.161567687988281"/>
    <n v="247700"/>
    <n v="0"/>
    <n v="0"/>
    <s v="AB"/>
  </r>
  <r>
    <x v="888"/>
    <n v="18.130090601032951"/>
    <n v="18.444849126750249"/>
    <n v="18.130090601032951"/>
    <n v="18.287469863891602"/>
    <n v="145300"/>
    <n v="0"/>
    <n v="0"/>
    <s v="AB"/>
  </r>
  <r>
    <x v="889"/>
    <n v="18.224520892755081"/>
    <n v="18.507802873041914"/>
    <n v="18.193044316695254"/>
    <n v="18.444850921630859"/>
    <n v="149800"/>
    <n v="0"/>
    <n v="0"/>
    <s v="AB"/>
  </r>
  <r>
    <x v="890"/>
    <n v="18.444851100837447"/>
    <n v="18.684068278381915"/>
    <n v="18.444851100837447"/>
    <n v="18.570755004882813"/>
    <n v="167100"/>
    <n v="0"/>
    <n v="0"/>
    <s v="AB"/>
  </r>
  <r>
    <x v="891"/>
    <n v="18.5392792862398"/>
    <n v="18.948465165754165"/>
    <n v="18.5392792862398"/>
    <n v="18.822561264038086"/>
    <n v="188800"/>
    <n v="0"/>
    <n v="0"/>
    <s v="AB"/>
  </r>
  <r>
    <x v="892"/>
    <n v="18.759607508709937"/>
    <n v="18.935872714015932"/>
    <n v="18.759607508709937"/>
    <n v="18.88551139831543"/>
    <n v="195300"/>
    <n v="0"/>
    <n v="0"/>
    <s v="AB"/>
  </r>
  <r>
    <x v="893"/>
    <n v="18.854037839821402"/>
    <n v="18.948465165754165"/>
    <n v="18.728133938105326"/>
    <n v="18.822561264038086"/>
    <n v="215000"/>
    <n v="0"/>
    <n v="0"/>
    <s v="AB"/>
  </r>
  <r>
    <x v="894"/>
    <n v="18.948468926080075"/>
    <n v="19.187684945962758"/>
    <n v="18.854041581408193"/>
    <n v="19.042896270751953"/>
    <n v="683700"/>
    <n v="0"/>
    <n v="0"/>
    <s v="AB"/>
  </r>
  <r>
    <x v="895"/>
    <n v="19.168797964924913"/>
    <n v="19.326177254618191"/>
    <n v="19.011418675231631"/>
    <n v="19.074369430541992"/>
    <n v="287400"/>
    <n v="0"/>
    <n v="0"/>
    <s v="AB"/>
  </r>
  <r>
    <x v="896"/>
    <n v="19.105840779207817"/>
    <n v="19.20026808703517"/>
    <n v="18.885509593805086"/>
    <n v="18.948461532592773"/>
    <n v="464200"/>
    <n v="0"/>
    <n v="0"/>
    <s v="AB"/>
  </r>
  <r>
    <x v="897"/>
    <n v="19.200271514845792"/>
    <n v="19.389126164216581"/>
    <n v="19.011416865475002"/>
    <n v="19.137319564819336"/>
    <n v="324700"/>
    <n v="0"/>
    <n v="0"/>
    <s v="AB"/>
  </r>
  <r>
    <x v="898"/>
    <n v="19.200273342580093"/>
    <n v="19.23174872023527"/>
    <n v="19.042894052886812"/>
    <n v="19.074369430541992"/>
    <n v="265800"/>
    <n v="0"/>
    <n v="0"/>
    <s v="AB"/>
  </r>
  <r>
    <x v="899"/>
    <n v="19.200270004140421"/>
    <n v="19.294697321396136"/>
    <n v="19.105842686884703"/>
    <n v="19.168794631958008"/>
    <n v="471600"/>
    <n v="0"/>
    <n v="0"/>
    <s v="AB"/>
  </r>
  <r>
    <x v="900"/>
    <n v="19.200272043486539"/>
    <n v="19.26322399524625"/>
    <n v="18.916988860922146"/>
    <n v="19.011417388916016"/>
    <n v="473800"/>
    <n v="0"/>
    <n v="0"/>
    <s v="AB"/>
  </r>
  <r>
    <x v="901"/>
    <n v="19.074364510712293"/>
    <n v="19.200268390276147"/>
    <n v="18.602226763410421"/>
    <n v="18.6966552734375"/>
    <n v="471500"/>
    <n v="0"/>
    <n v="0"/>
    <s v="AB"/>
  </r>
  <r>
    <x v="902"/>
    <n v="18.633705315508934"/>
    <n v="18.633705315508934"/>
    <n v="17.815332412719727"/>
    <n v="17.815332412719727"/>
    <n v="911800"/>
    <n v="0"/>
    <n v="0"/>
    <s v="AB"/>
  </r>
  <r>
    <x v="903"/>
    <n v="17.82820465173549"/>
    <n v="18.246555767386436"/>
    <n v="17.641554993655717"/>
    <n v="18.085651397705078"/>
    <n v="541400"/>
    <n v="0.62"/>
    <n v="0"/>
    <s v="AB"/>
  </r>
  <r>
    <x v="904"/>
    <n v="18.085659905037634"/>
    <n v="18.536191615509765"/>
    <n v="18.02773420649638"/>
    <n v="18.407468795776367"/>
    <n v="258000"/>
    <n v="0"/>
    <n v="0"/>
    <s v="AB"/>
  </r>
  <r>
    <x v="905"/>
    <n v="18.471823094350881"/>
    <n v="18.986716613158041"/>
    <n v="18.407461097599239"/>
    <n v="18.697088241577148"/>
    <n v="319400"/>
    <n v="0"/>
    <n v="0"/>
    <s v="AB"/>
  </r>
  <r>
    <x v="906"/>
    <n v="18.664908878364159"/>
    <n v="19.051079652402649"/>
    <n v="18.632728492028889"/>
    <n v="18.922355651855469"/>
    <n v="207200"/>
    <n v="0"/>
    <n v="0"/>
    <s v="AB"/>
  </r>
  <r>
    <x v="907"/>
    <n v="18.922360537786261"/>
    <n v="19.083264966215744"/>
    <n v="18.890180143141713"/>
    <n v="18.95454216003418"/>
    <n v="232400"/>
    <n v="0"/>
    <n v="0"/>
    <s v="AB"/>
  </r>
  <r>
    <x v="908"/>
    <n v="18.890178680419922"/>
    <n v="18.954540692328649"/>
    <n v="18.72283794049854"/>
    <n v="18.890178680419922"/>
    <n v="208400"/>
    <n v="0"/>
    <n v="0"/>
    <s v="AB"/>
  </r>
  <r>
    <x v="909"/>
    <n v="18.825813265246609"/>
    <n v="19.051079652402649"/>
    <n v="18.793632878911339"/>
    <n v="18.922355651855469"/>
    <n v="224800"/>
    <n v="0"/>
    <n v="0"/>
    <s v="AB"/>
  </r>
  <r>
    <x v="910"/>
    <n v="18.986717172577038"/>
    <n v="19.276345552691453"/>
    <n v="18.922355173929052"/>
    <n v="19.179801940917969"/>
    <n v="291500"/>
    <n v="0"/>
    <n v="0"/>
    <s v="AB"/>
  </r>
  <r>
    <x v="911"/>
    <n v="19.115441195688494"/>
    <n v="19.244163965555281"/>
    <n v="18.986717198218685"/>
    <n v="19.083259582519531"/>
    <n v="211400"/>
    <n v="0"/>
    <n v="0"/>
    <s v="AB"/>
  </r>
  <r>
    <x v="912"/>
    <n v="19.14762302893218"/>
    <n v="19.372889427734361"/>
    <n v="19.14762302893218"/>
    <n v="19.244165420532227"/>
    <n v="298100"/>
    <n v="0"/>
    <n v="0"/>
    <s v="AB"/>
  </r>
  <r>
    <x v="913"/>
    <n v="19.17980727129699"/>
    <n v="19.340711698833385"/>
    <n v="19.147626876831055"/>
    <n v="19.147626876831055"/>
    <n v="155700"/>
    <n v="0"/>
    <n v="0"/>
    <s v="AB"/>
  </r>
  <r>
    <x v="914"/>
    <n v="19.244166496612078"/>
    <n v="19.437252518212105"/>
    <n v="19.211986106813661"/>
    <n v="19.276348114013672"/>
    <n v="209500"/>
    <n v="0"/>
    <n v="0"/>
    <s v="AB"/>
  </r>
  <r>
    <x v="915"/>
    <n v="19.37288899496113"/>
    <n v="19.469431384404501"/>
    <n v="19.276346605517755"/>
    <n v="19.308526992797852"/>
    <n v="252200"/>
    <n v="0"/>
    <n v="0"/>
    <s v="AB"/>
  </r>
  <r>
    <x v="916"/>
    <n v="19.244165387496352"/>
    <n v="19.405069782421243"/>
    <n v="19.179803384005773"/>
    <n v="19.340707778930664"/>
    <n v="179000"/>
    <n v="0"/>
    <n v="0"/>
    <s v="AB"/>
  </r>
  <r>
    <x v="917"/>
    <n v="19.405070900810511"/>
    <n v="19.533794915210528"/>
    <n v="19.115443709815239"/>
    <n v="19.276348114013672"/>
    <n v="311300"/>
    <n v="0"/>
    <n v="0"/>
    <s v="AB"/>
  </r>
  <r>
    <x v="918"/>
    <n v="19.340706524553195"/>
    <n v="19.501610909042331"/>
    <n v="19.276345752839962"/>
    <n v="19.437250137329102"/>
    <n v="285500"/>
    <n v="0"/>
    <n v="0"/>
    <s v="AB"/>
  </r>
  <r>
    <x v="919"/>
    <n v="19.469435756803971"/>
    <n v="19.759064217781244"/>
    <n v="19.469435756803971"/>
    <n v="19.598159790039063"/>
    <n v="300200"/>
    <n v="0"/>
    <n v="0"/>
    <s v="AB"/>
  </r>
  <r>
    <x v="920"/>
    <n v="19.662519997141235"/>
    <n v="19.662519997141235"/>
    <n v="19.244168742913335"/>
    <n v="19.405073165893555"/>
    <n v="345300"/>
    <n v="0"/>
    <n v="0"/>
    <s v="AB"/>
  </r>
  <r>
    <x v="921"/>
    <n v="19.340706524553195"/>
    <n v="19.501610909042331"/>
    <n v="19.115441368350826"/>
    <n v="19.437250137329102"/>
    <n v="306500"/>
    <n v="0"/>
    <n v="0"/>
    <s v="AB"/>
  </r>
  <r>
    <x v="922"/>
    <n v="19.437251431335426"/>
    <n v="19.469431819334403"/>
    <n v="19.179803416931158"/>
    <n v="19.244165420532227"/>
    <n v="205400"/>
    <n v="0"/>
    <n v="0"/>
    <s v="AB"/>
  </r>
  <r>
    <x v="923"/>
    <n v="19.244165387496352"/>
    <n v="19.450122816583715"/>
    <n v="19.154059319171409"/>
    <n v="19.340707778930664"/>
    <n v="169400"/>
    <n v="0"/>
    <n v="0"/>
    <s v="AB"/>
  </r>
  <r>
    <x v="924"/>
    <n v="19.276345552691453"/>
    <n v="19.437249935509904"/>
    <n v="19.147621555395485"/>
    <n v="19.179801940917969"/>
    <n v="218300"/>
    <n v="0"/>
    <n v="0"/>
    <s v="AB"/>
  </r>
  <r>
    <x v="925"/>
    <n v="19.179805859342338"/>
    <n v="19.630338714318832"/>
    <n v="19.179805859342338"/>
    <n v="19.533796310424805"/>
    <n v="262300"/>
    <n v="0"/>
    <n v="0"/>
    <s v="AB"/>
  </r>
  <r>
    <x v="926"/>
    <n v="19.501614690724615"/>
    <n v="19.630338714318832"/>
    <n v="19.405072286830585"/>
    <n v="19.533796310424805"/>
    <n v="151300"/>
    <n v="0"/>
    <n v="0"/>
    <s v="AB"/>
  </r>
  <r>
    <x v="927"/>
    <n v="19.469430523185718"/>
    <n v="19.598154521818241"/>
    <n v="19.340706524553195"/>
    <n v="19.437250137329102"/>
    <n v="165500"/>
    <n v="0"/>
    <n v="0"/>
    <s v="AB"/>
  </r>
  <r>
    <x v="928"/>
    <n v="19.437247780595932"/>
    <n v="19.759056510555446"/>
    <n v="19.437247780595932"/>
    <n v="19.694694519042969"/>
    <n v="199300"/>
    <n v="0"/>
    <n v="0"/>
    <s v="AB"/>
  </r>
  <r>
    <x v="929"/>
    <n v="19.533796310424805"/>
    <n v="19.662519106415754"/>
    <n v="19.469434298627696"/>
    <n v="19.533796310424805"/>
    <n v="174900"/>
    <n v="0"/>
    <n v="0"/>
    <s v="AB"/>
  </r>
  <r>
    <x v="930"/>
    <n v="19.598159790039063"/>
    <n v="19.662520579053243"/>
    <n v="19.501616151311062"/>
    <n v="19.598159790039063"/>
    <n v="162600"/>
    <n v="0"/>
    <n v="0"/>
    <s v="AB"/>
  </r>
  <r>
    <x v="931"/>
    <n v="19.630340184546153"/>
    <n v="19.662520579053243"/>
    <n v="19.565978167928609"/>
    <n v="19.598159790039063"/>
    <n v="186400"/>
    <n v="0"/>
    <n v="0"/>
    <s v="AB"/>
  </r>
  <r>
    <x v="932"/>
    <n v="19.662513949652112"/>
    <n v="20.100174041966174"/>
    <n v="19.662513949652112"/>
    <n v="19.919961929321289"/>
    <n v="492300"/>
    <n v="0"/>
    <n v="0"/>
    <s v="AB"/>
  </r>
  <r>
    <x v="933"/>
    <n v="19.919968645523426"/>
    <n v="19.984329434537607"/>
    <n v="19.533797773421515"/>
    <n v="19.598159790039063"/>
    <n v="233100"/>
    <n v="0"/>
    <n v="0"/>
    <s v="AB"/>
  </r>
  <r>
    <x v="934"/>
    <n v="19.598154953834584"/>
    <n v="19.649644308902005"/>
    <n v="19.051079788991334"/>
    <n v="19.372888565063477"/>
    <n v="432700"/>
    <n v="0"/>
    <n v="0"/>
    <s v="AB"/>
  </r>
  <r>
    <x v="935"/>
    <n v="19.43725048008411"/>
    <n v="19.791239641161223"/>
    <n v="19.43725048008411"/>
    <n v="19.662515640258789"/>
    <n v="171200"/>
    <n v="0"/>
    <n v="0"/>
    <s v="AB"/>
  </r>
  <r>
    <x v="936"/>
    <n v="19.791244952293571"/>
    <n v="19.95214938280002"/>
    <n v="19.694702539510374"/>
    <n v="19.726882934570313"/>
    <n v="156000"/>
    <n v="0"/>
    <n v="0"/>
    <s v="AB"/>
  </r>
  <r>
    <x v="937"/>
    <n v="19.759060772263243"/>
    <n v="19.829857873354158"/>
    <n v="19.598156372579023"/>
    <n v="19.630336761474609"/>
    <n v="129300"/>
    <n v="0"/>
    <n v="0"/>
    <s v="AB"/>
  </r>
  <r>
    <x v="938"/>
    <n v="19.630338714318832"/>
    <n v="19.662519106415754"/>
    <n v="19.437253906530774"/>
    <n v="19.533796310424805"/>
    <n v="168500"/>
    <n v="0"/>
    <n v="0"/>
    <s v="AB"/>
  </r>
  <r>
    <x v="939"/>
    <n v="19.533797773421515"/>
    <n v="19.694702201163697"/>
    <n v="19.533797773421515"/>
    <n v="19.598159790039063"/>
    <n v="134600"/>
    <n v="0"/>
    <n v="0"/>
    <s v="AB"/>
  </r>
  <r>
    <x v="940"/>
    <n v="19.662517150370192"/>
    <n v="19.759060772263243"/>
    <n v="19.598156372579023"/>
    <n v="19.630336761474609"/>
    <n v="126900"/>
    <n v="0"/>
    <n v="0"/>
    <s v="AB"/>
  </r>
  <r>
    <x v="941"/>
    <n v="19.694697254285924"/>
    <n v="19.919963642063653"/>
    <n v="19.630335253834708"/>
    <n v="19.662515640258789"/>
    <n v="165300"/>
    <n v="0"/>
    <n v="0"/>
    <s v="AB"/>
  </r>
  <r>
    <x v="942"/>
    <n v="19.598159790039063"/>
    <n v="19.694702201163697"/>
    <n v="19.533797773421515"/>
    <n v="19.598159790039063"/>
    <n v="316800"/>
    <n v="0"/>
    <n v="0"/>
    <s v="AB"/>
  </r>
  <r>
    <x v="943"/>
    <n v="19.66251721283917"/>
    <n v="20.067996988789396"/>
    <n v="19.578847464882937"/>
    <n v="19.75262451171875"/>
    <n v="236300"/>
    <n v="0"/>
    <n v="0"/>
    <s v="AB"/>
  </r>
  <r>
    <x v="944"/>
    <n v="19.810545239435374"/>
    <n v="19.90065128817653"/>
    <n v="19.585278889979637"/>
    <n v="19.61102294921875"/>
    <n v="251600"/>
    <n v="0"/>
    <n v="0"/>
    <s v="AB"/>
  </r>
  <r>
    <x v="945"/>
    <n v="19.630340529319291"/>
    <n v="19.75262824028006"/>
    <n v="19.585287485176739"/>
    <n v="19.617467880249023"/>
    <n v="164400"/>
    <n v="0"/>
    <n v="0"/>
    <s v="AB"/>
  </r>
  <r>
    <x v="946"/>
    <n v="19.656083049772523"/>
    <n v="19.868476819004105"/>
    <n v="19.488742318316852"/>
    <n v="19.85560417175293"/>
    <n v="235100"/>
    <n v="0"/>
    <n v="0"/>
    <s v="AB"/>
  </r>
  <r>
    <x v="947"/>
    <n v="19.887781089187822"/>
    <n v="20.106611143829749"/>
    <n v="19.668951034545898"/>
    <n v="19.668951034545898"/>
    <n v="208900"/>
    <n v="0"/>
    <n v="0"/>
    <s v="AB"/>
  </r>
  <r>
    <x v="948"/>
    <n v="19.585284247062884"/>
    <n v="19.688262967392369"/>
    <n v="19.372890482932924"/>
    <n v="19.482305526733398"/>
    <n v="216800"/>
    <n v="0"/>
    <n v="0"/>
    <s v="AB"/>
  </r>
  <r>
    <x v="949"/>
    <n v="19.424382138588378"/>
    <n v="19.508051898392626"/>
    <n v="19.366456448107233"/>
    <n v="19.405073165893555"/>
    <n v="143200"/>
    <n v="0"/>
    <n v="0"/>
    <s v="AB"/>
  </r>
  <r>
    <x v="950"/>
    <n v="19.437252475446236"/>
    <n v="19.527358548766088"/>
    <n v="18.79363486006859"/>
    <n v="18.838687896728516"/>
    <n v="302000"/>
    <n v="0"/>
    <n v="0"/>
    <s v="AB"/>
  </r>
  <r>
    <x v="951"/>
    <n v="18.787197511133943"/>
    <n v="18.948101906195653"/>
    <n v="18.085654250456646"/>
    <n v="18.188632965087891"/>
    <n v="673000"/>
    <n v="0"/>
    <n v="0"/>
    <s v="AB"/>
  </r>
  <r>
    <x v="952"/>
    <n v="18.48469703363476"/>
    <n v="18.877304162543631"/>
    <n v="18.446080321356177"/>
    <n v="18.793634414672852"/>
    <n v="489300"/>
    <n v="0"/>
    <n v="0"/>
    <s v="AB"/>
  </r>
  <r>
    <x v="953"/>
    <n v="18.767888558049311"/>
    <n v="19.327836393494547"/>
    <n v="18.735708170050334"/>
    <n v="19.244165420532227"/>
    <n v="406300"/>
    <n v="0"/>
    <n v="0"/>
    <s v="AB"/>
  </r>
  <r>
    <x v="954"/>
    <n v="19.314964285405917"/>
    <n v="19.720442832464762"/>
    <n v="19.166932532321194"/>
    <n v="19.630336761474609"/>
    <n v="701000"/>
    <n v="0"/>
    <n v="0"/>
    <s v="AB"/>
  </r>
  <r>
    <x v="955"/>
    <n v="19.662520916847054"/>
    <n v="19.746191908168303"/>
    <n v="19.450127117682673"/>
    <n v="19.726882934570313"/>
    <n v="371300"/>
    <n v="0"/>
    <n v="0"/>
    <s v="AB"/>
  </r>
  <r>
    <x v="956"/>
    <n v="19.720439969063936"/>
    <n v="19.720439969063936"/>
    <n v="19.199110133512853"/>
    <n v="19.224855422973633"/>
    <n v="408800"/>
    <n v="0"/>
    <n v="0"/>
    <s v="AB"/>
  </r>
  <r>
    <x v="957"/>
    <n v="19.26346881199083"/>
    <n v="19.649639494175084"/>
    <n v="19.05751144218663"/>
    <n v="19.475862503051758"/>
    <n v="239000"/>
    <n v="0"/>
    <n v="0"/>
    <s v="AB"/>
  </r>
  <r>
    <x v="958"/>
    <n v="19.546661716192808"/>
    <n v="19.546661716192808"/>
    <n v="19.063948647966413"/>
    <n v="19.166927337646484"/>
    <n v="424300"/>
    <n v="0"/>
    <n v="0"/>
    <s v="AB"/>
  </r>
  <r>
    <x v="959"/>
    <n v="18.915918876849986"/>
    <n v="19.302089641656394"/>
    <n v="18.56192972521254"/>
    <n v="19.083259582519531"/>
    <n v="312600"/>
    <n v="0"/>
    <n v="0"/>
    <s v="AB"/>
  </r>
  <r>
    <x v="960"/>
    <n v="19.308526362535908"/>
    <n v="19.437250362660698"/>
    <n v="18.355972689942199"/>
    <n v="18.388153076171875"/>
    <n v="630400"/>
    <n v="0"/>
    <n v="0"/>
    <s v="AB"/>
  </r>
  <r>
    <x v="961"/>
    <n v="18.523315450445217"/>
    <n v="18.870868325107352"/>
    <n v="18.413900406502787"/>
    <n v="18.742145538330078"/>
    <n v="389500"/>
    <n v="0"/>
    <n v="0"/>
    <s v="AB"/>
  </r>
  <r>
    <x v="962"/>
    <n v="18.664908822658841"/>
    <n v="18.735707145508798"/>
    <n v="18.130706308907556"/>
    <n v="18.182195663452148"/>
    <n v="863600"/>
    <n v="0"/>
    <n v="0"/>
    <s v="AB"/>
  </r>
  <r>
    <x v="963"/>
    <n v="18.458954687854092"/>
    <n v="18.690657438320244"/>
    <n v="18.072783846278263"/>
    <n v="18.317358016967773"/>
    <n v="360800"/>
    <n v="0"/>
    <n v="0"/>
    <s v="AB"/>
  </r>
  <r>
    <x v="964"/>
    <n v="18.291613037797678"/>
    <n v="18.883741304692023"/>
    <n v="18.195070639113389"/>
    <n v="18.542623519897461"/>
    <n v="365400"/>
    <n v="0"/>
    <n v="0"/>
    <s v="AB"/>
  </r>
  <r>
    <x v="965"/>
    <n v="18.761455095141308"/>
    <n v="18.909486866669251"/>
    <n v="18.50400826909199"/>
    <n v="18.606986999511719"/>
    <n v="539500"/>
    <n v="0"/>
    <n v="0"/>
    <s v="AB"/>
  </r>
  <r>
    <x v="966"/>
    <n v="18.909482530434811"/>
    <n v="18.986717174340168"/>
    <n v="18.690653699176178"/>
    <n v="18.767887115478516"/>
    <n v="620800"/>
    <n v="0"/>
    <n v="0"/>
    <s v="AB"/>
  </r>
  <r>
    <x v="967"/>
    <n v="18.952467605544758"/>
    <n v="19.090902417567786"/>
    <n v="18.563529908877335"/>
    <n v="18.774478912353516"/>
    <n v="286500"/>
    <n v="0.69"/>
    <n v="0"/>
    <s v="AB"/>
  </r>
  <r>
    <x v="968"/>
    <n v="18.814037268812541"/>
    <n v="19.235935376121709"/>
    <n v="18.655824221216061"/>
    <n v="19.064538955688477"/>
    <n v="249600"/>
    <n v="0"/>
    <n v="0"/>
    <s v="AB"/>
  </r>
  <r>
    <x v="969"/>
    <n v="19.051352890031218"/>
    <n v="19.242526241348532"/>
    <n v="18.840403852271038"/>
    <n v="19.163419723510742"/>
    <n v="311000"/>
    <n v="0"/>
    <n v="0"/>
    <s v="AB"/>
  </r>
  <r>
    <x v="970"/>
    <n v="19.268895105768745"/>
    <n v="19.816044668483531"/>
    <n v="19.123867950149275"/>
    <n v="19.789676666259766"/>
    <n v="423400"/>
    <n v="0"/>
    <n v="0"/>
    <s v="AB"/>
  </r>
  <r>
    <x v="971"/>
    <n v="19.717162001098028"/>
    <n v="19.974255989237683"/>
    <n v="19.684201684746192"/>
    <n v="19.835821151733398"/>
    <n v="221000"/>
    <n v="0"/>
    <n v="0"/>
    <s v="AB"/>
  </r>
  <r>
    <x v="972"/>
    <n v="19.802861758870602"/>
    <n v="19.822637446661737"/>
    <n v="19.486436923301596"/>
    <n v="19.743532180786133"/>
    <n v="227200"/>
    <n v="0"/>
    <n v="0"/>
    <s v="AB"/>
  </r>
  <r>
    <x v="973"/>
    <n v="19.6710168470192"/>
    <n v="19.730346421708802"/>
    <n v="19.37436897357119"/>
    <n v="19.49962043762207"/>
    <n v="335200"/>
    <n v="0"/>
    <n v="0"/>
    <s v="AB"/>
  </r>
  <r>
    <x v="974"/>
    <n v="19.618278932057049"/>
    <n v="19.862188279988906"/>
    <n v="19.433697899478695"/>
    <n v="19.822635650634766"/>
    <n v="367300"/>
    <n v="0"/>
    <n v="0"/>
    <s v="AB"/>
  </r>
  <r>
    <x v="975"/>
    <n v="19.941291998008996"/>
    <n v="20.033581872670897"/>
    <n v="19.578723555532743"/>
    <n v="19.8094482421875"/>
    <n v="204400"/>
    <n v="0"/>
    <n v="0"/>
    <s v="AB"/>
  </r>
  <r>
    <x v="976"/>
    <n v="19.736940086510462"/>
    <n v="19.816045353270919"/>
    <n v="19.400739559389656"/>
    <n v="19.611688613891602"/>
    <n v="464800"/>
    <n v="0"/>
    <n v="0"/>
    <s v="AB"/>
  </r>
  <r>
    <x v="977"/>
    <n v="19.598500269377901"/>
    <n v="19.605092583251167"/>
    <n v="19.06453541919635"/>
    <n v="19.54576301574707"/>
    <n v="276100"/>
    <n v="0"/>
    <n v="0"/>
    <s v="AB"/>
  </r>
  <r>
    <x v="978"/>
    <n v="19.539171295714819"/>
    <n v="19.644645806182091"/>
    <n v="19.255708077325767"/>
    <n v="19.328222274780273"/>
    <n v="208200"/>
    <n v="0"/>
    <n v="0"/>
    <s v="AB"/>
  </r>
  <r>
    <x v="979"/>
    <n v="19.328224535568395"/>
    <n v="19.585318527734785"/>
    <n v="18.972248335442284"/>
    <n v="19.348001480102539"/>
    <n v="329200"/>
    <n v="0"/>
    <n v="0"/>
    <s v="AB"/>
  </r>
  <r>
    <x v="980"/>
    <n v="19.499619479603059"/>
    <n v="19.921517539018577"/>
    <n v="19.407329593444764"/>
    <n v="19.697383880615234"/>
    <n v="265900"/>
    <n v="0"/>
    <n v="0"/>
    <s v="AB"/>
  </r>
  <r>
    <x v="981"/>
    <n v="19.644646006969172"/>
    <n v="19.987438798169151"/>
    <n v="19.578725380269862"/>
    <n v="19.7698974609375"/>
    <n v="134900"/>
    <n v="0"/>
    <n v="0"/>
    <s v="AB"/>
  </r>
  <r>
    <x v="982"/>
    <n v="20.020398895857454"/>
    <n v="20.178610651534886"/>
    <n v="19.70397412714733"/>
    <n v="19.723751068115234"/>
    <n v="272500"/>
    <n v="0"/>
    <n v="0"/>
    <s v="AB"/>
  </r>
  <r>
    <x v="983"/>
    <n v="19.677606582641602"/>
    <n v="19.743528463362811"/>
    <n v="19.558947448814479"/>
    <n v="19.677606582641602"/>
    <n v="206100"/>
    <n v="0"/>
    <n v="0"/>
    <s v="AB"/>
  </r>
  <r>
    <x v="984"/>
    <n v="19.730346630580954"/>
    <n v="19.868781468085235"/>
    <n v="19.493028329310214"/>
    <n v="19.835821151733398"/>
    <n v="286200"/>
    <n v="0"/>
    <n v="0"/>
    <s v="AB"/>
  </r>
  <r>
    <x v="985"/>
    <n v="19.776489613524685"/>
    <n v="20.092913145575796"/>
    <n v="19.776489613524685"/>
    <n v="19.796266555786133"/>
    <n v="296700"/>
    <n v="0"/>
    <n v="0"/>
    <s v="AB"/>
  </r>
  <r>
    <x v="986"/>
    <n v="19.776489796536847"/>
    <n v="20.119282588108771"/>
    <n v="19.776489796536847"/>
    <n v="19.914924621582031"/>
    <n v="245400"/>
    <n v="0"/>
    <n v="0"/>
    <s v="AB"/>
  </r>
  <r>
    <x v="987"/>
    <n v="20.152247168645012"/>
    <n v="20.369788552176146"/>
    <n v="19.888560833661156"/>
    <n v="20.336828231811523"/>
    <n v="377300"/>
    <n v="0"/>
    <n v="0"/>
    <s v="AB"/>
  </r>
  <r>
    <x v="988"/>
    <n v="20.369784749999198"/>
    <n v="20.369784749999198"/>
    <n v="19.611686206917174"/>
    <n v="19.7633056640625"/>
    <n v="295700"/>
    <n v="0"/>
    <n v="0"/>
    <s v="AB"/>
  </r>
  <r>
    <x v="989"/>
    <n v="18.5371630501464"/>
    <n v="18.998613709240928"/>
    <n v="17.06051742044902"/>
    <n v="18.194370269775391"/>
    <n v="2312600"/>
    <n v="0"/>
    <n v="0"/>
    <s v="AB"/>
  </r>
  <r>
    <x v="990"/>
    <n v="18.293256527286221"/>
    <n v="18.787668865861527"/>
    <n v="18.293256527286221"/>
    <n v="18.570127487182617"/>
    <n v="497600"/>
    <n v="0"/>
    <n v="0"/>
    <s v="AB"/>
  </r>
  <r>
    <x v="991"/>
    <n v="18.128449022362481"/>
    <n v="18.372359616990629"/>
    <n v="17.060518017626951"/>
    <n v="17.871355056762695"/>
    <n v="1475100"/>
    <n v="0"/>
    <n v="0"/>
    <s v="AB"/>
  </r>
  <r>
    <x v="992"/>
    <n v="17.871355240155125"/>
    <n v="18.293253292105828"/>
    <n v="17.561522758067873"/>
    <n v="17.594484329223633"/>
    <n v="1068100"/>
    <n v="0"/>
    <n v="0"/>
    <s v="AB"/>
  </r>
  <r>
    <x v="993"/>
    <n v="17.594485122948104"/>
    <n v="18.108673082620285"/>
    <n v="17.587892808419557"/>
    <n v="17.963645935058594"/>
    <n v="807800"/>
    <n v="0"/>
    <n v="0"/>
    <s v="AB"/>
  </r>
  <r>
    <x v="994"/>
    <n v="17.891132662459956"/>
    <n v="18.240517806498918"/>
    <n v="17.732920877618398"/>
    <n v="18.161411285400391"/>
    <n v="538300"/>
    <n v="0"/>
    <n v="0"/>
    <s v="AB"/>
  </r>
  <r>
    <x v="995"/>
    <n v="17.87795066669656"/>
    <n v="18.19437426074467"/>
    <n v="17.238509905865957"/>
    <n v="17.370353698730469"/>
    <n v="696600"/>
    <n v="0"/>
    <n v="0"/>
    <s v="AB"/>
  </r>
  <r>
    <x v="996"/>
    <n v="17.264875766080173"/>
    <n v="17.67358918020069"/>
    <n v="16.585882504098866"/>
    <n v="16.71113395690918"/>
    <n v="1074700"/>
    <n v="0"/>
    <n v="0"/>
    <s v="AB"/>
  </r>
  <r>
    <x v="997"/>
    <n v="16.75727821355748"/>
    <n v="17.508784385008671"/>
    <n v="16.75727821355748"/>
    <n v="16.994596481323242"/>
    <n v="525100"/>
    <n v="0"/>
    <n v="0"/>
    <s v="AB"/>
  </r>
  <r>
    <x v="998"/>
    <n v="16.829793597962158"/>
    <n v="17.449456051718197"/>
    <n v="16.552922685112833"/>
    <n v="16.559514999389648"/>
    <n v="591100"/>
    <n v="0"/>
    <n v="0"/>
    <s v="AB"/>
  </r>
  <r>
    <x v="999"/>
    <n v="16.480407134446899"/>
    <n v="16.842975588462618"/>
    <n v="16.223313185503216"/>
    <n v="16.447446823120117"/>
    <n v="609600"/>
    <n v="0"/>
    <n v="0"/>
    <s v="AB"/>
  </r>
  <r>
    <x v="1000"/>
    <n v="16.36834345713525"/>
    <n v="16.961637976372426"/>
    <n v="15.959628728522009"/>
    <n v="16.012367248535156"/>
    <n v="744600"/>
    <n v="0"/>
    <n v="0"/>
    <s v="AB"/>
  </r>
  <r>
    <x v="1001"/>
    <n v="15.821193800472649"/>
    <n v="15.94644527011927"/>
    <n v="15.386111071548093"/>
    <n v="15.610244750976563"/>
    <n v="648400"/>
    <n v="0"/>
    <n v="0"/>
    <s v="AB"/>
  </r>
  <r>
    <x v="1002"/>
    <n v="15.610243863476343"/>
    <n v="16.948452291643349"/>
    <n v="15.610243863476343"/>
    <n v="16.928676605224609"/>
    <n v="698000"/>
    <n v="0"/>
    <n v="0"/>
    <s v="AB"/>
  </r>
  <r>
    <x v="1003"/>
    <n v="16.816607870521413"/>
    <n v="17.192360958258483"/>
    <n v="16.315603334420217"/>
    <n v="17.179176330566406"/>
    <n v="594300"/>
    <n v="0"/>
    <n v="0"/>
    <s v="AB"/>
  </r>
  <r>
    <x v="1004"/>
    <n v="17.324205344278948"/>
    <n v="17.825209898420322"/>
    <n v="17.324205344278948"/>
    <n v="17.680181503295898"/>
    <n v="642300"/>
    <n v="0"/>
    <n v="0"/>
    <s v="AB"/>
  </r>
  <r>
    <x v="1005"/>
    <n v="17.68018599151781"/>
    <n v="18.207559935869902"/>
    <n v="17.68018599151781"/>
    <n v="18.009794235229492"/>
    <n v="583800"/>
    <n v="0"/>
    <n v="0"/>
    <s v="AB"/>
  </r>
  <r>
    <x v="1006"/>
    <n v="17.772471562259216"/>
    <n v="18.491017458868079"/>
    <n v="17.739511248870148"/>
    <n v="17.976829528808594"/>
    <n v="859500"/>
    <n v="0"/>
    <n v="0"/>
    <s v="AB"/>
  </r>
  <r>
    <x v="1007"/>
    <n v="17.950461318970042"/>
    <n v="18.458058221835831"/>
    <n v="17.779064913170341"/>
    <n v="18.108673095703125"/>
    <n v="532200"/>
    <n v="0"/>
    <n v="0"/>
    <s v="AB"/>
  </r>
  <r>
    <x v="1008"/>
    <n v="18.418502777955752"/>
    <n v="18.899730349164876"/>
    <n v="18.392133523851296"/>
    <n v="18.523977279663086"/>
    <n v="504100"/>
    <n v="0"/>
    <n v="0"/>
    <s v="AB"/>
  </r>
  <r>
    <x v="1009"/>
    <n v="18.517389053464925"/>
    <n v="18.814036940842673"/>
    <n v="18.326215691075813"/>
    <n v="18.431690216064453"/>
    <n v="492500"/>
    <n v="0"/>
    <n v="0"/>
    <s v="AB"/>
  </r>
  <r>
    <x v="1010"/>
    <n v="18.603082527265968"/>
    <n v="18.754703223656101"/>
    <n v="18.326211645945403"/>
    <n v="18.523977279663086"/>
    <n v="497400"/>
    <n v="0"/>
    <n v="0"/>
    <s v="AB"/>
  </r>
  <r>
    <x v="1011"/>
    <n v="18.583308920221832"/>
    <n v="19.249117572482412"/>
    <n v="18.484426720993216"/>
    <n v="18.497610092163086"/>
    <n v="485900"/>
    <n v="0"/>
    <n v="0"/>
    <s v="AB"/>
  </r>
  <r>
    <x v="1012"/>
    <n v="18.497609990701068"/>
    <n v="18.675598702749515"/>
    <n v="18.431688105791789"/>
    <n v="18.563531875610352"/>
    <n v="545200"/>
    <n v="0"/>
    <n v="0"/>
    <s v="AB"/>
  </r>
  <r>
    <x v="1013"/>
    <n v="18.530573875173449"/>
    <n v="18.827220508265249"/>
    <n v="18.405322403945071"/>
    <n v="18.767890930175781"/>
    <n v="492400"/>
    <n v="0"/>
    <n v="0"/>
    <s v="AB"/>
  </r>
  <r>
    <x v="1014"/>
    <n v="18.734929626848682"/>
    <n v="19.077722447256086"/>
    <n v="18.570125531347674"/>
    <n v="18.675600051879883"/>
    <n v="455800"/>
    <n v="0"/>
    <n v="0"/>
    <s v="AB"/>
  </r>
  <r>
    <x v="1015"/>
    <n v="18.550348790587787"/>
    <n v="19.01839308076617"/>
    <n v="18.550348790587787"/>
    <n v="19.011800765991211"/>
    <n v="225000"/>
    <n v="0"/>
    <n v="0"/>
    <s v="AB"/>
  </r>
  <r>
    <x v="1016"/>
    <n v="19.084311537468736"/>
    <n v="19.558946799669176"/>
    <n v="19.084311537468736"/>
    <n v="19.427103042602539"/>
    <n v="373800"/>
    <n v="0"/>
    <n v="0"/>
    <s v="AB"/>
  </r>
  <r>
    <x v="1017"/>
    <n v="19.413920607946348"/>
    <n v="19.697382561790018"/>
    <n v="19.235931904539267"/>
    <n v="19.479841232299805"/>
    <n v="371700"/>
    <n v="0"/>
    <n v="0"/>
    <s v="AB"/>
  </r>
  <r>
    <x v="1018"/>
    <n v="19.671017055263267"/>
    <n v="19.908335356534007"/>
    <n v="19.578727163593744"/>
    <n v="19.835821151733398"/>
    <n v="392000"/>
    <n v="0"/>
    <n v="0"/>
    <s v="AB"/>
  </r>
  <r>
    <x v="1019"/>
    <n v="19.446880340576172"/>
    <n v="19.829225734266171"/>
    <n v="19.380958460831977"/>
    <n v="19.446880340576172"/>
    <n v="454600"/>
    <n v="0"/>
    <n v="0"/>
    <s v="AB"/>
  </r>
  <r>
    <x v="1020"/>
    <n v="19.506212248179214"/>
    <n v="19.677608653146812"/>
    <n v="19.374368472864006"/>
    <n v="19.651239395141602"/>
    <n v="256200"/>
    <n v="0"/>
    <n v="0"/>
    <s v="AB"/>
  </r>
  <r>
    <x v="1021"/>
    <n v="19.611686558874247"/>
    <n v="19.941294736334317"/>
    <n v="19.611686558874247"/>
    <n v="19.783082962036133"/>
    <n v="268900"/>
    <n v="0"/>
    <n v="0"/>
    <s v="AB"/>
  </r>
  <r>
    <x v="1022"/>
    <n v="19.94129573058191"/>
    <n v="20.178614032539283"/>
    <n v="19.829228894363759"/>
    <n v="19.875373840332031"/>
    <n v="341600"/>
    <n v="0"/>
    <n v="0"/>
    <s v="AB"/>
  </r>
  <r>
    <x v="1023"/>
    <n v="19.84241296070384"/>
    <n v="20.053361997631768"/>
    <n v="19.84241296070384"/>
    <n v="19.98744010925293"/>
    <n v="194400"/>
    <n v="0"/>
    <n v="0"/>
    <s v="AB"/>
  </r>
  <r>
    <x v="1024"/>
    <n v="20.020402772190433"/>
    <n v="20.106100351600173"/>
    <n v="19.862189728524665"/>
    <n v="19.868782043457031"/>
    <n v="182300"/>
    <n v="0"/>
    <n v="0"/>
    <s v="AB"/>
  </r>
  <r>
    <x v="1025"/>
    <n v="19.875371810121237"/>
    <n v="20.040175890233943"/>
    <n v="19.710567730008531"/>
    <n v="19.796266555786133"/>
    <n v="349100"/>
    <n v="0"/>
    <n v="0"/>
    <s v="AB"/>
  </r>
  <r>
    <x v="1026"/>
    <n v="19.829224011625247"/>
    <n v="20.211569372099436"/>
    <n v="19.776486763882435"/>
    <n v="20.099502563476563"/>
    <n v="441800"/>
    <n v="0"/>
    <n v="0"/>
    <s v="AB"/>
  </r>
  <r>
    <x v="1027"/>
    <n v="20.099508232334738"/>
    <n v="20.310457282801984"/>
    <n v="20.099508232334738"/>
    <n v="20.204982757568359"/>
    <n v="315000"/>
    <n v="0"/>
    <n v="0"/>
    <s v="AB"/>
  </r>
  <r>
    <x v="1028"/>
    <n v="20.198388994534266"/>
    <n v="20.396154658185981"/>
    <n v="20.125876049481857"/>
    <n v="20.158836364746094"/>
    <n v="271300"/>
    <n v="0"/>
    <n v="0"/>
    <s v="AB"/>
  </r>
  <r>
    <x v="1029"/>
    <n v="20.224755557399245"/>
    <n v="20.270900495561893"/>
    <n v="19.750119033771405"/>
    <n v="19.829225540161133"/>
    <n v="453300"/>
    <n v="0"/>
    <n v="0"/>
    <s v="AB"/>
  </r>
  <r>
    <x v="1030"/>
    <n v="19.776492719904034"/>
    <n v="19.875374932032447"/>
    <n v="19.723755456278511"/>
    <n v="19.756715774536133"/>
    <n v="316200"/>
    <n v="0"/>
    <n v="0"/>
    <s v="AB"/>
  </r>
  <r>
    <x v="1031"/>
    <n v="19.717159591191646"/>
    <n v="19.86218672571162"/>
    <n v="19.552355514864495"/>
    <n v="19.842411041259766"/>
    <n v="242000"/>
    <n v="0"/>
    <n v="0"/>
    <s v="AB"/>
  </r>
  <r>
    <x v="1032"/>
    <n v="19.776493760405994"/>
    <n v="20.224761153485428"/>
    <n v="19.578729325744181"/>
    <n v="20.106101989746094"/>
    <n v="319200"/>
    <n v="0"/>
    <n v="0"/>
    <s v="AB"/>
  </r>
  <r>
    <x v="1033"/>
    <n v="20.119282136929819"/>
    <n v="20.547772488108063"/>
    <n v="20.106097508929178"/>
    <n v="20.534587860107422"/>
    <n v="418700"/>
    <n v="0"/>
    <n v="0"/>
    <s v="AB"/>
  </r>
  <r>
    <x v="1034"/>
    <n v="20.580733675252851"/>
    <n v="20.71257744615081"/>
    <n v="20.356600019139556"/>
    <n v="20.547773361206055"/>
    <n v="422300"/>
    <n v="0"/>
    <n v="0"/>
    <s v="AB"/>
  </r>
  <r>
    <x v="1035"/>
    <n v="19.901741264289033"/>
    <n v="20.659839788871754"/>
    <n v="19.776489810098909"/>
    <n v="20.237941741943359"/>
    <n v="561800"/>
    <n v="0"/>
    <n v="0"/>
    <s v="AB"/>
  </r>
  <r>
    <x v="1036"/>
    <n v="19.750121953845486"/>
    <n v="19.90174267539679"/>
    <n v="19.38096113660826"/>
    <n v="19.671016693115234"/>
    <n v="914200"/>
    <n v="0"/>
    <n v="0"/>
    <s v="AB"/>
  </r>
  <r>
    <x v="1037"/>
    <n v="19.743528945324943"/>
    <n v="19.92151639305521"/>
    <n v="19.697382747544907"/>
    <n v="19.7764892578125"/>
    <n v="451900"/>
    <n v="0"/>
    <n v="0"/>
    <s v="AB"/>
  </r>
  <r>
    <x v="1038"/>
    <n v="19.809449533693382"/>
    <n v="20.026990864833103"/>
    <n v="19.611685144422843"/>
    <n v="19.881963729858398"/>
    <n v="603300"/>
    <n v="0"/>
    <n v="0"/>
    <s v="AB"/>
  </r>
  <r>
    <x v="1039"/>
    <n v="19.862185819577558"/>
    <n v="19.954476953111957"/>
    <n v="19.783080570668371"/>
    <n v="19.934700012207031"/>
    <n v="374700"/>
    <n v="0"/>
    <n v="0"/>
    <s v="AB"/>
  </r>
  <r>
    <x v="1040"/>
    <n v="19.994025298601311"/>
    <n v="20.14564470769157"/>
    <n v="19.941288058163181"/>
    <n v="20.086315155029297"/>
    <n v="437700"/>
    <n v="0"/>
    <n v="0"/>
    <s v="AB"/>
  </r>
  <r>
    <x v="1041"/>
    <n v="19.938184966733743"/>
    <n v="20.173859879643448"/>
    <n v="19.897782452236122"/>
    <n v="19.978586196899414"/>
    <n v="308100"/>
    <n v="0.64"/>
    <n v="0"/>
    <s v="AB"/>
  </r>
  <r>
    <x v="1042"/>
    <n v="19.998788725054268"/>
    <n v="20.079591190520535"/>
    <n v="19.702510021569868"/>
    <n v="19.709243774414063"/>
    <n v="246400"/>
    <n v="0"/>
    <n v="0"/>
    <s v="AB"/>
  </r>
  <r>
    <x v="1043"/>
    <n v="19.662106980350899"/>
    <n v="19.769844447284445"/>
    <n v="19.352360799668016"/>
    <n v="19.460098266601563"/>
    <n v="303900"/>
    <n v="0"/>
    <n v="0"/>
    <s v="AB"/>
  </r>
  <r>
    <x v="1044"/>
    <n v="19.392764132697096"/>
    <n v="19.648641607674552"/>
    <n v="19.32542917180708"/>
    <n v="19.57457160949707"/>
    <n v="200200"/>
    <n v="0"/>
    <n v="0"/>
    <s v="AB"/>
  </r>
  <r>
    <x v="1045"/>
    <n v="19.460098709190859"/>
    <n v="19.655373675156579"/>
    <n v="19.460098709190859"/>
    <n v="19.614971160888672"/>
    <n v="160300"/>
    <n v="0"/>
    <n v="0"/>
    <s v="AB"/>
  </r>
  <r>
    <x v="1046"/>
    <n v="19.72270706551237"/>
    <n v="19.958381943037118"/>
    <n v="19.493764655061106"/>
    <n v="19.89777946472168"/>
    <n v="300600"/>
    <n v="0"/>
    <n v="0"/>
    <s v="AB"/>
  </r>
  <r>
    <x v="1047"/>
    <n v="20.005515243959156"/>
    <n v="20.180588912845497"/>
    <n v="19.843909076755992"/>
    <n v="20.086318969726563"/>
    <n v="355700"/>
    <n v="0"/>
    <n v="0"/>
    <s v="AB"/>
  </r>
  <r>
    <x v="1048"/>
    <n v="20.039186192122486"/>
    <n v="20.099788672000088"/>
    <n v="19.783308769454447"/>
    <n v="20.025718688964844"/>
    <n v="261700"/>
    <n v="0"/>
    <n v="0"/>
    <s v="AB"/>
  </r>
  <r>
    <x v="1049"/>
    <n v="20.086323879958591"/>
    <n v="20.113258889909382"/>
    <n v="19.884316442655521"/>
    <n v="20.093057632446289"/>
    <n v="197400"/>
    <n v="0"/>
    <n v="0"/>
    <s v="AB"/>
  </r>
  <r>
    <x v="1050"/>
    <n v="20.072854451299118"/>
    <n v="20.093055706826224"/>
    <n v="19.493765920505744"/>
    <n v="19.527433395385742"/>
    <n v="406100"/>
    <n v="0"/>
    <n v="0"/>
    <s v="AB"/>
  </r>
  <r>
    <x v="1051"/>
    <n v="19.399494679044437"/>
    <n v="20.086321954983855"/>
    <n v="19.399494679044437"/>
    <n v="19.527433395385742"/>
    <n v="345600"/>
    <n v="0"/>
    <n v="0"/>
    <s v="AB"/>
  </r>
  <r>
    <x v="1052"/>
    <n v="19.527436623141238"/>
    <n v="19.864116564919534"/>
    <n v="19.527436623141238"/>
    <n v="19.57457160949707"/>
    <n v="236700"/>
    <n v="0"/>
    <n v="0"/>
    <s v="AB"/>
  </r>
  <r>
    <x v="1053"/>
    <n v="19.561101386761763"/>
    <n v="19.715975114561861"/>
    <n v="19.534167663012969"/>
    <n v="19.581302642822266"/>
    <n v="157900"/>
    <n v="0"/>
    <n v="0"/>
    <s v="AB"/>
  </r>
  <r>
    <x v="1054"/>
    <n v="19.614966536074931"/>
    <n v="19.816975206789063"/>
    <n v="19.594766568035666"/>
    <n v="19.621700286865234"/>
    <n v="197300"/>
    <n v="0"/>
    <n v="0"/>
    <s v="AB"/>
  </r>
  <r>
    <x v="1055"/>
    <n v="19.628434037655538"/>
    <n v="19.904511398399706"/>
    <n v="19.581299066455063"/>
    <n v="19.621700286865234"/>
    <n v="158200"/>
    <n v="0"/>
    <n v="0"/>
    <s v="AB"/>
  </r>
  <r>
    <x v="1056"/>
    <n v="19.594768990839199"/>
    <n v="19.742907673547585"/>
    <n v="19.540900262187801"/>
    <n v="19.675571441650391"/>
    <n v="271500"/>
    <n v="0"/>
    <n v="0"/>
    <s v="AB"/>
  </r>
  <r>
    <x v="1057"/>
    <n v="19.709242325021737"/>
    <n v="19.843913519005984"/>
    <n v="19.675573563276721"/>
    <n v="19.790044784545898"/>
    <n v="181500"/>
    <n v="0"/>
    <n v="0"/>
    <s v="AB"/>
  </r>
  <r>
    <x v="1058"/>
    <n v="19.891051576741184"/>
    <n v="19.958386537631199"/>
    <n v="19.554371634962887"/>
    <n v="19.57457160949707"/>
    <n v="175000"/>
    <n v="0"/>
    <n v="0"/>
    <s v="AB"/>
  </r>
  <r>
    <x v="1059"/>
    <n v="19.574569254204768"/>
    <n v="19.635171739179484"/>
    <n v="19.359094322886612"/>
    <n v="19.419696807861328"/>
    <n v="214400"/>
    <n v="0"/>
    <n v="0"/>
    <s v="AB"/>
  </r>
  <r>
    <x v="1060"/>
    <n v="19.359088572636796"/>
    <n v="19.574563439952232"/>
    <n v="19.190748672005174"/>
    <n v="19.446624755859375"/>
    <n v="237400"/>
    <n v="0"/>
    <n v="0"/>
    <s v="AB"/>
  </r>
  <r>
    <x v="1061"/>
    <n v="19.35235725065743"/>
    <n v="19.426427227215086"/>
    <n v="18.456788918302315"/>
    <n v="18.732866287231445"/>
    <n v="512400"/>
    <n v="0"/>
    <n v="0"/>
    <s v="AB"/>
  </r>
  <r>
    <x v="1062"/>
    <n v="18.665531214018085"/>
    <n v="18.705933722452055"/>
    <n v="18.429856336478725"/>
    <n v="18.56452751159668"/>
    <n v="220900"/>
    <n v="0"/>
    <n v="0"/>
    <s v="AB"/>
  </r>
  <r>
    <x v="1063"/>
    <n v="18.685732346102334"/>
    <n v="19.015678456832621"/>
    <n v="18.604928614094302"/>
    <n v="18.988744735717773"/>
    <n v="202400"/>
    <n v="0"/>
    <n v="0"/>
    <s v="AB"/>
  </r>
  <r>
    <x v="1064"/>
    <n v="18.982012480519"/>
    <n v="19.224421126986261"/>
    <n v="18.975278728626595"/>
    <n v="19.177286148071289"/>
    <n v="157200"/>
    <n v="0"/>
    <n v="0"/>
    <s v="AB"/>
  </r>
  <r>
    <x v="1065"/>
    <n v="19.217688006392045"/>
    <n v="19.480297899612804"/>
    <n v="19.190752999737708"/>
    <n v="19.473564147949219"/>
    <n v="199000"/>
    <n v="0"/>
    <n v="0"/>
    <s v="AB"/>
  </r>
  <r>
    <x v="1066"/>
    <n v="19.567834631289379"/>
    <n v="19.567834631289379"/>
    <n v="19.231154745004069"/>
    <n v="19.453363418579102"/>
    <n v="183100"/>
    <n v="0"/>
    <n v="0"/>
    <s v="AB"/>
  </r>
  <r>
    <x v="1067"/>
    <n v="19.581305362452483"/>
    <n v="19.68230908811956"/>
    <n v="19.493769142696227"/>
    <n v="19.57457160949707"/>
    <n v="187300"/>
    <n v="0"/>
    <n v="0"/>
    <s v="AB"/>
  </r>
  <r>
    <x v="1068"/>
    <n v="19.662103756742006"/>
    <n v="19.668836223531141"/>
    <n v="19.298488902207136"/>
    <n v="19.386026382446289"/>
    <n v="135700"/>
    <n v="0"/>
    <n v="0"/>
    <s v="AB"/>
  </r>
  <r>
    <x v="1069"/>
    <n v="19.527432578470002"/>
    <n v="19.756374994205505"/>
    <n v="19.412961370602254"/>
    <n v="19.608236312866211"/>
    <n v="146900"/>
    <n v="0"/>
    <n v="0"/>
    <s v="AB"/>
  </r>
  <r>
    <x v="1070"/>
    <n v="19.64190614054634"/>
    <n v="19.803512344376507"/>
    <n v="19.527434918958477"/>
    <n v="19.763111114501953"/>
    <n v="153200"/>
    <n v="0"/>
    <n v="0"/>
    <s v="AB"/>
  </r>
  <r>
    <x v="1071"/>
    <n v="19.864111757307121"/>
    <n v="19.911246732255108"/>
    <n v="19.756374304759792"/>
    <n v="19.857378005981445"/>
    <n v="116700"/>
    <n v="0"/>
    <n v="0"/>
    <s v="AB"/>
  </r>
  <r>
    <x v="1072"/>
    <n v="19.803510960526165"/>
    <n v="19.850645939474724"/>
    <n v="19.715974754526247"/>
    <n v="19.742908477783203"/>
    <n v="88500"/>
    <n v="0"/>
    <n v="0"/>
    <s v="AB"/>
  </r>
  <r>
    <x v="1073"/>
    <n v="19.655370479886269"/>
    <n v="19.736172926622565"/>
    <n v="19.473563048231995"/>
    <n v="19.540899276733398"/>
    <n v="227600"/>
    <n v="0"/>
    <n v="0"/>
    <s v="AB"/>
  </r>
  <r>
    <x v="1074"/>
    <n v="19.601502214781842"/>
    <n v="19.796775869261882"/>
    <n v="19.547633487580615"/>
    <n v="19.769842147827148"/>
    <n v="228800"/>
    <n v="0"/>
    <n v="0"/>
    <s v="AB"/>
  </r>
  <r>
    <x v="1075"/>
    <n v="19.702504538648046"/>
    <n v="19.904511930430022"/>
    <n v="19.601500842757062"/>
    <n v="19.749639511108398"/>
    <n v="219800"/>
    <n v="0"/>
    <n v="0"/>
    <s v="AB"/>
  </r>
  <r>
    <x v="1076"/>
    <n v="19.917982925442534"/>
    <n v="19.951650401866662"/>
    <n v="19.702507993931544"/>
    <n v="19.837179183959961"/>
    <n v="155600"/>
    <n v="0"/>
    <n v="0"/>
    <s v="AB"/>
  </r>
  <r>
    <x v="1077"/>
    <n v="19.796778536894902"/>
    <n v="19.884316033100003"/>
    <n v="19.736176050085813"/>
    <n v="19.790044784545898"/>
    <n v="153500"/>
    <n v="0"/>
    <n v="0"/>
    <s v="AB"/>
  </r>
  <r>
    <x v="1078"/>
    <n v="19.931446316701845"/>
    <n v="20.099786232747753"/>
    <n v="19.816975122417361"/>
    <n v="20.045917510986328"/>
    <n v="260000"/>
    <n v="0"/>
    <n v="0"/>
    <s v="AB"/>
  </r>
  <r>
    <x v="1079"/>
    <n v="20.180588914728201"/>
    <n v="20.23445763713428"/>
    <n v="19.938180306066666"/>
    <n v="20.160388946533203"/>
    <n v="193000"/>
    <n v="0"/>
    <n v="0"/>
    <s v="AB"/>
  </r>
  <r>
    <x v="1080"/>
    <n v="20.200791740696328"/>
    <n v="20.207525492063038"/>
    <n v="20.066119282025653"/>
    <n v="20.173856735229492"/>
    <n v="163600"/>
    <n v="0"/>
    <n v="0"/>
    <s v="AB"/>
  </r>
  <r>
    <x v="1081"/>
    <n v="20.220993631755285"/>
    <n v="20.234459850581139"/>
    <n v="19.998784966981351"/>
    <n v="20.025718688964844"/>
    <n v="240300"/>
    <n v="0"/>
    <n v="0"/>
    <s v="AB"/>
  </r>
  <r>
    <x v="1082"/>
    <n v="20.032452370762723"/>
    <n v="20.328731017539845"/>
    <n v="19.94491616920655"/>
    <n v="20.274862289428711"/>
    <n v="321800"/>
    <n v="0"/>
    <n v="0"/>
    <s v="AB"/>
  </r>
  <r>
    <x v="1083"/>
    <n v="20.295063366976311"/>
    <n v="20.362399601871754"/>
    <n v="20.093055946621835"/>
    <n v="20.207527160644531"/>
    <n v="246600"/>
    <n v="0"/>
    <n v="0"/>
    <s v="AB"/>
  </r>
  <r>
    <x v="1084"/>
    <n v="19.944920316052428"/>
    <n v="20.032456535808684"/>
    <n v="19.359096652252088"/>
    <n v="19.57457160949707"/>
    <n v="426200"/>
    <n v="0"/>
    <n v="0"/>
    <s v="AB"/>
  </r>
  <r>
    <x v="1085"/>
    <n v="19.426426651273044"/>
    <n v="19.709237762807518"/>
    <n v="19.426426651273044"/>
    <n v="19.621700286865234"/>
    <n v="270500"/>
    <n v="0"/>
    <n v="0"/>
    <s v="AB"/>
  </r>
  <r>
    <x v="1086"/>
    <n v="19.668838839329773"/>
    <n v="19.864113794808887"/>
    <n v="19.554368908047099"/>
    <n v="19.655372619628906"/>
    <n v="392000"/>
    <n v="0"/>
    <n v="0"/>
    <s v="AB"/>
  </r>
  <r>
    <x v="1087"/>
    <n v="19.756380278239451"/>
    <n v="19.884319023446981"/>
    <n v="19.480302812071496"/>
    <n v="19.870851516723633"/>
    <n v="272100"/>
    <n v="0"/>
    <n v="0"/>
    <s v="AB"/>
  </r>
  <r>
    <x v="1088"/>
    <n v="19.864113423834034"/>
    <n v="20.072854595115643"/>
    <n v="19.79677718925975"/>
    <n v="19.891048431396484"/>
    <n v="208400"/>
    <n v="0"/>
    <n v="0"/>
    <s v="AB"/>
  </r>
  <r>
    <x v="1089"/>
    <n v="19.992049647958467"/>
    <n v="20.005515865728523"/>
    <n v="19.74290599640295"/>
    <n v="19.864110946655273"/>
    <n v="254400"/>
    <n v="0"/>
    <n v="0"/>
    <s v="AB"/>
  </r>
  <r>
    <x v="1090"/>
    <n v="19.864114817336329"/>
    <n v="20.117465427721143"/>
    <n v="19.795641220520757"/>
    <n v="20.069534301757813"/>
    <n v="199500"/>
    <n v="0.49"/>
    <n v="0"/>
    <s v="AB"/>
  </r>
  <r>
    <x v="1091"/>
    <n v="19.809333348305397"/>
    <n v="20.09692136869446"/>
    <n v="19.521745327916335"/>
    <n v="20.048990249633789"/>
    <n v="274400"/>
    <n v="0"/>
    <n v="0"/>
    <s v="AB"/>
  </r>
  <r>
    <x v="1092"/>
    <n v="19.843568832110254"/>
    <n v="20.021599629890694"/>
    <n v="19.384797512528927"/>
    <n v="19.419034957885742"/>
    <n v="577200"/>
    <n v="0"/>
    <n v="0"/>
    <s v="AB"/>
  </r>
  <r>
    <x v="1093"/>
    <n v="19.419034261048818"/>
    <n v="19.843568120039265"/>
    <n v="19.234155980831229"/>
    <n v="19.720315933227539"/>
    <n v="233200"/>
    <n v="0"/>
    <n v="0"/>
    <s v="AB"/>
  </r>
  <r>
    <x v="1094"/>
    <n v="19.583374405044662"/>
    <n v="19.898351124521994"/>
    <n v="19.343717467254166"/>
    <n v="19.850419998168945"/>
    <n v="233500"/>
    <n v="0"/>
    <n v="0"/>
    <s v="AB"/>
  </r>
  <r>
    <x v="1095"/>
    <n v="19.850417523378301"/>
    <n v="20.131158062181619"/>
    <n v="19.569676984574983"/>
    <n v="20.096921920776367"/>
    <n v="221300"/>
    <n v="0"/>
    <n v="0"/>
    <s v="AB"/>
  </r>
  <r>
    <x v="1096"/>
    <n v="19.740859877605075"/>
    <n v="19.829874626952666"/>
    <n v="19.583371540899698"/>
    <n v="19.747707366943359"/>
    <n v="186900"/>
    <n v="0"/>
    <n v="0"/>
    <s v="AB"/>
  </r>
  <r>
    <x v="1097"/>
    <n v="19.86411027918377"/>
    <n v="20.199629390299652"/>
    <n v="19.86411027918377"/>
    <n v="20.035293579101563"/>
    <n v="310000"/>
    <n v="0"/>
    <n v="0"/>
    <s v="AB"/>
  </r>
  <r>
    <x v="1098"/>
    <n v="19.905197027751388"/>
    <n v="20.028449231989189"/>
    <n v="19.699777558038477"/>
    <n v="19.829875946044922"/>
    <n v="213500"/>
    <n v="0"/>
    <n v="0"/>
    <s v="AB"/>
  </r>
  <r>
    <x v="1099"/>
    <n v="19.925738708711648"/>
    <n v="20.144853149342211"/>
    <n v="19.802486509350686"/>
    <n v="20.09007453918457"/>
    <n v="172200"/>
    <n v="0"/>
    <n v="0"/>
    <s v="AB"/>
  </r>
  <r>
    <x v="1100"/>
    <n v="20.055840790285902"/>
    <n v="20.268107766717378"/>
    <n v="19.829877527149677"/>
    <n v="19.850419998168945"/>
    <n v="173700"/>
    <n v="0"/>
    <n v="0"/>
    <s v="AB"/>
  </r>
  <r>
    <x v="1101"/>
    <n v="19.81618083260437"/>
    <n v="19.864111951652948"/>
    <n v="19.631302539681247"/>
    <n v="19.672386169433594"/>
    <n v="147300"/>
    <n v="0"/>
    <n v="0"/>
    <s v="AB"/>
  </r>
  <r>
    <x v="1102"/>
    <n v="19.651847465043289"/>
    <n v="19.973671666060195"/>
    <n v="19.651847465043289"/>
    <n v="19.88465690612793"/>
    <n v="157200"/>
    <n v="0"/>
    <n v="0"/>
    <s v="AB"/>
  </r>
  <r>
    <x v="1103"/>
    <n v="19.768249157416424"/>
    <n v="19.870958881920284"/>
    <n v="19.603912030980243"/>
    <n v="19.624454498291016"/>
    <n v="125600"/>
    <n v="0"/>
    <n v="0"/>
    <s v="AB"/>
  </r>
  <r>
    <x v="1104"/>
    <n v="19.535441570547118"/>
    <n v="19.603913855907102"/>
    <n v="19.186227429905674"/>
    <n v="19.336868286132813"/>
    <n v="137800"/>
    <n v="0"/>
    <n v="0"/>
    <s v="AB"/>
  </r>
  <r>
    <x v="1105"/>
    <n v="19.336870137286585"/>
    <n v="19.603915732625634"/>
    <n v="19.316327666096946"/>
    <n v="19.549137115478516"/>
    <n v="133100"/>
    <n v="0"/>
    <n v="0"/>
    <s v="AB"/>
  </r>
  <r>
    <x v="1106"/>
    <n v="19.54913595087298"/>
    <n v="19.54913595087298"/>
    <n v="19.138296999757223"/>
    <n v="19.165685653686523"/>
    <n v="141000"/>
    <n v="0"/>
    <n v="0"/>
    <s v="AB"/>
  </r>
  <r>
    <x v="1107"/>
    <n v="19.0492776964273"/>
    <n v="19.29578206999658"/>
    <n v="18.891789371546903"/>
    <n v="19.213613510131836"/>
    <n v="203000"/>
    <n v="0"/>
    <n v="0"/>
    <s v="AB"/>
  </r>
  <r>
    <x v="1108"/>
    <n v="19.316326674946133"/>
    <n v="19.460121353844773"/>
    <n v="18.919181394501347"/>
    <n v="19.028739929199219"/>
    <n v="126700"/>
    <n v="0"/>
    <n v="0"/>
    <s v="AB"/>
  </r>
  <r>
    <x v="1109"/>
    <n v="18.837009530229473"/>
    <n v="18.967109197296523"/>
    <n v="18.289222214487864"/>
    <n v="18.617895126342773"/>
    <n v="287700"/>
    <n v="0"/>
    <n v="0"/>
    <s v="AB"/>
  </r>
  <r>
    <x v="1110"/>
    <n v="18.693216021896859"/>
    <n v="18.912331745118188"/>
    <n v="18.624743746041698"/>
    <n v="18.795927047729492"/>
    <n v="116500"/>
    <n v="0"/>
    <n v="0"/>
    <s v="AB"/>
  </r>
  <r>
    <x v="1111"/>
    <n v="18.967107929942674"/>
    <n v="19.330015647371741"/>
    <n v="18.94656546619159"/>
    <n v="19.254695892333984"/>
    <n v="131800"/>
    <n v="0"/>
    <n v="0"/>
    <s v="AB"/>
  </r>
  <r>
    <x v="1112"/>
    <n v="19.268394362183802"/>
    <n v="19.357410421255604"/>
    <n v="19.021891265887117"/>
    <n v="19.275241851806641"/>
    <n v="123800"/>
    <n v="0"/>
    <n v="0"/>
    <s v="AB"/>
  </r>
  <r>
    <x v="1113"/>
    <n v="19.247853415248866"/>
    <n v="19.316325700195122"/>
    <n v="18.994501520462322"/>
    <n v="19.261547088623047"/>
    <n v="162400"/>
    <n v="0"/>
    <n v="0"/>
    <s v="AB"/>
  </r>
  <r>
    <x v="1114"/>
    <n v="19.213612846081038"/>
    <n v="19.405338608455818"/>
    <n v="19.165681731993573"/>
    <n v="19.172529220581055"/>
    <n v="203500"/>
    <n v="0"/>
    <n v="0"/>
    <s v="AB"/>
  </r>
  <r>
    <x v="1115"/>
    <n v="19.24100371675679"/>
    <n v="19.562827859545429"/>
    <n v="19.213613761102454"/>
    <n v="19.364255905151367"/>
    <n v="237000"/>
    <n v="0"/>
    <n v="0"/>
    <s v="AB"/>
  </r>
  <r>
    <x v="1116"/>
    <n v="19.309475023733725"/>
    <n v="19.487504490401538"/>
    <n v="19.069818164108074"/>
    <n v="19.220458984375"/>
    <n v="340400"/>
    <n v="0"/>
    <n v="0"/>
    <s v="AB"/>
  </r>
  <r>
    <x v="1117"/>
    <n v="19.597066199135899"/>
    <n v="19.829874302705552"/>
    <n v="19.288935714076754"/>
    <n v="19.76824951171875"/>
    <n v="454700"/>
    <n v="0"/>
    <n v="0"/>
    <s v="AB"/>
  </r>
  <r>
    <x v="1118"/>
    <n v="19.836725125023751"/>
    <n v="20.45983238304175"/>
    <n v="19.788793998410867"/>
    <n v="20.425596237182617"/>
    <n v="540800"/>
    <n v="0"/>
    <n v="0"/>
    <s v="AB"/>
  </r>
  <r>
    <x v="1119"/>
    <n v="20.45982753555171"/>
    <n v="20.521453628317449"/>
    <n v="20.144850888993439"/>
    <n v="20.240713119506836"/>
    <n v="233900"/>
    <n v="0"/>
    <n v="0"/>
    <s v="AB"/>
  </r>
  <r>
    <x v="1120"/>
    <n v="20.254410950199059"/>
    <n v="20.268105929637272"/>
    <n v="19.843570709228516"/>
    <n v="19.843570709228516"/>
    <n v="195800"/>
    <n v="0"/>
    <n v="0"/>
    <s v="AB"/>
  </r>
  <r>
    <x v="1121"/>
    <n v="19.946279871255086"/>
    <n v="20.233867901088967"/>
    <n v="19.891501261097446"/>
    <n v="20.09007453918457"/>
    <n v="148800"/>
    <n v="0"/>
    <n v="0"/>
    <s v="AB"/>
  </r>
  <r>
    <x v="1122"/>
    <n v="20.035292205044399"/>
    <n v="20.165391869746429"/>
    <n v="19.795635340390607"/>
    <n v="20.001054763793945"/>
    <n v="253500"/>
    <n v="0"/>
    <n v="0"/>
    <s v="AB"/>
  </r>
  <r>
    <x v="1123"/>
    <n v="20.131157028929533"/>
    <n v="20.398203881079347"/>
    <n v="19.925737578991225"/>
    <n v="20.124309539794922"/>
    <n v="251600"/>
    <n v="0"/>
    <n v="0"/>
    <s v="AB"/>
  </r>
  <r>
    <x v="1124"/>
    <n v="20.014750240172773"/>
    <n v="20.309185712156122"/>
    <n v="20.014750240172773"/>
    <n v="20.220170974731445"/>
    <n v="107700"/>
    <n v="0"/>
    <n v="0"/>
    <s v="AB"/>
  </r>
  <r>
    <x v="1125"/>
    <n v="20.220175378396224"/>
    <n v="20.295495155382248"/>
    <n v="19.92573984228903"/>
    <n v="20.055839538574219"/>
    <n v="148000"/>
    <n v="0"/>
    <n v="0"/>
    <s v="AB"/>
  </r>
  <r>
    <x v="1126"/>
    <n v="20.083226837442677"/>
    <n v="20.083226837442677"/>
    <n v="19.692929080940623"/>
    <n v="19.727165222167969"/>
    <n v="84100"/>
    <n v="0"/>
    <n v="0"/>
    <s v="AB"/>
  </r>
  <r>
    <x v="1127"/>
    <n v="19.692928878282924"/>
    <n v="19.973669412738317"/>
    <n v="19.658691431382842"/>
    <n v="19.823028564453125"/>
    <n v="121900"/>
    <n v="0"/>
    <n v="0"/>
    <s v="AB"/>
  </r>
  <r>
    <x v="1128"/>
    <n v="19.946278757475259"/>
    <n v="19.959973735756225"/>
    <n v="19.692928189402416"/>
    <n v="19.912042617797852"/>
    <n v="109400"/>
    <n v="0"/>
    <n v="0"/>
    <s v="AB"/>
  </r>
  <r>
    <x v="1129"/>
    <n v="20.062683214727834"/>
    <n v="20.35711871403208"/>
    <n v="19.870958745245996"/>
    <n v="20.350271224975586"/>
    <n v="218600"/>
    <n v="0"/>
    <n v="0"/>
    <s v="AB"/>
  </r>
  <r>
    <x v="1130"/>
    <n v="20.541997680434385"/>
    <n v="20.64470740763155"/>
    <n v="20.377661855713917"/>
    <n v="20.47352409362793"/>
    <n v="250200"/>
    <n v="0"/>
    <n v="0"/>
    <s v="AB"/>
  </r>
  <r>
    <x v="1131"/>
    <n v="20.507764815679881"/>
    <n v="20.610474559282526"/>
    <n v="20.370817620192856"/>
    <n v="20.425596237182617"/>
    <n v="167700"/>
    <n v="0"/>
    <n v="0"/>
    <s v="AB"/>
  </r>
  <r>
    <x v="1132"/>
    <n v="20.418742041251722"/>
    <n v="20.747413635253906"/>
    <n v="20.411894553123574"/>
    <n v="20.747413635253906"/>
    <n v="162900"/>
    <n v="0"/>
    <n v="0"/>
    <s v="AB"/>
  </r>
  <r>
    <x v="1133"/>
    <n v="20.747420939145542"/>
    <n v="20.850131991201188"/>
    <n v="20.37766559223116"/>
    <n v="20.685794830322266"/>
    <n v="204500"/>
    <n v="0"/>
    <n v="0"/>
    <s v="AB"/>
  </r>
  <r>
    <x v="1134"/>
    <n v="20.583085084291895"/>
    <n v="20.850131991201188"/>
    <n v="20.466680357184071"/>
    <n v="20.685794830322266"/>
    <n v="147200"/>
    <n v="0"/>
    <n v="0"/>
    <s v="AB"/>
  </r>
  <r>
    <x v="1135"/>
    <n v="20.658403061819026"/>
    <n v="20.788502750403623"/>
    <n v="20.521455883727334"/>
    <n v="20.596776962280273"/>
    <n v="237200"/>
    <n v="0"/>
    <n v="0"/>
    <s v="AB"/>
  </r>
  <r>
    <x v="1136"/>
    <n v="20.63101388609088"/>
    <n v="20.884365783359744"/>
    <n v="20.405051947888975"/>
    <n v="20.795351028442383"/>
    <n v="213600"/>
    <n v="0"/>
    <n v="0"/>
    <s v="AB"/>
  </r>
  <r>
    <x v="1137"/>
    <n v="20.84327930614765"/>
    <n v="21.192493400440778"/>
    <n v="20.815889350818797"/>
    <n v="21.028156280517578"/>
    <n v="238600"/>
    <n v="0"/>
    <n v="0"/>
    <s v="AB"/>
  </r>
  <r>
    <x v="1138"/>
    <n v="21.055544663768341"/>
    <n v="21.19249181813775"/>
    <n v="20.747414219449592"/>
    <n v="20.877513885498047"/>
    <n v="204000"/>
    <n v="0"/>
    <n v="0"/>
    <s v="AB"/>
  </r>
  <r>
    <x v="1139"/>
    <n v="20.863819229148731"/>
    <n v="20.966530249514996"/>
    <n v="20.54199510927242"/>
    <n v="20.856971740722656"/>
    <n v="179500"/>
    <n v="0"/>
    <n v="0"/>
    <s v="AB"/>
  </r>
  <r>
    <x v="1140"/>
    <n v="20.918602112370799"/>
    <n v="21.144564052584055"/>
    <n v="20.877518479429792"/>
    <n v="21.076091766357422"/>
    <n v="187100"/>
    <n v="0"/>
    <n v="0"/>
    <s v="AB"/>
  </r>
  <r>
    <x v="1141"/>
    <n v="20.987071408768347"/>
    <n v="21.062392475430308"/>
    <n v="20.692635936571463"/>
    <n v="20.856971740722656"/>
    <n v="179600"/>
    <n v="0"/>
    <n v="0"/>
    <s v="AB"/>
  </r>
  <r>
    <x v="1142"/>
    <n v="20.856971420535178"/>
    <n v="20.96652992764562"/>
    <n v="20.685788130585845"/>
    <n v="20.877513885498047"/>
    <n v="217000"/>
    <n v="0"/>
    <n v="0"/>
    <s v="AB"/>
  </r>
  <r>
    <x v="1143"/>
    <n v="20.863825556405153"/>
    <n v="20.99392526390546"/>
    <n v="20.65840606542595"/>
    <n v="20.692642211914063"/>
    <n v="85200"/>
    <n v="0"/>
    <n v="0"/>
    <s v="AB"/>
  </r>
  <r>
    <x v="1144"/>
    <n v="20.631012537621302"/>
    <n v="20.747417243997262"/>
    <n v="20.39135694157525"/>
    <n v="20.466676712036133"/>
    <n v="173200"/>
    <n v="0"/>
    <n v="0"/>
    <s v="AB"/>
  </r>
  <r>
    <x v="1145"/>
    <n v="20.37081448679897"/>
    <n v="20.637860040294537"/>
    <n v="20.336578346205965"/>
    <n v="20.548845291137695"/>
    <n v="148100"/>
    <n v="0"/>
    <n v="0"/>
    <s v="AB"/>
  </r>
  <r>
    <x v="1146"/>
    <n v="20.541999260990369"/>
    <n v="20.644708996090294"/>
    <n v="20.398205893055504"/>
    <n v="20.411899566650391"/>
    <n v="172600"/>
    <n v="0"/>
    <n v="0"/>
    <s v="AB"/>
  </r>
  <r>
    <x v="1147"/>
    <n v="20.398202186708314"/>
    <n v="20.541995528515972"/>
    <n v="19.788788764598738"/>
    <n v="19.980514526367188"/>
    <n v="366300"/>
    <n v="0"/>
    <n v="0"/>
    <s v="AB"/>
  </r>
  <r>
    <x v="1148"/>
    <n v="19.980517618651156"/>
    <n v="20.466677627841278"/>
    <n v="19.980517618651156"/>
    <n v="20.363967895507813"/>
    <n v="185200"/>
    <n v="0"/>
    <n v="0"/>
    <s v="AB"/>
  </r>
  <r>
    <x v="1149"/>
    <n v="20.452984544000035"/>
    <n v="20.452984544000035"/>
    <n v="20.110617889005908"/>
    <n v="20.19963264465332"/>
    <n v="240900"/>
    <n v="0"/>
    <n v="0"/>
    <s v="AB"/>
  </r>
  <r>
    <x v="1150"/>
    <n v="20.199631052427147"/>
    <n v="20.480371582911079"/>
    <n v="19.99421159803282"/>
    <n v="20.47352409362793"/>
    <n v="243300"/>
    <n v="0"/>
    <n v="0"/>
    <s v="AB"/>
  </r>
  <r>
    <x v="1151"/>
    <n v="20.466673826082058"/>
    <n v="20.856971520065073"/>
    <n v="20.302338023669463"/>
    <n v="20.65839958190918"/>
    <n v="280700"/>
    <n v="0"/>
    <n v="0"/>
    <s v="AB"/>
  </r>
  <r>
    <x v="1152"/>
    <n v="20.67894614319334"/>
    <n v="20.706334796008335"/>
    <n v="20.110617557512157"/>
    <n v="20.138006210327148"/>
    <n v="544900"/>
    <n v="0"/>
    <n v="0"/>
    <s v="AB"/>
  </r>
  <r>
    <x v="1153"/>
    <n v="20.179885293180757"/>
    <n v="20.3962724843493"/>
    <n v="19.87275418446109"/>
    <n v="20.047260284423828"/>
    <n v="160000"/>
    <n v="0.56000000000000005"/>
    <n v="0"/>
    <s v="AB"/>
  </r>
  <r>
    <x v="1154"/>
    <n v="19.747112362903493"/>
    <n v="19.747112362903493"/>
    <n v="18.707054759036492"/>
    <n v="18.86760139465332"/>
    <n v="530200"/>
    <n v="0"/>
    <n v="0"/>
    <s v="AB"/>
  </r>
  <r>
    <x v="1155"/>
    <n v="18.951362932411527"/>
    <n v="19.733150876689468"/>
    <n v="18.951362932411527"/>
    <n v="19.649387359619141"/>
    <n v="195300"/>
    <n v="0"/>
    <n v="0"/>
    <s v="AB"/>
  </r>
  <r>
    <x v="1156"/>
    <n v="19.335276666223891"/>
    <n v="19.621466567468556"/>
    <n v="19.125868544650984"/>
    <n v="19.544683456420898"/>
    <n v="231000"/>
    <n v="0"/>
    <n v="0"/>
    <s v="AB"/>
  </r>
  <r>
    <x v="1157"/>
    <n v="19.719188131375123"/>
    <n v="19.858793535651994"/>
    <n v="19.426017847494336"/>
    <n v="19.551662445068359"/>
    <n v="235500"/>
    <n v="0"/>
    <n v="0"/>
    <s v="AB"/>
  </r>
  <r>
    <x v="1158"/>
    <n v="19.419040647161758"/>
    <n v="19.551665669962663"/>
    <n v="19.279436551234088"/>
    <n v="19.356218338012695"/>
    <n v="165100"/>
    <n v="0"/>
    <n v="0"/>
    <s v="AB"/>
  </r>
  <r>
    <x v="1159"/>
    <n v="19.195671343949563"/>
    <n v="19.363197043186197"/>
    <n v="18.74195574209503"/>
    <n v="18.825717926025391"/>
    <n v="264200"/>
    <n v="0"/>
    <n v="0"/>
    <s v="AB"/>
  </r>
  <r>
    <x v="1160"/>
    <n v="18.804774970489699"/>
    <n v="19.202648607532378"/>
    <n v="18.762892553997855"/>
    <n v="19.146806716918945"/>
    <n v="280100"/>
    <n v="0"/>
    <n v="0"/>
    <s v="AB"/>
  </r>
  <r>
    <x v="1161"/>
    <n v="18.797799470154288"/>
    <n v="18.9234440896462"/>
    <n v="18.490668325993617"/>
    <n v="18.504629135131836"/>
    <n v="267600"/>
    <n v="0"/>
    <n v="0"/>
    <s v="AB"/>
  </r>
  <r>
    <x v="1162"/>
    <n v="18.51160753121707"/>
    <n v="18.790817026807456"/>
    <n v="18.351062237674586"/>
    <n v="18.413883209228516"/>
    <n v="259400"/>
    <n v="0"/>
    <n v="0"/>
    <s v="AB"/>
  </r>
  <r>
    <x v="1163"/>
    <n v="18.497647956233301"/>
    <n v="18.993244677509647"/>
    <n v="18.42086484056334"/>
    <n v="18.86760139465332"/>
    <n v="158900"/>
    <n v="0"/>
    <n v="0"/>
    <s v="AB"/>
  </r>
  <r>
    <x v="1164"/>
    <n v="18.867600074820302"/>
    <n v="19.272454174928363"/>
    <n v="18.867600074820302"/>
    <n v="19.09794807434082"/>
    <n v="248000"/>
    <n v="0"/>
    <n v="0"/>
    <s v="AB"/>
  </r>
  <r>
    <x v="1165"/>
    <n v="19.125870275384063"/>
    <n v="19.419040607014903"/>
    <n v="18.9723053707683"/>
    <n v="19.195672988891602"/>
    <n v="197300"/>
    <n v="0"/>
    <n v="0"/>
    <s v="AB"/>
  </r>
  <r>
    <x v="1166"/>
    <n v="19.370178328925739"/>
    <n v="19.761071644940408"/>
    <n v="19.370178328925739"/>
    <n v="19.558645248413086"/>
    <n v="227100"/>
    <n v="0"/>
    <n v="0"/>
    <s v="AB"/>
  </r>
  <r>
    <x v="1167"/>
    <n v="19.816910839142611"/>
    <n v="19.886713540307458"/>
    <n v="19.684287171442769"/>
    <n v="19.858793258666992"/>
    <n v="258400"/>
    <n v="0"/>
    <n v="0"/>
    <s v="AB"/>
  </r>
  <r>
    <x v="1168"/>
    <n v="19.775028383517498"/>
    <n v="20.124040533831167"/>
    <n v="19.286410840528085"/>
    <n v="19.342252731323242"/>
    <n v="234100"/>
    <n v="0"/>
    <n v="0"/>
    <s v="AB"/>
  </r>
  <r>
    <x v="1169"/>
    <n v="19.5377021718549"/>
    <n v="19.73314947690417"/>
    <n v="19.467899467810454"/>
    <n v="19.621465682983398"/>
    <n v="152300"/>
    <n v="0"/>
    <n v="0"/>
    <s v="AB"/>
  </r>
  <r>
    <x v="1170"/>
    <n v="19.614487221295992"/>
    <n v="19.83785483125116"/>
    <n v="19.405079088431037"/>
    <n v="19.684289932250977"/>
    <n v="185000"/>
    <n v="0"/>
    <n v="0"/>
    <s v="AB"/>
  </r>
  <r>
    <x v="1171"/>
    <n v="19.719188220166107"/>
    <n v="19.963497013062796"/>
    <n v="19.593543622026335"/>
    <n v="19.809930801391602"/>
    <n v="199400"/>
    <n v="0"/>
    <n v="0"/>
    <s v="AB"/>
  </r>
  <r>
    <x v="1172"/>
    <n v="19.921615580931945"/>
    <n v="20.040278442268725"/>
    <n v="19.844832476419167"/>
    <n v="19.956516265869141"/>
    <n v="113300"/>
    <n v="0"/>
    <n v="0"/>
    <s v="AB"/>
  </r>
  <r>
    <x v="1173"/>
    <n v="20.047259232046247"/>
    <n v="20.124042338039416"/>
    <n v="19.705227453839292"/>
    <n v="19.740129470825195"/>
    <n v="134800"/>
    <n v="0"/>
    <n v="0"/>
    <s v="AB"/>
  </r>
  <r>
    <x v="1174"/>
    <n v="19.558645318807198"/>
    <n v="19.747112238972864"/>
    <n v="19.412059492664135"/>
    <n v="19.684289932250977"/>
    <n v="124400"/>
    <n v="0"/>
    <n v="0"/>
    <s v="AB"/>
  </r>
  <r>
    <x v="1175"/>
    <n v="19.970483289346777"/>
    <n v="20.103106998495452"/>
    <n v="19.795977147584228"/>
    <n v="19.963502883911133"/>
    <n v="157000"/>
    <n v="0"/>
    <n v="0"/>
    <s v="AB"/>
  </r>
  <r>
    <x v="1176"/>
    <n v="20.151965594197083"/>
    <n v="20.382313599576246"/>
    <n v="20.110083170400202"/>
    <n v="20.277608871459961"/>
    <n v="187400"/>
    <n v="0"/>
    <n v="0"/>
    <s v="AB"/>
  </r>
  <r>
    <x v="1177"/>
    <n v="20.242707223915435"/>
    <n v="20.375332230236676"/>
    <n v="19.991418018543797"/>
    <n v="20.096122741699219"/>
    <n v="151000"/>
    <n v="0"/>
    <n v="0"/>
    <s v="AB"/>
  </r>
  <r>
    <x v="1178"/>
    <n v="20.214784351818416"/>
    <n v="20.521915435791016"/>
    <n v="20.179883667188342"/>
    <n v="20.521915435791016"/>
    <n v="117000"/>
    <n v="0"/>
    <n v="0"/>
    <s v="AB"/>
  </r>
  <r>
    <x v="1179"/>
    <n v="20.521918749462479"/>
    <n v="20.675484981932989"/>
    <n v="20.270630850523816"/>
    <n v="20.417215347290039"/>
    <n v="148200"/>
    <n v="0"/>
    <n v="0"/>
    <s v="AB"/>
  </r>
  <r>
    <x v="1180"/>
    <n v="20.235728971853348"/>
    <n v="20.822069625812876"/>
    <n v="20.179887068208441"/>
    <n v="20.766227722167969"/>
    <n v="225300"/>
    <n v="0"/>
    <n v="0"/>
    <s v="AB"/>
  </r>
  <r>
    <x v="1181"/>
    <n v="20.766227764405411"/>
    <n v="21.010536592614795"/>
    <n v="20.605682457521763"/>
    <n v="20.926773071289063"/>
    <n v="391200"/>
    <n v="0"/>
    <n v="0"/>
    <s v="AB"/>
  </r>
  <r>
    <x v="1182"/>
    <n v="20.996575171873083"/>
    <n v="21.045436669815658"/>
    <n v="20.361373035867647"/>
    <n v="20.633602142333984"/>
    <n v="309200"/>
    <n v="0"/>
    <n v="0"/>
    <s v="AB"/>
  </r>
  <r>
    <x v="1183"/>
    <n v="20.584739272359457"/>
    <n v="20.877909571850243"/>
    <n v="20.521916970227441"/>
    <n v="20.703403472900391"/>
    <n v="187000"/>
    <n v="0"/>
    <n v="0"/>
    <s v="AB"/>
  </r>
  <r>
    <x v="1184"/>
    <n v="20.61266080754303"/>
    <n v="20.898850702204026"/>
    <n v="20.549838505653948"/>
    <n v="20.5777587890625"/>
    <n v="179000"/>
    <n v="0"/>
    <n v="0"/>
    <s v="AB"/>
  </r>
  <r>
    <x v="1185"/>
    <n v="20.626620838085962"/>
    <n v="20.787167464660801"/>
    <n v="20.487016754538335"/>
    <n v="20.612661361694336"/>
    <n v="107900"/>
    <n v="0"/>
    <n v="0"/>
    <s v="AB"/>
  </r>
  <r>
    <x v="1186"/>
    <n v="20.521915435791016"/>
    <n v="20.69642152169294"/>
    <n v="20.480034347959773"/>
    <n v="20.521915435791016"/>
    <n v="85900"/>
    <n v="0"/>
    <n v="0"/>
    <s v="AB"/>
  </r>
  <r>
    <x v="1187"/>
    <n v="20.487019076526249"/>
    <n v="20.640583985246376"/>
    <n v="20.44513797985277"/>
    <n v="20.493999481201172"/>
    <n v="74000"/>
    <n v="0"/>
    <n v="0"/>
    <s v="AB"/>
  </r>
  <r>
    <x v="1188"/>
    <n v="20.417215406531582"/>
    <n v="20.731326945336313"/>
    <n v="20.382314716164835"/>
    <n v="20.445137023925781"/>
    <n v="143900"/>
    <n v="0"/>
    <n v="0"/>
    <s v="AB"/>
  </r>
  <r>
    <x v="1189"/>
    <n v="20.535881832593539"/>
    <n v="20.59870414713016"/>
    <n v="19.949541117835849"/>
    <n v="20.110086441040039"/>
    <n v="220400"/>
    <n v="0"/>
    <n v="0"/>
    <s v="AB"/>
  </r>
  <r>
    <x v="1190"/>
    <n v="20.047259975268844"/>
    <n v="20.29156877772429"/>
    <n v="19.998398481052927"/>
    <n v="20.256668090820313"/>
    <n v="114000"/>
    <n v="0"/>
    <n v="0"/>
    <s v="AB"/>
  </r>
  <r>
    <x v="1191"/>
    <n v="20.340430388898376"/>
    <n v="20.61266080754303"/>
    <n v="20.172904694319442"/>
    <n v="20.5777587890625"/>
    <n v="155100"/>
    <n v="0"/>
    <n v="0"/>
    <s v="AB"/>
  </r>
  <r>
    <x v="1192"/>
    <n v="20.717365589292072"/>
    <n v="20.717365589292072"/>
    <n v="20.151966165757251"/>
    <n v="20.507957458496094"/>
    <n v="175000"/>
    <n v="0"/>
    <n v="0"/>
    <s v="AB"/>
  </r>
  <r>
    <x v="1193"/>
    <n v="20.619645527791942"/>
    <n v="20.619645527791942"/>
    <n v="20.326475168062043"/>
    <n v="20.487020492553711"/>
    <n v="117900"/>
    <n v="0"/>
    <n v="0"/>
    <s v="AB"/>
  </r>
  <r>
    <x v="1194"/>
    <n v="20.521918740011255"/>
    <n v="20.521918740011255"/>
    <n v="20.117064608788535"/>
    <n v="20.319492340087891"/>
    <n v="142300"/>
    <n v="0"/>
    <n v="0"/>
    <s v="AB"/>
  </r>
  <r>
    <x v="1195"/>
    <n v="20.068202856284849"/>
    <n v="20.17290625708592"/>
    <n v="19.586565614948739"/>
    <n v="19.782012939453125"/>
    <n v="198700"/>
    <n v="0"/>
    <n v="0"/>
    <s v="AB"/>
  </r>
  <r>
    <x v="1196"/>
    <n v="19.698252802861379"/>
    <n v="20.012364390584455"/>
    <n v="19.614490600386031"/>
    <n v="19.963502883911133"/>
    <n v="161200"/>
    <n v="0"/>
    <n v="0"/>
    <s v="AB"/>
  </r>
  <r>
    <x v="1197"/>
    <n v="19.830876465042135"/>
    <n v="20.144988030932897"/>
    <n v="19.823896060091659"/>
    <n v="20.033304214477539"/>
    <n v="136600"/>
    <n v="0"/>
    <n v="0"/>
    <s v="AB"/>
  </r>
  <r>
    <x v="1198"/>
    <n v="19.89369686954501"/>
    <n v="20.228748286765004"/>
    <n v="19.830874562394261"/>
    <n v="20.165925979614258"/>
    <n v="146000"/>
    <n v="0"/>
    <n v="0"/>
    <s v="AB"/>
  </r>
  <r>
    <x v="1199"/>
    <n v="19.928598864534443"/>
    <n v="20.186868514330158"/>
    <n v="19.858797479908208"/>
    <n v="19.872756958007813"/>
    <n v="104700"/>
    <n v="0"/>
    <n v="0"/>
    <s v="AB"/>
  </r>
  <r>
    <x v="1200"/>
    <n v="19.907655694675039"/>
    <n v="20.033300296458361"/>
    <n v="19.719188792000057"/>
    <n v="19.942556381225586"/>
    <n v="133300"/>
    <n v="0"/>
    <n v="0"/>
    <s v="AB"/>
  </r>
  <r>
    <x v="1201"/>
    <n v="19.942559334774462"/>
    <n v="20.124045860742829"/>
    <n v="19.90067823843593"/>
    <n v="20.082164764404297"/>
    <n v="157700"/>
    <n v="0"/>
    <n v="0"/>
    <s v="AB"/>
  </r>
  <r>
    <x v="1202"/>
    <n v="20.172902897118483"/>
    <n v="20.291567086628771"/>
    <n v="19.865771818731432"/>
    <n v="19.886713027954102"/>
    <n v="214000"/>
    <n v="0"/>
    <n v="0"/>
    <s v="AB"/>
  </r>
  <r>
    <x v="1203"/>
    <n v="19.872754030040433"/>
    <n v="20.012359441476178"/>
    <n v="19.649386436843944"/>
    <n v="19.663347244262695"/>
    <n v="227400"/>
    <n v="0"/>
    <n v="0"/>
    <s v="AB"/>
  </r>
  <r>
    <x v="1204"/>
    <n v="19.600526342284951"/>
    <n v="19.726170955276515"/>
    <n v="19.446961443837466"/>
    <n v="19.558645248413086"/>
    <n v="264600"/>
    <n v="0"/>
    <n v="0"/>
    <s v="AB"/>
  </r>
  <r>
    <x v="1205"/>
    <n v="19.488838162821285"/>
    <n v="19.698244916548592"/>
    <n v="19.391115188598633"/>
    <n v="19.391115188598633"/>
    <n v="231400"/>
    <n v="0"/>
    <n v="0"/>
    <s v="AB"/>
  </r>
  <r>
    <x v="1206"/>
    <n v="19.544683345508783"/>
    <n v="19.71918944680797"/>
    <n v="19.007204233977077"/>
    <n v="19.223592758178711"/>
    <n v="857700"/>
    <n v="0"/>
    <n v="0"/>
    <s v="AB"/>
  </r>
  <r>
    <x v="1207"/>
    <n v="19.265473513231246"/>
    <n v="19.698247891324264"/>
    <n v="19.265473513231246"/>
    <n v="19.60052490234375"/>
    <n v="342500"/>
    <n v="0"/>
    <n v="0"/>
    <s v="AB"/>
  </r>
  <r>
    <x v="1208"/>
    <n v="19.698248930136874"/>
    <n v="19.9076570579075"/>
    <n v="19.600525936002811"/>
    <n v="19.775032043457031"/>
    <n v="281800"/>
    <n v="0"/>
    <n v="0"/>
    <s v="AB"/>
  </r>
  <r>
    <x v="1209"/>
    <n v="19.768051977080571"/>
    <n v="19.900676993796601"/>
    <n v="19.426020160392671"/>
    <n v="19.433000564575195"/>
    <n v="354300"/>
    <n v="0"/>
    <n v="0"/>
    <s v="AB"/>
  </r>
  <r>
    <x v="1210"/>
    <n v="19.432998760664276"/>
    <n v="19.782010949136872"/>
    <n v="19.426018357129724"/>
    <n v="19.656366348266602"/>
    <n v="449400"/>
    <n v="0"/>
    <n v="0"/>
    <s v="AB"/>
  </r>
  <r>
    <x v="1211"/>
    <n v="19.782013198551095"/>
    <n v="20.717366076526769"/>
    <n v="19.628448297456575"/>
    <n v="20.417215347290039"/>
    <n v="583800"/>
    <n v="0"/>
    <n v="0"/>
    <s v="AB"/>
  </r>
  <r>
    <x v="1212"/>
    <n v="20.438158823925971"/>
    <n v="20.549842642796374"/>
    <n v="19.949541117835849"/>
    <n v="20.110086441040039"/>
    <n v="446400"/>
    <n v="0"/>
    <n v="0"/>
    <s v="AB"/>
  </r>
  <r>
    <x v="1213"/>
    <n v="20.207805636992386"/>
    <n v="20.382311725977207"/>
    <n v="20.110081321825344"/>
    <n v="20.340429306030273"/>
    <n v="300000"/>
    <n v="0"/>
    <n v="0"/>
    <s v="AB"/>
  </r>
  <r>
    <x v="1214"/>
    <n v="20.382316161892831"/>
    <n v="20.808110206348147"/>
    <n v="20.319493849675865"/>
    <n v="20.696426391601563"/>
    <n v="413100"/>
    <n v="0"/>
    <n v="0"/>
    <s v="AB"/>
  </r>
  <r>
    <x v="1215"/>
    <n v="20.724348942400589"/>
    <n v="20.738308421339234"/>
    <n v="20.43117858267069"/>
    <n v="20.487020492553711"/>
    <n v="539000"/>
    <n v="0"/>
    <n v="0"/>
    <s v="AB"/>
  </r>
  <r>
    <x v="1216"/>
    <n v="20.452117053151635"/>
    <n v="20.584742079223052"/>
    <n v="20.110085212336759"/>
    <n v="20.493999481201172"/>
    <n v="306600"/>
    <n v="0"/>
    <n v="0"/>
    <s v="AB"/>
  </r>
  <r>
    <x v="1217"/>
    <n v="20.586731447828402"/>
    <n v="20.786463241078504"/>
    <n v="20.586731447828402"/>
    <n v="20.729396820068359"/>
    <n v="289000"/>
    <n v="0.63"/>
    <n v="0"/>
    <s v="AB"/>
  </r>
  <r>
    <x v="1218"/>
    <n v="20.85066081095399"/>
    <n v="20.936261113214343"/>
    <n v="20.693728510809095"/>
    <n v="20.814994812011719"/>
    <n v="271100"/>
    <n v="0"/>
    <n v="0"/>
    <s v="AB"/>
  </r>
  <r>
    <x v="1219"/>
    <n v="20.829263791132195"/>
    <n v="21.185929257688766"/>
    <n v="20.829263791132195"/>
    <n v="21.071796417236328"/>
    <n v="373500"/>
    <n v="0"/>
    <n v="0"/>
    <s v="AB"/>
  </r>
  <r>
    <x v="1220"/>
    <n v="21.057529017097107"/>
    <n v="21.24299521896809"/>
    <n v="21.000462598103784"/>
    <n v="21.128862380981445"/>
    <n v="267500"/>
    <n v="0"/>
    <n v="0"/>
    <s v="AB"/>
  </r>
  <r>
    <x v="1221"/>
    <n v="21.228732055711856"/>
    <n v="21.235865529428107"/>
    <n v="21.050399294518616"/>
    <n v="21.093198776245117"/>
    <n v="108600"/>
    <n v="0"/>
    <n v="0"/>
    <s v="AB"/>
  </r>
  <r>
    <x v="1222"/>
    <n v="21.128861799755647"/>
    <n v="21.200193801106991"/>
    <n v="20.850661824316692"/>
    <n v="20.936262130737305"/>
    <n v="316600"/>
    <n v="0"/>
    <n v="0"/>
    <s v="AB"/>
  </r>
  <r>
    <x v="1223"/>
    <n v="20.893464506342774"/>
    <n v="20.964796514005151"/>
    <n v="20.79359724658794"/>
    <n v="20.900596618652344"/>
    <n v="153000"/>
    <n v="0"/>
    <n v="0"/>
    <s v="AB"/>
  </r>
  <r>
    <x v="1224"/>
    <n v="20.943395648651958"/>
    <n v="21.328593626957822"/>
    <n v="20.864928814309533"/>
    <n v="21.135993957519531"/>
    <n v="407900"/>
    <n v="0"/>
    <n v="0"/>
    <s v="AB"/>
  </r>
  <r>
    <x v="1225"/>
    <n v="21.114597821548539"/>
    <n v="21.349996996561966"/>
    <n v="20.971931077661839"/>
    <n v="21.271530151367188"/>
    <n v="341100"/>
    <n v="0"/>
    <n v="0"/>
    <s v="AB"/>
  </r>
  <r>
    <x v="1226"/>
    <n v="21.328596608767011"/>
    <n v="21.335730082029126"/>
    <n v="21.100330906662972"/>
    <n v="21.292930603027344"/>
    <n v="142400"/>
    <n v="0"/>
    <n v="0"/>
    <s v="AB"/>
  </r>
  <r>
    <x v="1227"/>
    <n v="21.292931541931832"/>
    <n v="21.392797450863178"/>
    <n v="21.078931416344854"/>
    <n v="21.185932159423828"/>
    <n v="186600"/>
    <n v="0"/>
    <n v="0"/>
    <s v="AB"/>
  </r>
  <r>
    <x v="1228"/>
    <n v="21.114596339724844"/>
    <n v="21.200195291592802"/>
    <n v="20.857796762979351"/>
    <n v="21.007596969604492"/>
    <n v="202200"/>
    <n v="0"/>
    <n v="0"/>
    <s v="AB"/>
  </r>
  <r>
    <x v="1229"/>
    <n v="21.1146001639577"/>
    <n v="21.13599922551504"/>
    <n v="20.922000446515316"/>
    <n v="21.000467300415039"/>
    <n v="156500"/>
    <n v="0"/>
    <n v="0"/>
    <s v="AB"/>
  </r>
  <r>
    <x v="1230"/>
    <n v="20.943397455934772"/>
    <n v="21.028996409357962"/>
    <n v="20.736530824115537"/>
    <n v="20.900596618652344"/>
    <n v="130600"/>
    <n v="0"/>
    <n v="0"/>
    <s v="AB"/>
  </r>
  <r>
    <x v="1231"/>
    <n v="20.886327682776773"/>
    <n v="21.000460509411845"/>
    <n v="20.700861499352133"/>
    <n v="20.85066032409668"/>
    <n v="125900"/>
    <n v="0"/>
    <n v="0"/>
    <s v="AB"/>
  </r>
  <r>
    <x v="1232"/>
    <n v="20.900593777751777"/>
    <n v="21.028993551004735"/>
    <n v="20.750794949337095"/>
    <n v="20.829261779785156"/>
    <n v="103100"/>
    <n v="0"/>
    <n v="0"/>
    <s v="AB"/>
  </r>
  <r>
    <x v="1233"/>
    <n v="20.872062065163846"/>
    <n v="20.936261954295578"/>
    <n v="20.579596508261822"/>
    <n v="20.658061981201172"/>
    <n v="271600"/>
    <n v="0"/>
    <n v="0"/>
    <s v="AB"/>
  </r>
  <r>
    <x v="1234"/>
    <n v="20.69372833389459"/>
    <n v="20.793594218535691"/>
    <n v="20.508262147724949"/>
    <n v="20.543928146362305"/>
    <n v="238700"/>
    <n v="0"/>
    <n v="0"/>
    <s v="AB"/>
  </r>
  <r>
    <x v="1235"/>
    <n v="20.558198447336295"/>
    <n v="20.693731713318872"/>
    <n v="20.458332546386426"/>
    <n v="20.600997924804688"/>
    <n v="160900"/>
    <n v="0"/>
    <n v="0"/>
    <s v="AB"/>
  </r>
  <r>
    <x v="1236"/>
    <n v="20.807867949359732"/>
    <n v="20.986200721856619"/>
    <n v="20.63666865103125"/>
    <n v="20.665201187133789"/>
    <n v="178400"/>
    <n v="0"/>
    <n v="0"/>
    <s v="AB"/>
  </r>
  <r>
    <x v="1237"/>
    <n v="20.679462820435383"/>
    <n v="20.679462820435383"/>
    <n v="20.222931475563772"/>
    <n v="20.408397674560547"/>
    <n v="314800"/>
    <n v="0"/>
    <n v="0"/>
    <s v="AB"/>
  </r>
  <r>
    <x v="1238"/>
    <n v="20.222932325034488"/>
    <n v="20.551063902801545"/>
    <n v="20.115932956657002"/>
    <n v="20.258598327636719"/>
    <n v="355000"/>
    <n v="0"/>
    <n v="0"/>
    <s v="AB"/>
  </r>
  <r>
    <x v="1239"/>
    <n v="20.222932911329504"/>
    <n v="20.529665440656203"/>
    <n v="20.222932911329504"/>
    <n v="20.465465545654297"/>
    <n v="282900"/>
    <n v="0"/>
    <n v="0"/>
    <s v="AB"/>
  </r>
  <r>
    <x v="1240"/>
    <n v="20.401263714230236"/>
    <n v="20.579596436626353"/>
    <n v="20.25859699208506"/>
    <n v="20.444063186645508"/>
    <n v="342300"/>
    <n v="0"/>
    <n v="0"/>
    <s v="AB"/>
  </r>
  <r>
    <x v="1241"/>
    <n v="20.579596647345046"/>
    <n v="20.971928096405392"/>
    <n v="20.579596647345046"/>
    <n v="20.914861679077148"/>
    <n v="315100"/>
    <n v="0"/>
    <n v="0"/>
    <s v="AB"/>
  </r>
  <r>
    <x v="1242"/>
    <n v="20.615264371343699"/>
    <n v="20.793597110473957"/>
    <n v="20.294266257251731"/>
    <n v="20.451198577880859"/>
    <n v="969300"/>
    <n v="0"/>
    <n v="0"/>
    <s v="AB"/>
  </r>
  <r>
    <x v="1243"/>
    <n v="20.329933697244392"/>
    <n v="20.629532774573992"/>
    <n v="20.322800223906675"/>
    <n v="20.508266448974609"/>
    <n v="388700"/>
    <n v="0"/>
    <n v="0"/>
    <s v="AB"/>
  </r>
  <r>
    <x v="1244"/>
    <n v="20.329929433396906"/>
    <n v="20.579595505570293"/>
    <n v="20.329929433396906"/>
    <n v="20.543928146362305"/>
    <n v="339800"/>
    <n v="0"/>
    <n v="0"/>
    <s v="AB"/>
  </r>
  <r>
    <x v="1245"/>
    <n v="20.579594213455085"/>
    <n v="21.542591082477696"/>
    <n v="20.565327270667655"/>
    <n v="21.535457611083984"/>
    <n v="1012100"/>
    <n v="0"/>
    <n v="0"/>
    <s v="AB"/>
  </r>
  <r>
    <x v="1246"/>
    <n v="21.578265216889427"/>
    <n v="21.756597987276944"/>
    <n v="21.357132962568805"/>
    <n v="21.699531555175781"/>
    <n v="1496400"/>
    <n v="0"/>
    <n v="0"/>
    <s v="AB"/>
  </r>
  <r>
    <x v="1247"/>
    <n v="21.578262307572622"/>
    <n v="22.056194122196239"/>
    <n v="21.485529878125149"/>
    <n v="21.563995361328125"/>
    <n v="491300"/>
    <n v="0"/>
    <n v="0"/>
    <s v="AB"/>
  </r>
  <r>
    <x v="1248"/>
    <n v="21.485528444107338"/>
    <n v="21.685260235915997"/>
    <n v="21.257261401143349"/>
    <n v="21.514060974121094"/>
    <n v="326000"/>
    <n v="0"/>
    <n v="0"/>
    <s v="AB"/>
  </r>
  <r>
    <x v="1249"/>
    <n v="21.292929684389577"/>
    <n v="21.556861380846513"/>
    <n v="21.278662738480865"/>
    <n v="21.407062530517578"/>
    <n v="369000"/>
    <n v="0"/>
    <n v="0"/>
    <s v="AB"/>
  </r>
  <r>
    <x v="1250"/>
    <n v="21.42132947642629"/>
    <n v="21.528328849599937"/>
    <n v="21.328595688590511"/>
    <n v="21.407062530517578"/>
    <n v="180800"/>
    <n v="0"/>
    <n v="0"/>
    <s v="AB"/>
  </r>
  <r>
    <x v="1251"/>
    <n v="21.399927116123177"/>
    <n v="21.485527423238789"/>
    <n v="21.292927752656706"/>
    <n v="21.385660171508789"/>
    <n v="211400"/>
    <n v="0"/>
    <n v="0"/>
    <s v="AB"/>
  </r>
  <r>
    <x v="1252"/>
    <n v="21.499798328566648"/>
    <n v="21.506931802639404"/>
    <n v="21.321465558460897"/>
    <n v="21.47126579284668"/>
    <n v="183100"/>
    <n v="0"/>
    <n v="0"/>
    <s v="AB"/>
  </r>
  <r>
    <x v="1253"/>
    <n v="21.471263391778706"/>
    <n v="21.535463290683175"/>
    <n v="21.435596025403495"/>
    <n v="21.506929397583008"/>
    <n v="46200"/>
    <n v="0"/>
    <n v="0"/>
    <s v="AB"/>
  </r>
  <r>
    <x v="1254"/>
    <n v="21.542596302532257"/>
    <n v="21.706662102631334"/>
    <n v="21.514062410043262"/>
    <n v="21.563995361328125"/>
    <n v="180200"/>
    <n v="0"/>
    <n v="0"/>
    <s v="AB"/>
  </r>
  <r>
    <x v="1255"/>
    <n v="21.756596974250986"/>
    <n v="21.756596974250986"/>
    <n v="21.342865020638886"/>
    <n v="21.364265441894531"/>
    <n v="149300"/>
    <n v="0"/>
    <n v="0"/>
    <s v="AB"/>
  </r>
  <r>
    <x v="1256"/>
    <n v="21.364263577504115"/>
    <n v="21.613928334177512"/>
    <n v="21.264396314263877"/>
    <n v="21.578262329101563"/>
    <n v="253900"/>
    <n v="0"/>
    <n v="0"/>
    <s v="AB"/>
  </r>
  <r>
    <x v="1257"/>
    <n v="21.656727270094748"/>
    <n v="21.67099285452916"/>
    <n v="21.485528011744965"/>
    <n v="21.585393905639648"/>
    <n v="182600"/>
    <n v="0"/>
    <n v="0"/>
    <s v="AB"/>
  </r>
  <r>
    <x v="1258"/>
    <n v="21.578262307572622"/>
    <n v="21.656729151346475"/>
    <n v="21.514062410043262"/>
    <n v="21.563995361328125"/>
    <n v="281200"/>
    <n v="0"/>
    <n v="0"/>
    <s v="AB"/>
  </r>
  <r>
    <x v="1259"/>
    <n v="21.506929450553546"/>
    <n v="21.606796716079195"/>
    <n v="21.399930072306194"/>
    <n v="21.542596817016602"/>
    <n v="249700"/>
    <n v="0"/>
    <n v="0"/>
    <s v="AB"/>
  </r>
  <r>
    <x v="1260"/>
    <n v="21.407056976121627"/>
    <n v="21.749455425665001"/>
    <n v="21.399923505018162"/>
    <n v="21.656723022460938"/>
    <n v="292700"/>
    <n v="0"/>
    <n v="0"/>
    <s v="AB"/>
  </r>
  <r>
    <x v="1261"/>
    <n v="21.685258698751479"/>
    <n v="22.270189808563778"/>
    <n v="21.635325754338822"/>
    <n v="22.255924224853516"/>
    <n v="488900"/>
    <n v="0"/>
    <n v="0"/>
    <s v="AB"/>
  </r>
  <r>
    <x v="1262"/>
    <n v="22.220257496803242"/>
    <n v="22.855122929674693"/>
    <n v="22.113258132790978"/>
    <n v="22.655389785766602"/>
    <n v="616700"/>
    <n v="0"/>
    <n v="0"/>
    <s v="AB"/>
  </r>
  <r>
    <x v="1263"/>
    <n v="22.755259456928009"/>
    <n v="22.819459358112677"/>
    <n v="22.526993746302953"/>
    <n v="22.619726181030273"/>
    <n v="327700"/>
    <n v="0"/>
    <n v="0"/>
    <s v="AB"/>
  </r>
  <r>
    <x v="1264"/>
    <n v="22.648257261850198"/>
    <n v="22.855123886764694"/>
    <n v="22.562656950713315"/>
    <n v="22.740989685058594"/>
    <n v="281300"/>
    <n v="0"/>
    <n v="0"/>
    <s v="AB"/>
  </r>
  <r>
    <x v="1265"/>
    <n v="22.897923630297736"/>
    <n v="23.147591108825914"/>
    <n v="22.8408585662416"/>
    <n v="23.097658157348633"/>
    <n v="544600"/>
    <n v="0"/>
    <n v="0"/>
    <s v="AB"/>
  </r>
  <r>
    <x v="1266"/>
    <n v="23.183252724232496"/>
    <n v="23.183252724232496"/>
    <n v="23.026319065795565"/>
    <n v="23.090518951416016"/>
    <n v="420900"/>
    <n v="0"/>
    <n v="0"/>
    <s v="AB"/>
  </r>
  <r>
    <x v="1267"/>
    <n v="23.126191242858027"/>
    <n v="23.340192733920354"/>
    <n v="23.119059129688882"/>
    <n v="23.297391891479492"/>
    <n v="256400"/>
    <n v="0"/>
    <n v="0"/>
    <s v="AB"/>
  </r>
  <r>
    <x v="1268"/>
    <n v="23.397254143112487"/>
    <n v="23.589853822258682"/>
    <n v="23.30452035956619"/>
    <n v="23.582721710205078"/>
    <n v="274500"/>
    <n v="0"/>
    <n v="0"/>
    <s v="AB"/>
  </r>
  <r>
    <x v="1269"/>
    <n v="23.682590939072018"/>
    <n v="23.803855909042053"/>
    <n v="23.432923443790603"/>
    <n v="23.618391036987305"/>
    <n v="248800"/>
    <n v="0"/>
    <n v="0"/>
    <s v="AB"/>
  </r>
  <r>
    <x v="1270"/>
    <n v="23.554187729499613"/>
    <n v="23.60412067710833"/>
    <n v="23.290256046261884"/>
    <n v="23.525653839111328"/>
    <n v="376700"/>
    <n v="0"/>
    <n v="0"/>
    <s v="AB"/>
  </r>
  <r>
    <x v="1271"/>
    <n v="23.61125009316428"/>
    <n v="23.896583522184173"/>
    <n v="23.575584094822105"/>
    <n v="23.711118698120117"/>
    <n v="515500"/>
    <n v="0"/>
    <n v="0"/>
    <s v="AB"/>
  </r>
  <r>
    <x v="1272"/>
    <n v="23.796720098784522"/>
    <n v="24.067786612265682"/>
    <n v="23.475720638233348"/>
    <n v="24.060651779174805"/>
    <n v="279900"/>
    <n v="0"/>
    <n v="0"/>
    <s v="AB"/>
  </r>
  <r>
    <x v="1273"/>
    <n v="24.074921062314932"/>
    <n v="24.217587805431084"/>
    <n v="23.78245546344063"/>
    <n v="23.982187271118164"/>
    <n v="168800"/>
    <n v="0"/>
    <n v="0"/>
    <s v="AB"/>
  </r>
  <r>
    <x v="1274"/>
    <n v="23.575585919850774"/>
    <n v="23.889453260297941"/>
    <n v="23.539919918747628"/>
    <n v="23.839517593383789"/>
    <n v="181000"/>
    <n v="0"/>
    <n v="0"/>
    <s v="AB"/>
  </r>
  <r>
    <x v="1275"/>
    <n v="23.960786418381865"/>
    <n v="24.060652314744821"/>
    <n v="23.875187467376701"/>
    <n v="24.053520202636719"/>
    <n v="269600"/>
    <n v="0"/>
    <n v="0"/>
    <s v="AB"/>
  </r>
  <r>
    <x v="1276"/>
    <n v="24.196185098622777"/>
    <n v="24.31745277802716"/>
    <n v="24.08205225272896"/>
    <n v="24.096319198608398"/>
    <n v="201000"/>
    <n v="0"/>
    <n v="0"/>
    <s v="AB"/>
  </r>
  <r>
    <x v="1277"/>
    <n v="24.039255530992904"/>
    <n v="24.139121436801517"/>
    <n v="23.718256032935336"/>
    <n v="23.932254791259766"/>
    <n v="174400"/>
    <n v="0"/>
    <n v="0"/>
    <s v="AB"/>
  </r>
  <r>
    <x v="1278"/>
    <n v="23.875186655258062"/>
    <n v="23.875186655258062"/>
    <n v="23.325921522803561"/>
    <n v="23.361587524414063"/>
    <n v="185900"/>
    <n v="0"/>
    <n v="0"/>
    <s v="AB"/>
  </r>
  <r>
    <x v="1279"/>
    <n v="23.333051496497571"/>
    <n v="23.882316578619051"/>
    <n v="23.311652441720515"/>
    <n v="23.711118698120117"/>
    <n v="260000"/>
    <n v="0"/>
    <n v="0"/>
    <s v="AB"/>
  </r>
  <r>
    <x v="1280"/>
    <n v="23.896588904031752"/>
    <n v="24.296055250396787"/>
    <n v="23.732523097794825"/>
    <n v="24.20332145690918"/>
    <n v="200500"/>
    <n v="0"/>
    <n v="0"/>
    <s v="AB"/>
  </r>
  <r>
    <x v="1281"/>
    <n v="24.395917473000189"/>
    <n v="24.538584198098491"/>
    <n v="24.281784637149837"/>
    <n v="24.474384307861328"/>
    <n v="140200"/>
    <n v="0"/>
    <n v="0"/>
    <s v="AB"/>
  </r>
  <r>
    <x v="1282"/>
    <n v="24.574249708902851"/>
    <n v="24.666983486538193"/>
    <n v="24.410183930711948"/>
    <n v="24.510049819946289"/>
    <n v="273200"/>
    <n v="0"/>
    <n v="0"/>
    <s v="AB"/>
  </r>
  <r>
    <x v="1283"/>
    <n v="24.510053570891525"/>
    <n v="24.588520416195809"/>
    <n v="24.296054815333722"/>
    <n v="24.467252731323242"/>
    <n v="215300"/>
    <n v="0"/>
    <n v="0"/>
    <s v="AB"/>
  </r>
  <r>
    <x v="1284"/>
    <n v="24.4387203551662"/>
    <n v="24.866720613989195"/>
    <n v="24.381655286674992"/>
    <n v="24.77398681640625"/>
    <n v="187200"/>
    <n v="0"/>
    <n v="0"/>
    <s v="AB"/>
  </r>
  <r>
    <x v="1285"/>
    <n v="24.909513962542118"/>
    <n v="25.273314248896568"/>
    <n v="24.666984066494432"/>
    <n v="24.873847961425781"/>
    <n v="321900"/>
    <n v="0"/>
    <n v="0"/>
    <s v="AB"/>
  </r>
  <r>
    <x v="1286"/>
    <n v="24.895249366750384"/>
    <n v="25.266179038183552"/>
    <n v="24.124850692678223"/>
    <n v="24.98084831237793"/>
    <n v="646200"/>
    <n v="0"/>
    <n v="0"/>
    <s v="AB"/>
  </r>
  <r>
    <x v="1287"/>
    <n v="25.144918268315102"/>
    <n v="25.144918268315102"/>
    <n v="24.574254000780297"/>
    <n v="24.645586013793945"/>
    <n v="460900"/>
    <n v="0"/>
    <n v="0"/>
    <s v="AB"/>
  </r>
  <r>
    <x v="1288"/>
    <n v="24.452984822678385"/>
    <n v="24.752585245584743"/>
    <n v="24.403051872384278"/>
    <n v="24.552850723266602"/>
    <n v="393000"/>
    <n v="0"/>
    <n v="0"/>
    <s v="AB"/>
  </r>
  <r>
    <x v="1289"/>
    <n v="24.795380847217899"/>
    <n v="25.401713743937339"/>
    <n v="24.659848956044613"/>
    <n v="25.209114074707031"/>
    <n v="748400"/>
    <n v="0"/>
    <n v="0"/>
    <s v="AB"/>
  </r>
  <r>
    <x v="1290"/>
    <n v="25.266180608210213"/>
    <n v="25.480182067289135"/>
    <n v="25.251916384003767"/>
    <n v="25.458780288696289"/>
    <n v="460000"/>
    <n v="0"/>
    <n v="0"/>
    <s v="AB"/>
  </r>
  <r>
    <x v="1291"/>
    <n v="25.415981774908133"/>
    <n v="25.72271429222295"/>
    <n v="25.287581989932555"/>
    <n v="25.551513671875"/>
    <n v="718200"/>
    <n v="0"/>
    <n v="0"/>
    <s v="AB"/>
  </r>
  <r>
    <x v="1292"/>
    <n v="25.390763048558526"/>
    <n v="25.456523409672002"/>
    <n v="24.871988414931515"/>
    <n v="24.915826797485352"/>
    <n v="531100"/>
    <n v="0.85"/>
    <n v="0"/>
    <s v="AB"/>
  </r>
  <r>
    <x v="1293"/>
    <n v="24.185159187282014"/>
    <n v="24.33129364384552"/>
    <n v="23.242596262735944"/>
    <n v="24.126707077026367"/>
    <n v="625000"/>
    <n v="0"/>
    <n v="0"/>
    <s v="AB"/>
  </r>
  <r>
    <x v="1294"/>
    <n v="24.126711353041859"/>
    <n v="24.506659892532685"/>
    <n v="23.147613944007187"/>
    <n v="23.637161254882813"/>
    <n v="869100"/>
    <n v="0"/>
    <n v="0"/>
    <s v="AB"/>
  </r>
  <r>
    <x v="1295"/>
    <n v="23.637159527288929"/>
    <n v="23.849054372009348"/>
    <n v="23.330279645100642"/>
    <n v="23.417959213256836"/>
    <n v="451700"/>
    <n v="0"/>
    <n v="0"/>
    <s v="AB"/>
  </r>
  <r>
    <x v="1296"/>
    <n v="22.943025848946988"/>
    <n v="23.008786226409367"/>
    <n v="21.912781793558633"/>
    <n v="22.292730331420898"/>
    <n v="1014500"/>
    <n v="0"/>
    <n v="0"/>
    <s v="AB"/>
  </r>
  <r>
    <x v="1297"/>
    <n v="21.664350807519611"/>
    <n v="22.3146476225402"/>
    <n v="20.751013915182007"/>
    <n v="22.219659805297852"/>
    <n v="1561000"/>
    <n v="0"/>
    <n v="0"/>
    <s v="AB"/>
  </r>
  <r>
    <x v="1298"/>
    <n v="22.212351112864894"/>
    <n v="23.958652054814316"/>
    <n v="22.212351112864894"/>
    <n v="23.849050521850586"/>
    <n v="949500"/>
    <n v="0"/>
    <n v="0"/>
    <s v="AB"/>
  </r>
  <r>
    <x v="1299"/>
    <n v="24.031723045787359"/>
    <n v="24.185162995059724"/>
    <n v="22.650757927769341"/>
    <n v="23.05262565612793"/>
    <n v="923500"/>
    <n v="0"/>
    <n v="0"/>
    <s v="AB"/>
  </r>
  <r>
    <x v="1300"/>
    <n v="23.425267861286397"/>
    <n v="23.900201418411505"/>
    <n v="23.16953183457294"/>
    <n v="23.885587692260742"/>
    <n v="625800"/>
    <n v="0"/>
    <n v="0"/>
    <s v="AB"/>
  </r>
  <r>
    <x v="1301"/>
    <n v="23.637157573004828"/>
    <n v="23.637157573004828"/>
    <n v="22.592301342621248"/>
    <n v="22.760354995727539"/>
    <n v="628500"/>
    <n v="0"/>
    <n v="0"/>
    <s v="AB"/>
  </r>
  <r>
    <x v="1302"/>
    <n v="21.81048849245791"/>
    <n v="22.446170283071982"/>
    <n v="21.627821086982788"/>
    <n v="22.292730331420898"/>
    <n v="688300"/>
    <n v="0"/>
    <n v="0"/>
    <s v="AB"/>
  </r>
  <r>
    <x v="1303"/>
    <n v="20.729097676724404"/>
    <n v="20.787551190421166"/>
    <n v="19.545412282312832"/>
    <n v="20.10072135925293"/>
    <n v="1304300"/>
    <n v="0"/>
    <n v="0"/>
    <s v="AB"/>
  </r>
  <r>
    <x v="1304"/>
    <n v="21.196725225734614"/>
    <n v="21.664353322941931"/>
    <n v="20.40029525165237"/>
    <n v="21.605899810791016"/>
    <n v="848500"/>
    <n v="0"/>
    <n v="0"/>
    <s v="AB"/>
  </r>
  <r>
    <x v="1305"/>
    <n v="20.992133745609181"/>
    <n v="21.057894110048892"/>
    <n v="19.435808372365983"/>
    <n v="19.443115234375"/>
    <n v="848400"/>
    <n v="0"/>
    <n v="0"/>
    <s v="AB"/>
  </r>
  <r>
    <x v="1306"/>
    <n v="17.755268675039311"/>
    <n v="17.821029042947281"/>
    <n v="13.970401754162006"/>
    <n v="16.483903884887695"/>
    <n v="1867400"/>
    <n v="0"/>
    <n v="0"/>
    <s v="AB"/>
  </r>
  <r>
    <x v="1307"/>
    <n v="17.514149378945515"/>
    <n v="17.901404759119078"/>
    <n v="15.358674948216155"/>
    <n v="17.652976989746094"/>
    <n v="1215700"/>
    <n v="0"/>
    <n v="0"/>
    <s v="AB"/>
  </r>
  <r>
    <x v="1308"/>
    <n v="14.613392262162357"/>
    <n v="17.294949798014816"/>
    <n v="14.576859338963626"/>
    <n v="14.591471672058105"/>
    <n v="827700"/>
    <n v="0"/>
    <n v="0"/>
    <s v="AB"/>
  </r>
  <r>
    <x v="1309"/>
    <n v="14.715683032308656"/>
    <n v="15.117552086619177"/>
    <n v="13.25434405730628"/>
    <n v="13.743892669677734"/>
    <n v="2355200"/>
    <n v="0"/>
    <n v="0"/>
    <s v="AB"/>
  </r>
  <r>
    <x v="1310"/>
    <n v="12.684421659325199"/>
    <n v="13.04975637169156"/>
    <n v="10.594706658624403"/>
    <n v="10.711613655090332"/>
    <n v="1756400"/>
    <n v="0"/>
    <n v="0"/>
    <s v="AB"/>
  </r>
  <r>
    <x v="1311"/>
    <n v="10.594707967124029"/>
    <n v="14.686457529707127"/>
    <n v="9.6740642110197186"/>
    <n v="14.101921081542969"/>
    <n v="2225500"/>
    <n v="0"/>
    <n v="0"/>
    <s v="AB"/>
  </r>
  <r>
    <x v="1312"/>
    <n v="14.240748530852196"/>
    <n v="14.584162697591847"/>
    <n v="12.421381624808413"/>
    <n v="12.465221405029297"/>
    <n v="1346400"/>
    <n v="0"/>
    <n v="0"/>
    <s v="AB"/>
  </r>
  <r>
    <x v="1313"/>
    <n v="11.215777848122134"/>
    <n v="11.522659114235575"/>
    <n v="10.243987404369831"/>
    <n v="11.186551094055176"/>
    <n v="1319200"/>
    <n v="0"/>
    <n v="0"/>
    <s v="AB"/>
  </r>
  <r>
    <x v="1314"/>
    <n v="11.690712193383272"/>
    <n v="14.058081245306404"/>
    <n v="11.683405331025428"/>
    <n v="12.355621337890625"/>
    <n v="1465200"/>
    <n v="0"/>
    <n v="0"/>
    <s v="AB"/>
  </r>
  <r>
    <x v="1315"/>
    <n v="12.83786509566203"/>
    <n v="13.890029746487762"/>
    <n v="12.077969409918014"/>
    <n v="13.166666984558105"/>
    <n v="1200200"/>
    <n v="0"/>
    <n v="0"/>
    <s v="AB"/>
  </r>
  <r>
    <x v="1316"/>
    <n v="13.79504136100862"/>
    <n v="15.124861196554471"/>
    <n v="13.524694390894025"/>
    <n v="14.445338249206543"/>
    <n v="1183300"/>
    <n v="0"/>
    <n v="0"/>
    <s v="AB"/>
  </r>
  <r>
    <x v="1317"/>
    <n v="13.999626040011888"/>
    <n v="14.328427837978671"/>
    <n v="13.590451553152034"/>
    <n v="13.678131103515625"/>
    <n v="650100"/>
    <n v="0"/>
    <n v="0"/>
    <s v="AB"/>
  </r>
  <r>
    <x v="1318"/>
    <n v="13.553917306730906"/>
    <n v="13.787732693914691"/>
    <n v="12.8013286892213"/>
    <n v="13.736584663391113"/>
    <n v="607800"/>
    <n v="0"/>
    <n v="0"/>
    <s v="AB"/>
  </r>
  <r>
    <x v="1319"/>
    <n v="13.678135397955245"/>
    <n v="14.006937299153929"/>
    <n v="13.415095270638062"/>
    <n v="13.583148956298828"/>
    <n v="282400"/>
    <n v="0"/>
    <n v="0"/>
    <s v="AB"/>
  </r>
  <r>
    <x v="1320"/>
    <n v="13.05706545530315"/>
    <n v="13.247038311659972"/>
    <n v="12.180261438947753"/>
    <n v="12.39946174621582"/>
    <n v="390500"/>
    <n v="0"/>
    <n v="0"/>
    <s v="AB"/>
  </r>
  <r>
    <x v="1321"/>
    <n v="12.377543922177571"/>
    <n v="13.678134971621429"/>
    <n v="12.33370274095639"/>
    <n v="13.51008129119873"/>
    <n v="556000"/>
    <n v="0"/>
    <n v="0"/>
    <s v="AB"/>
  </r>
  <r>
    <x v="1322"/>
    <n v="13.444318627320374"/>
    <n v="13.539306443508861"/>
    <n v="12.60404897442063"/>
    <n v="12.669809341430664"/>
    <n v="321500"/>
    <n v="0"/>
    <n v="0"/>
    <s v="AB"/>
  </r>
  <r>
    <x v="1323"/>
    <n v="13.758507047520478"/>
    <n v="14.058081440136386"/>
    <n v="13.2908789992696"/>
    <n v="13.656213760375977"/>
    <n v="476200"/>
    <n v="0"/>
    <n v="0"/>
    <s v="AB"/>
  </r>
  <r>
    <x v="1324"/>
    <n v="13.882722915459183"/>
    <n v="15.059101461102916"/>
    <n v="13.882722915459183"/>
    <n v="14.715685844421387"/>
    <n v="760200"/>
    <n v="0"/>
    <n v="0"/>
    <s v="AB"/>
  </r>
  <r>
    <x v="1325"/>
    <n v="14.942195757031444"/>
    <n v="15.702091511924861"/>
    <n v="14.737607741585375"/>
    <n v="15.278303146362305"/>
    <n v="568400"/>
    <n v="0"/>
    <n v="0"/>
    <s v="AB"/>
  </r>
  <r>
    <x v="1326"/>
    <n v="15.468273522996414"/>
    <n v="16.856545307932567"/>
    <n v="15.351366513337043"/>
    <n v="16.045501708984375"/>
    <n v="866600"/>
    <n v="0"/>
    <n v="0"/>
    <s v="AB"/>
  </r>
  <r>
    <x v="1327"/>
    <n v="15.672860465619227"/>
    <n v="15.92128819337046"/>
    <n v="14.51109591338299"/>
    <n v="14.788749694824219"/>
    <n v="742100"/>
    <n v="0"/>
    <n v="0"/>
    <s v="AB"/>
  </r>
  <r>
    <x v="1328"/>
    <n v="14.744908655621195"/>
    <n v="15.862831941190137"/>
    <n v="14.744908655621195"/>
    <n v="15.241764068603516"/>
    <n v="587800"/>
    <n v="0"/>
    <n v="0"/>
    <s v="AB"/>
  </r>
  <r>
    <x v="1329"/>
    <n v="14.693766365569591"/>
    <n v="14.942194145517686"/>
    <n v="14.41611113214916"/>
    <n v="14.591471672058105"/>
    <n v="430600"/>
    <n v="0"/>
    <n v="0"/>
    <s v="AB"/>
  </r>
  <r>
    <x v="1330"/>
    <n v="14.569551417076188"/>
    <n v="14.825286041812518"/>
    <n v="14.131149402334133"/>
    <n v="14.51109790802002"/>
    <n v="426000"/>
    <n v="0"/>
    <n v="0"/>
    <s v="AB"/>
  </r>
  <r>
    <x v="1331"/>
    <n v="15.13216637938922"/>
    <n v="15.592488996644198"/>
    <n v="14.949498983827448"/>
    <n v="15.037179946899414"/>
    <n v="535300"/>
    <n v="0"/>
    <n v="0"/>
    <s v="AB"/>
  </r>
  <r>
    <x v="1332"/>
    <n v="14.649925466488401"/>
    <n v="15.417129411159332"/>
    <n v="14.628006269605216"/>
    <n v="14.715685844421387"/>
    <n v="362900"/>
    <n v="0"/>
    <n v="0"/>
    <s v="AB"/>
  </r>
  <r>
    <x v="1333"/>
    <n v="14.613389508164161"/>
    <n v="14.766829429052001"/>
    <n v="13.977706451356793"/>
    <n v="14.145761489868164"/>
    <n v="446200"/>
    <n v="0"/>
    <n v="0"/>
    <s v="AB"/>
  </r>
  <r>
    <x v="1334"/>
    <n v="14.394187160573326"/>
    <n v="14.554933920420135"/>
    <n v="14.116532019261935"/>
    <n v="14.364959716796875"/>
    <n v="203400"/>
    <n v="0"/>
    <n v="0"/>
    <s v="AB"/>
  </r>
  <r>
    <x v="1335"/>
    <n v="14.364961948328391"/>
    <n v="15.139471211384926"/>
    <n v="14.262668666502464"/>
    <n v="14.321122169494629"/>
    <n v="409400"/>
    <n v="0"/>
    <n v="0"/>
    <s v="AB"/>
  </r>
  <r>
    <x v="1336"/>
    <n v="14.343044167348371"/>
    <n v="15.051794597594617"/>
    <n v="14.343044167348371"/>
    <n v="14.715685844421387"/>
    <n v="319700"/>
    <n v="0"/>
    <n v="0"/>
    <s v="AB"/>
  </r>
  <r>
    <x v="1337"/>
    <n v="14.61338993220712"/>
    <n v="15.395206070597565"/>
    <n v="14.61338993220712"/>
    <n v="15.380592346191406"/>
    <n v="403300"/>
    <n v="0"/>
    <n v="0"/>
    <s v="AB"/>
  </r>
  <r>
    <x v="1338"/>
    <n v="16.074728754328767"/>
    <n v="16.688491236439909"/>
    <n v="15.797074961774417"/>
    <n v="16.235475540161133"/>
    <n v="929500"/>
    <n v="0"/>
    <n v="0"/>
    <s v="AB"/>
  </r>
  <r>
    <x v="1339"/>
    <n v="16.38161387413124"/>
    <n v="17.156123325458765"/>
    <n v="16.38161387413124"/>
    <n v="16.878469467163086"/>
    <n v="777900"/>
    <n v="0"/>
    <n v="0"/>
    <s v="AB"/>
  </r>
  <r>
    <x v="1340"/>
    <n v="16.805398643599858"/>
    <n v="17.178040259021007"/>
    <n v="16.374303523424889"/>
    <n v="17.112279891967773"/>
    <n v="686100"/>
    <n v="0"/>
    <n v="0"/>
    <s v="AB"/>
  </r>
  <r>
    <x v="1341"/>
    <n v="16.425448635224576"/>
    <n v="16.659262632451192"/>
    <n v="15.687472335452227"/>
    <n v="15.892060279846191"/>
    <n v="523700"/>
    <n v="0"/>
    <n v="0"/>
    <s v="AB"/>
  </r>
  <r>
    <x v="1342"/>
    <n v="15.840915452424658"/>
    <n v="16.505824605637777"/>
    <n v="15.585180841117724"/>
    <n v="16.469291687011719"/>
    <n v="261200"/>
    <n v="0"/>
    <n v="0"/>
    <s v="AB"/>
  </r>
  <r>
    <x v="1343"/>
    <n v="17.075751372093237"/>
    <n v="17.126898027720827"/>
    <n v="16.206254045498678"/>
    <n v="16.264707565307617"/>
    <n v="355900"/>
    <n v="0"/>
    <n v="0"/>
    <s v="AB"/>
  </r>
  <r>
    <x v="1344"/>
    <n v="16.440065226098763"/>
    <n v="16.59350516592772"/>
    <n v="15.694781934708304"/>
    <n v="16.001663208007813"/>
    <n v="311000"/>
    <n v="0"/>
    <n v="0"/>
    <s v="AB"/>
  </r>
  <r>
    <x v="1345"/>
    <n v="16.476597781681601"/>
    <n v="17.002680749185576"/>
    <n v="16.177023377915869"/>
    <n v="16.513132095336914"/>
    <n v="364300"/>
    <n v="0"/>
    <n v="0"/>
    <s v="AB"/>
  </r>
  <r>
    <x v="1346"/>
    <n v="16.956790085408027"/>
    <n v="17.144781112670898"/>
    <n v="16.761280679201427"/>
    <n v="17.144781112670898"/>
    <n v="203100"/>
    <n v="0.64"/>
    <n v="0"/>
    <s v="AB"/>
  </r>
  <r>
    <x v="1347"/>
    <n v="16.919192223033875"/>
    <n v="17.197419570663818"/>
    <n v="16.625926683463749"/>
    <n v="16.926712036132813"/>
    <n v="242500"/>
    <n v="0"/>
    <n v="0"/>
    <s v="AB"/>
  </r>
  <r>
    <x v="1348"/>
    <n v="16.979348963845833"/>
    <n v="17.107182915529989"/>
    <n v="16.076991489103822"/>
    <n v="16.122110366821289"/>
    <n v="342900"/>
    <n v="0"/>
    <n v="0"/>
    <s v="AB"/>
  </r>
  <r>
    <x v="1349"/>
    <n v="16.19730925173587"/>
    <n v="16.234906887325419"/>
    <n v="15.52054033706111"/>
    <n v="15.90404224395752"/>
    <n v="396300"/>
    <n v="0"/>
    <n v="0"/>
    <s v="AB"/>
  </r>
  <r>
    <x v="1350"/>
    <n v="15.528060755564489"/>
    <n v="16.249947147902549"/>
    <n v="15.069363559631118"/>
    <n v="16.204828262329102"/>
    <n v="477500"/>
    <n v="0"/>
    <n v="0"/>
    <s v="AB"/>
  </r>
  <r>
    <x v="1351"/>
    <n v="15.979237373971067"/>
    <n v="16.633446782237634"/>
    <n v="15.723569461246912"/>
    <n v="15.994277000427246"/>
    <n v="347200"/>
    <n v="0"/>
    <n v="0"/>
    <s v="AB"/>
  </r>
  <r>
    <x v="1352"/>
    <n v="16.618407096889484"/>
    <n v="17.317733947788607"/>
    <n v="16.415376443223732"/>
    <n v="17.144781112670898"/>
    <n v="645400"/>
    <n v="0"/>
    <n v="0"/>
    <s v="AB"/>
  </r>
  <r>
    <x v="1353"/>
    <n v="16.956788899932899"/>
    <n v="17.994500101060297"/>
    <n v="16.806396949191363"/>
    <n v="17.204936981201172"/>
    <n v="447000"/>
    <n v="0"/>
    <n v="0"/>
    <s v="AB"/>
  </r>
  <r>
    <x v="1354"/>
    <n v="17.498202844901535"/>
    <n v="18.159930542173655"/>
    <n v="17.498202844901535"/>
    <n v="17.814027786254883"/>
    <n v="313100"/>
    <n v="0"/>
    <n v="0"/>
    <s v="AB"/>
  </r>
  <r>
    <x v="1355"/>
    <n v="17.859144596402398"/>
    <n v="18.490794456868386"/>
    <n v="17.761389909684851"/>
    <n v="17.986978530883789"/>
    <n v="432700"/>
    <n v="0"/>
    <n v="0"/>
    <s v="AB"/>
  </r>
  <r>
    <x v="1356"/>
    <n v="17.806510803202581"/>
    <n v="18.295287200173618"/>
    <n v="17.738833916855757"/>
    <n v="18.25016975402832"/>
    <n v="350300"/>
    <n v="0"/>
    <n v="0"/>
    <s v="AB"/>
  </r>
  <r>
    <x v="1357"/>
    <n v="18.746463775634766"/>
    <n v="19.543545257673717"/>
    <n v="18.708864713022145"/>
    <n v="18.746463775634766"/>
    <n v="522700"/>
    <n v="0"/>
    <n v="0"/>
    <s v="AB"/>
  </r>
  <r>
    <x v="1358"/>
    <n v="19.175083266340792"/>
    <n v="19.70145867480613"/>
    <n v="19.099886574523229"/>
    <n v="19.603702545166016"/>
    <n v="538200"/>
    <n v="0"/>
    <n v="0"/>
    <s v="AB"/>
  </r>
  <r>
    <x v="1359"/>
    <n v="20.092481668653271"/>
    <n v="20.115041109594969"/>
    <n v="18.799103840742962"/>
    <n v="18.987094879150391"/>
    <n v="366700"/>
    <n v="0"/>
    <n v="0"/>
    <s v="AB"/>
  </r>
  <r>
    <x v="1360"/>
    <n v="18.799102102429895"/>
    <n v="19.280358657289646"/>
    <n v="18.310325734618253"/>
    <n v="18.776542663574219"/>
    <n v="511600"/>
    <n v="0"/>
    <n v="0"/>
    <s v="AB"/>
  </r>
  <r>
    <x v="1361"/>
    <n v="18.844220476701967"/>
    <n v="19.58114640555382"/>
    <n v="18.731426145367397"/>
    <n v="19.212682723999023"/>
    <n v="347100"/>
    <n v="0"/>
    <n v="0"/>
    <s v="AB"/>
  </r>
  <r>
    <x v="1362"/>
    <n v="19.317958873917423"/>
    <n v="19.693940938384632"/>
    <n v="19.317958873917423"/>
    <n v="19.551067352294922"/>
    <n v="318800"/>
    <n v="0"/>
    <n v="0"/>
    <s v="AB"/>
  </r>
  <r>
    <x v="1363"/>
    <n v="20.002245974363806"/>
    <n v="20.378228036159147"/>
    <n v="19.739058244255517"/>
    <n v="19.799215316772461"/>
    <n v="466500"/>
    <n v="0"/>
    <n v="0"/>
    <s v="AB"/>
  </r>
  <r>
    <x v="1364"/>
    <n v="19.739060125680336"/>
    <n v="19.949610616687096"/>
    <n v="19.205166235486669"/>
    <n v="19.761619567871094"/>
    <n v="298200"/>
    <n v="0"/>
    <n v="0"/>
    <s v="AB"/>
  </r>
  <r>
    <x v="1365"/>
    <n v="20.603815991521"/>
    <n v="20.799326829047136"/>
    <n v="19.686420308597764"/>
    <n v="19.776655197143555"/>
    <n v="590800"/>
    <n v="0"/>
    <n v="0"/>
    <s v="AB"/>
  </r>
  <r>
    <x v="1366"/>
    <n v="20.318068706226864"/>
    <n v="20.438382837893393"/>
    <n v="19.731536238659348"/>
    <n v="20.062400817871094"/>
    <n v="477700"/>
    <n v="0"/>
    <n v="0"/>
    <s v="AB"/>
  </r>
  <r>
    <x v="1367"/>
    <n v="19.92704757503267"/>
    <n v="20.370706484840046"/>
    <n v="19.430751410546051"/>
    <n v="19.979684829711914"/>
    <n v="461500"/>
    <n v="0"/>
    <n v="0"/>
    <s v="AB"/>
  </r>
  <r>
    <x v="1368"/>
    <n v="20.197756098901539"/>
    <n v="20.197756098901539"/>
    <n v="19.408192936711185"/>
    <n v="19.739057540893555"/>
    <n v="330400"/>
    <n v="0"/>
    <n v="0"/>
    <s v="AB"/>
  </r>
  <r>
    <x v="1369"/>
    <n v="18.919414732497117"/>
    <n v="19.340514184420627"/>
    <n v="18.159930896009815"/>
    <n v="18.423118591308594"/>
    <n v="670200"/>
    <n v="0"/>
    <n v="0"/>
    <s v="AB"/>
  </r>
  <r>
    <x v="1370"/>
    <n v="18.844218908822892"/>
    <n v="19.325476881670571"/>
    <n v="18.716384961477704"/>
    <n v="19.107406616210938"/>
    <n v="322100"/>
    <n v="0"/>
    <n v="0"/>
    <s v="AB"/>
  </r>
  <r>
    <x v="1371"/>
    <n v="18.588553230669802"/>
    <n v="19.739058893965147"/>
    <n v="18.35544474627611"/>
    <n v="19.430753707885742"/>
    <n v="266000"/>
    <n v="0"/>
    <n v="0"/>
    <s v="AB"/>
  </r>
  <r>
    <x v="1372"/>
    <n v="20.303034187346011"/>
    <n v="20.303034187346011"/>
    <n v="19.5811492157953"/>
    <n v="20.039846420288086"/>
    <n v="304900"/>
    <n v="0"/>
    <n v="0"/>
    <s v="AB"/>
  </r>
  <r>
    <x v="1373"/>
    <n v="20.30303350043685"/>
    <n v="20.558701444442242"/>
    <n v="20.100002821210587"/>
    <n v="20.212797164916992"/>
    <n v="426100"/>
    <n v="0"/>
    <n v="0"/>
    <s v="AB"/>
  </r>
  <r>
    <x v="1374"/>
    <n v="20.122561406812327"/>
    <n v="20.776769433007246"/>
    <n v="19.942090177715183"/>
    <n v="20.75421142578125"/>
    <n v="532300"/>
    <n v="0"/>
    <n v="0"/>
    <s v="AB"/>
  </r>
  <r>
    <x v="1375"/>
    <n v="21.054995314618804"/>
    <n v="21.062515127913525"/>
    <n v="19.9496085769341"/>
    <n v="20.04736328125"/>
    <n v="414800"/>
    <n v="0"/>
    <n v="0"/>
    <s v="AB"/>
  </r>
  <r>
    <x v="1376"/>
    <n v="20.047362392852033"/>
    <n v="20.25039304003899"/>
    <n v="19.836811932703593"/>
    <n v="20.00224494934082"/>
    <n v="328000"/>
    <n v="0"/>
    <n v="0"/>
    <s v="AB"/>
  </r>
  <r>
    <x v="1377"/>
    <n v="20.385744790293622"/>
    <n v="20.491019292835691"/>
    <n v="19.633780779547358"/>
    <n v="19.648818969726563"/>
    <n v="462200"/>
    <n v="0"/>
    <n v="0"/>
    <s v="AB"/>
  </r>
  <r>
    <x v="1378"/>
    <n v="19.460828624746974"/>
    <n v="19.513467312054537"/>
    <n v="18.784061279054505"/>
    <n v="18.836698532104492"/>
    <n v="776500"/>
    <n v="0"/>
    <n v="0"/>
    <s v="AB"/>
  </r>
  <r>
    <x v="1379"/>
    <n v="18.746464582105379"/>
    <n v="19.41571214856754"/>
    <n v="18.611110819392213"/>
    <n v="19.393154144287109"/>
    <n v="458500"/>
    <n v="0"/>
    <n v="0"/>
    <s v="AB"/>
  </r>
  <r>
    <x v="1380"/>
    <n v="19.197644326541713"/>
    <n v="19.28787921694239"/>
    <n v="18.708866505550116"/>
    <n v="19.032211303710938"/>
    <n v="261500"/>
    <n v="0"/>
    <n v="0"/>
    <s v="AB"/>
  </r>
  <r>
    <x v="1381"/>
    <n v="19.002134245145967"/>
    <n v="19.904490356538624"/>
    <n v="18.957015363882999"/>
    <n v="19.874412536621094"/>
    <n v="294400"/>
    <n v="0"/>
    <n v="0"/>
    <s v="AB"/>
  </r>
  <r>
    <x v="1382"/>
    <n v="19.739055326764742"/>
    <n v="20.536136778367705"/>
    <n v="19.739055326764742"/>
    <n v="20.483499526977539"/>
    <n v="290300"/>
    <n v="0"/>
    <n v="0"/>
    <s v="AB"/>
  </r>
  <r>
    <x v="1383"/>
    <n v="20.333109363533584"/>
    <n v="20.378226806634686"/>
    <n v="19.71649761461611"/>
    <n v="20.017284393310547"/>
    <n v="203700"/>
    <n v="0"/>
    <n v="0"/>
    <s v="AB"/>
  </r>
  <r>
    <x v="1384"/>
    <n v="20.303028207376212"/>
    <n v="20.663970586841096"/>
    <n v="20.02480089346108"/>
    <n v="20.054880142211914"/>
    <n v="218100"/>
    <n v="0"/>
    <n v="0"/>
    <s v="AB"/>
  </r>
  <r>
    <x v="1385"/>
    <n v="20.39326701613707"/>
    <n v="20.506061344247165"/>
    <n v="20.100000041941584"/>
    <n v="20.16767692565918"/>
    <n v="165700"/>
    <n v="0"/>
    <n v="0"/>
    <s v="AB"/>
  </r>
  <r>
    <x v="1386"/>
    <n v="20.115038745808153"/>
    <n v="20.340627391684258"/>
    <n v="19.799213781027028"/>
    <n v="19.927047729492188"/>
    <n v="179200"/>
    <n v="0"/>
    <n v="0"/>
    <s v="AB"/>
  </r>
  <r>
    <x v="1387"/>
    <n v="20.115034469912867"/>
    <n v="20.55117347768461"/>
    <n v="19.994720359786683"/>
    <n v="20.528614044189453"/>
    <n v="150800"/>
    <n v="0"/>
    <n v="0"/>
    <s v="AB"/>
  </r>
  <r>
    <x v="1388"/>
    <n v="20.596296233032163"/>
    <n v="20.60381604614053"/>
    <n v="19.814254315112159"/>
    <n v="20.16767692565918"/>
    <n v="108700"/>
    <n v="0"/>
    <n v="0"/>
    <s v="AB"/>
  </r>
  <r>
    <x v="1389"/>
    <n v="20.1526369613022"/>
    <n v="20.596295887447781"/>
    <n v="20.062402074031251"/>
    <n v="20.235353469848633"/>
    <n v="142400"/>
    <n v="0"/>
    <n v="0"/>
    <s v="AB"/>
  </r>
  <r>
    <x v="1390"/>
    <n v="20.776766591221044"/>
    <n v="20.776766591221044"/>
    <n v="20.333109110117235"/>
    <n v="20.355667114257813"/>
    <n v="589500"/>
    <n v="0"/>
    <n v="0"/>
    <s v="AB"/>
  </r>
  <r>
    <x v="1391"/>
    <n v="20.558697679678573"/>
    <n v="21.047474035738887"/>
    <n v="20.378226475945119"/>
    <n v="20.957239151000977"/>
    <n v="574200"/>
    <n v="0"/>
    <n v="0"/>
    <s v="AB"/>
  </r>
  <r>
    <x v="1392"/>
    <n v="21.2204298518547"/>
    <n v="21.649050663642949"/>
    <n v="21.137714762639089"/>
    <n v="21.5362548828125"/>
    <n v="615200"/>
    <n v="0"/>
    <n v="0"/>
    <s v="AB"/>
  </r>
  <r>
    <x v="1393"/>
    <n v="21.498655502703485"/>
    <n v="21.754323432481094"/>
    <n v="21.288105021046096"/>
    <n v="21.483615875244141"/>
    <n v="185300"/>
    <n v="0"/>
    <n v="0"/>
    <s v="AB"/>
  </r>
  <r>
    <x v="1394"/>
    <n v="21.453538022359083"/>
    <n v="21.558812545900743"/>
    <n v="20.987319611624368"/>
    <n v="21.250507354736328"/>
    <n v="257800"/>
    <n v="0"/>
    <n v="0"/>
    <s v="AB"/>
  </r>
  <r>
    <x v="1395"/>
    <n v="21.250505052175154"/>
    <n v="21.303142308242563"/>
    <n v="20.979797524676851"/>
    <n v="21.085073471069336"/>
    <n v="272400"/>
    <n v="0"/>
    <n v="0"/>
    <s v="AB"/>
  </r>
  <r>
    <x v="1396"/>
    <n v="21.355779862032726"/>
    <n v="21.837037854767594"/>
    <n v="21.258025161438677"/>
    <n v="21.694164276123047"/>
    <n v="232700"/>
    <n v="0"/>
    <n v="0"/>
    <s v="AB"/>
  </r>
  <r>
    <x v="1397"/>
    <n v="21.731762818596646"/>
    <n v="22.032548180263412"/>
    <n v="21.664085932939408"/>
    <n v="21.776880264282227"/>
    <n v="259500"/>
    <n v="0"/>
    <n v="0"/>
    <s v="AB"/>
  </r>
  <r>
    <x v="1398"/>
    <n v="21.054991770971878"/>
    <n v="21.791916138734095"/>
    <n v="20.942197459050313"/>
    <n v="21.491130828857422"/>
    <n v="378300"/>
    <n v="0"/>
    <n v="0"/>
    <s v="AB"/>
  </r>
  <r>
    <x v="1399"/>
    <n v="21.115154798666413"/>
    <n v="21.536254351468095"/>
    <n v="21.115154798666413"/>
    <n v="21.227949142456055"/>
    <n v="209200"/>
    <n v="0"/>
    <n v="0"/>
    <s v="AB"/>
  </r>
  <r>
    <x v="1400"/>
    <n v="21.408416909006643"/>
    <n v="21.679124437625653"/>
    <n v="21.137710814645295"/>
    <n v="21.513692855834961"/>
    <n v="210000"/>
    <n v="0"/>
    <n v="0"/>
    <s v="AB"/>
  </r>
  <r>
    <x v="1401"/>
    <n v="21.566327514890965"/>
    <n v="21.897192072884049"/>
    <n v="21.43097376688209"/>
    <n v="21.491130828857422"/>
    <n v="217100"/>
    <n v="0"/>
    <n v="0"/>
    <s v="AB"/>
  </r>
  <r>
    <x v="1402"/>
    <n v="21.709205323398606"/>
    <n v="22.040068511883792"/>
    <n v="21.634008622649148"/>
    <n v="22.009990692138672"/>
    <n v="298900"/>
    <n v="0"/>
    <n v="0"/>
    <s v="AB"/>
  </r>
  <r>
    <x v="1403"/>
    <n v="21.912232308240586"/>
    <n v="22.100223323745073"/>
    <n v="21.626486595747121"/>
    <n v="21.91975212097168"/>
    <n v="257700"/>
    <n v="0"/>
    <n v="0"/>
    <s v="AB"/>
  </r>
  <r>
    <x v="1404"/>
    <n v="22.011917190481984"/>
    <n v="22.119441788809493"/>
    <n v="21.343726522428494"/>
    <n v="21.819908142089844"/>
    <n v="320100"/>
    <n v="0.61"/>
    <n v="0"/>
    <s v="AB"/>
  </r>
  <r>
    <x v="1405"/>
    <n v="21.666300530233631"/>
    <n v="21.796866743019319"/>
    <n v="21.359086342771075"/>
    <n v="21.681661605834961"/>
    <n v="378600"/>
    <n v="0"/>
    <n v="0"/>
    <s v="AB"/>
  </r>
  <r>
    <x v="1406"/>
    <n v="21.681660263061097"/>
    <n v="21.819907005085646"/>
    <n v="21.120994222550621"/>
    <n v="21.205478668212891"/>
    <n v="286500"/>
    <n v="0"/>
    <n v="0"/>
    <s v="AB"/>
  </r>
  <r>
    <x v="1407"/>
    <n v="21.351404901001175"/>
    <n v="21.458930960745263"/>
    <n v="21.059551801496333"/>
    <n v="21.366765975952148"/>
    <n v="301500"/>
    <n v="0"/>
    <n v="0"/>
    <s v="AB"/>
  </r>
  <r>
    <x v="1408"/>
    <n v="21.359086442312254"/>
    <n v="21.466612507109861"/>
    <n v="20.975068339966196"/>
    <n v="21.051872253417969"/>
    <n v="229500"/>
    <n v="0"/>
    <n v="0"/>
    <s v="AB"/>
  </r>
  <r>
    <x v="1409"/>
    <n v="20.967387094260832"/>
    <n v="21.566455841064453"/>
    <n v="20.936666408864951"/>
    <n v="21.566455841064453"/>
    <n v="220000"/>
    <n v="0"/>
    <n v="0"/>
    <s v="AB"/>
  </r>
  <r>
    <x v="1410"/>
    <n v="21.735421152369266"/>
    <n v="21.850627739873566"/>
    <n v="21.589495347379014"/>
    <n v="21.704700469970703"/>
    <n v="135300"/>
    <n v="0"/>
    <n v="0"/>
    <s v="AB"/>
  </r>
  <r>
    <x v="1411"/>
    <n v="21.896710509421812"/>
    <n v="22.142481839636357"/>
    <n v="21.835267676868177"/>
    <n v="21.91975212097168"/>
    <n v="239200"/>
    <n v="0"/>
    <n v="0"/>
    <s v="AB"/>
  </r>
  <r>
    <x v="1412"/>
    <n v="21.973516869564445"/>
    <n v="22.27305052859062"/>
    <n v="21.673981745625422"/>
    <n v="22.226968765258789"/>
    <n v="328500"/>
    <n v="0"/>
    <n v="0"/>
    <s v="AB"/>
  </r>
  <r>
    <x v="1413"/>
    <n v="22.273046956007668"/>
    <n v="22.89515578839649"/>
    <n v="22.211604126449668"/>
    <n v="22.618663787841797"/>
    <n v="408200"/>
    <n v="0"/>
    <n v="0"/>
    <s v="AB"/>
  </r>
  <r>
    <x v="1414"/>
    <n v="22.365215434196905"/>
    <n v="22.657068554060444"/>
    <n v="22.288411518997183"/>
    <n v="22.326812744140625"/>
    <n v="318800"/>
    <n v="0"/>
    <n v="0"/>
    <s v="AB"/>
  </r>
  <r>
    <x v="1415"/>
    <n v="22.403615393122386"/>
    <n v="22.472738766404103"/>
    <n v="21.965835005613336"/>
    <n v="22.096401214599609"/>
    <n v="194700"/>
    <n v="0"/>
    <n v="0"/>
    <s v="AB"/>
  </r>
  <r>
    <x v="1416"/>
    <n v="22.004235100162504"/>
    <n v="22.242325893193758"/>
    <n v="21.658619716390557"/>
    <n v="21.91975212097168"/>
    <n v="260000"/>
    <n v="0"/>
    <n v="0"/>
    <s v="AB"/>
  </r>
  <r>
    <x v="1417"/>
    <n v="21.958154322926799"/>
    <n v="22.188564589068037"/>
    <n v="21.819907577276958"/>
    <n v="21.950473785400391"/>
    <n v="204300"/>
    <n v="0"/>
    <n v="0"/>
    <s v="AB"/>
  </r>
  <r>
    <x v="1418"/>
    <n v="21.973516404950875"/>
    <n v="21.988876015794823"/>
    <n v="21.512694386637754"/>
    <n v="21.635580062866211"/>
    <n v="277500"/>
    <n v="0"/>
    <n v="0"/>
    <s v="AB"/>
  </r>
  <r>
    <x v="1419"/>
    <n v="21.689339625264367"/>
    <n v="22.257686172306997"/>
    <n v="21.635577331814911"/>
    <n v="22.004234313964844"/>
    <n v="247000"/>
    <n v="0"/>
    <n v="0"/>
    <s v="AB"/>
  </r>
  <r>
    <x v="1420"/>
    <n v="22.196245554854919"/>
    <n v="22.44201690079095"/>
    <n v="22.011917045402893"/>
    <n v="22.296091079711914"/>
    <n v="217100"/>
    <n v="0"/>
    <n v="0"/>
    <s v="AB"/>
  </r>
  <r>
    <x v="1421"/>
    <n v="22.280727225064229"/>
    <n v="22.334489517167327"/>
    <n v="21.79686366631114"/>
    <n v="22.134799957275391"/>
    <n v="208600"/>
    <n v="0"/>
    <n v="0"/>
    <s v="AB"/>
  </r>
  <r>
    <x v="1422"/>
    <n v="22.150163939710371"/>
    <n v="22.188565163423686"/>
    <n v="21.735423692025211"/>
    <n v="21.819908142089844"/>
    <n v="227500"/>
    <n v="0"/>
    <n v="0"/>
    <s v="AB"/>
  </r>
  <r>
    <x v="1423"/>
    <n v="21.773824844314539"/>
    <n v="22.134801302453067"/>
    <n v="21.720062548944195"/>
    <n v="21.91975212097168"/>
    <n v="265900"/>
    <n v="0"/>
    <n v="0"/>
    <s v="AB"/>
  </r>
  <r>
    <x v="1424"/>
    <n v="22.019600785839071"/>
    <n v="22.250011089939196"/>
    <n v="21.681664403567627"/>
    <n v="22.242330551147461"/>
    <n v="207300"/>
    <n v="0"/>
    <n v="0"/>
    <s v="AB"/>
  </r>
  <r>
    <x v="1425"/>
    <n v="22.273048172771375"/>
    <n v="22.273048172771375"/>
    <n v="21.827587267912456"/>
    <n v="21.881349563598633"/>
    <n v="203300"/>
    <n v="0"/>
    <n v="0"/>
    <s v="AB"/>
  </r>
  <r>
    <x v="1426"/>
    <n v="21.812229770118254"/>
    <n v="22.073362219052637"/>
    <n v="21.650942856612687"/>
    <n v="22.019599914550781"/>
    <n v="213900"/>
    <n v="0"/>
    <n v="0"/>
    <s v="AB"/>
  </r>
  <r>
    <x v="1427"/>
    <n v="22.042641083535749"/>
    <n v="22.273051373851814"/>
    <n v="21.835270943303549"/>
    <n v="22.203927993774414"/>
    <n v="222400"/>
    <n v="0"/>
    <n v="0"/>
    <s v="AB"/>
  </r>
  <r>
    <x v="1428"/>
    <n v="22.11943971153287"/>
    <n v="22.250005910774327"/>
    <n v="21.635577599586668"/>
    <n v="21.766143798828125"/>
    <n v="356900"/>
    <n v="0"/>
    <n v="0"/>
    <s v="AB"/>
  </r>
  <r>
    <x v="1429"/>
    <n v="21.889031815592922"/>
    <n v="22.034959104539126"/>
    <n v="21.044191698148879"/>
    <n v="21.581817626953125"/>
    <n v="325700"/>
    <n v="0"/>
    <n v="0"/>
    <s v="AB"/>
  </r>
  <r>
    <x v="1430"/>
    <n v="21.305320522478254"/>
    <n v="21.305320522478254"/>
    <n v="20.629449421745058"/>
    <n v="20.721612930297852"/>
    <n v="371700"/>
    <n v="0"/>
    <n v="0"/>
    <s v="AB"/>
  </r>
  <r>
    <x v="1431"/>
    <n v="21.036511973063575"/>
    <n v="21.036511973063575"/>
    <n v="20.637134244858302"/>
    <n v="20.875225067138672"/>
    <n v="418900"/>
    <n v="0"/>
    <n v="0"/>
    <s v="AB"/>
  </r>
  <r>
    <x v="1432"/>
    <n v="21.082592476606624"/>
    <n v="21.082592476606624"/>
    <n v="20.452801615831309"/>
    <n v="20.614089965820313"/>
    <n v="438000"/>
    <n v="0"/>
    <n v="0"/>
    <s v="AB"/>
  </r>
  <r>
    <x v="1433"/>
    <n v="20.698581479280197"/>
    <n v="21.074919137914527"/>
    <n v="20.422087907665929"/>
    <n v="20.898269653320313"/>
    <n v="481000"/>
    <n v="0"/>
    <n v="0"/>
    <s v="AB"/>
  </r>
  <r>
    <x v="1434"/>
    <n v="21.128674598495159"/>
    <n v="21.213159043512139"/>
    <n v="20.813779895138946"/>
    <n v="20.967386245727539"/>
    <n v="339900"/>
    <n v="0"/>
    <n v="0"/>
    <s v="AB"/>
  </r>
  <r>
    <x v="1435"/>
    <n v="21.013469405019816"/>
    <n v="21.228518588168285"/>
    <n v="20.867542127231431"/>
    <n v="21.159395217895508"/>
    <n v="262400"/>
    <n v="0"/>
    <n v="0"/>
    <s v="AB"/>
  </r>
  <r>
    <x v="1436"/>
    <n v="21.090271095393099"/>
    <n v="21.743102088622113"/>
    <n v="21.067230949399079"/>
    <n v="21.428207397460938"/>
    <n v="476000"/>
    <n v="0"/>
    <n v="0"/>
    <s v="AB"/>
  </r>
  <r>
    <x v="1437"/>
    <n v="21.305324689034581"/>
    <n v="21.558776584489685"/>
    <n v="21.097954556867808"/>
    <n v="21.359086990356445"/>
    <n v="318000"/>
    <n v="0"/>
    <n v="0"/>
    <s v="AB"/>
  </r>
  <r>
    <x v="1438"/>
    <n v="21.420531968114194"/>
    <n v="21.581820353093978"/>
    <n v="21.243883970446845"/>
    <n v="21.313007354736328"/>
    <n v="799200"/>
    <n v="0"/>
    <n v="0"/>
    <s v="AB"/>
  </r>
  <r>
    <x v="1439"/>
    <n v="21.574134479576326"/>
    <n v="21.581815016477407"/>
    <n v="20.53728543653266"/>
    <n v="20.844499588012695"/>
    <n v="514700"/>
    <n v="0"/>
    <n v="0"/>
    <s v="AB"/>
  </r>
  <r>
    <x v="1440"/>
    <n v="20.836820619315716"/>
    <n v="21.120994646392418"/>
    <n v="20.690894801950538"/>
    <n v="21.021150588989258"/>
    <n v="370500"/>
    <n v="0"/>
    <n v="0"/>
    <s v="AB"/>
  </r>
  <r>
    <x v="1441"/>
    <n v="20.967387248201348"/>
    <n v="21.174757369568873"/>
    <n v="20.660173067423219"/>
    <n v="20.744657516479492"/>
    <n v="236600"/>
    <n v="0"/>
    <n v="0"/>
    <s v="AB"/>
  </r>
  <r>
    <x v="1442"/>
    <n v="20.629451396031186"/>
    <n v="20.752337062470392"/>
    <n v="20.222391710380883"/>
    <n v="20.621770858764648"/>
    <n v="467700"/>
    <n v="0"/>
    <n v="0"/>
    <s v="AB"/>
  </r>
  <r>
    <x v="1443"/>
    <n v="20.429760449805872"/>
    <n v="21.159393862173431"/>
    <n v="20.368317620712681"/>
    <n v="21.028827667236328"/>
    <n v="314200"/>
    <n v="0"/>
    <n v="0"/>
    <s v="AB"/>
  </r>
  <r>
    <x v="1444"/>
    <n v="21.105635975344203"/>
    <n v="21.35140734301838"/>
    <n v="20.62177377834978"/>
    <n v="21.082595825195313"/>
    <n v="521200"/>
    <n v="0"/>
    <n v="0"/>
    <s v="AB"/>
  </r>
  <r>
    <x v="1445"/>
    <n v="21.082594569455235"/>
    <n v="21.082594569455235"/>
    <n v="20.544968636005844"/>
    <n v="20.760019302368164"/>
    <n v="305900"/>
    <n v="0"/>
    <n v="0"/>
    <s v="AB"/>
  </r>
  <r>
    <x v="1446"/>
    <n v="20.690896279947705"/>
    <n v="21.174758456394088"/>
    <n v="20.690896279947705"/>
    <n v="20.7677001953125"/>
    <n v="372300"/>
    <n v="0"/>
    <n v="0"/>
    <s v="AB"/>
  </r>
  <r>
    <x v="1447"/>
    <n v="20.767702830200474"/>
    <n v="20.859866368401143"/>
    <n v="20.368323591562845"/>
    <n v="20.598733901977539"/>
    <n v="469800"/>
    <n v="0"/>
    <n v="0"/>
    <s v="AB"/>
  </r>
  <r>
    <x v="1448"/>
    <n v="20.352960890013048"/>
    <n v="20.928988085013419"/>
    <n v="20.352960890013048"/>
    <n v="20.706256866455078"/>
    <n v="269600"/>
    <n v="0"/>
    <n v="0"/>
    <s v="AB"/>
  </r>
  <r>
    <x v="1449"/>
    <n v="20.729296854620745"/>
    <n v="21.059552654885874"/>
    <n v="20.698576168386648"/>
    <n v="20.998109817504883"/>
    <n v="371500"/>
    <n v="0"/>
    <n v="0"/>
    <s v="AB"/>
  </r>
  <r>
    <x v="1450"/>
    <n v="21.04419066700008"/>
    <n v="21.812226833422802"/>
    <n v="20.944346609926725"/>
    <n v="21.213159561157227"/>
    <n v="516600"/>
    <n v="0"/>
    <n v="0"/>
    <s v="AB"/>
  </r>
  <r>
    <x v="1451"/>
    <n v="21.474291562244595"/>
    <n v="21.750785064476812"/>
    <n v="21.25924236265314"/>
    <n v="21.581817626953125"/>
    <n v="323700"/>
    <n v="0"/>
    <n v="0"/>
    <s v="AB"/>
  </r>
  <r>
    <x v="1452"/>
    <n v="22.04264128900336"/>
    <n v="22.918202158261316"/>
    <n v="21.889033450752212"/>
    <n v="22.841398239135742"/>
    <n v="981300"/>
    <n v="0"/>
    <n v="0"/>
    <s v="AB"/>
  </r>
  <r>
    <x v="1453"/>
    <n v="22.887478641048119"/>
    <n v="23.325260514507697"/>
    <n v="22.603306061600815"/>
    <n v="23.240776062011719"/>
    <n v="513500"/>
    <n v="0"/>
    <n v="0"/>
    <s v="AB"/>
  </r>
  <r>
    <x v="1454"/>
    <n v="25.329833677453937"/>
    <n v="25.729212855445901"/>
    <n v="23.862884643784227"/>
    <n v="24.53875732421875"/>
    <n v="1658000"/>
    <n v="0"/>
    <n v="0"/>
    <s v="AB"/>
  </r>
  <r>
    <x v="1455"/>
    <n v="24.861330032348633"/>
    <n v="24.938135407335981"/>
    <n v="24.277623831572189"/>
    <n v="24.861330032348633"/>
    <n v="736500"/>
    <n v="0"/>
    <n v="0"/>
    <s v="AB"/>
  </r>
  <r>
    <x v="1456"/>
    <n v="24.884376377600713"/>
    <n v="25.529526963088905"/>
    <n v="24.884376377600713"/>
    <n v="25.329835891723633"/>
    <n v="640300"/>
    <n v="0"/>
    <n v="0"/>
    <s v="AB"/>
  </r>
  <r>
    <x v="1457"/>
    <n v="25.122461674287418"/>
    <n v="25.690809712395904"/>
    <n v="24.907412490593856"/>
    <n v="25.475757598876953"/>
    <n v="469900"/>
    <n v="0"/>
    <n v="0"/>
    <s v="AB"/>
  </r>
  <r>
    <x v="1458"/>
    <n v="25.614005844751897"/>
    <n v="25.721533372741966"/>
    <n v="25.253030826603279"/>
    <n v="25.314472198486328"/>
    <n v="353300"/>
    <n v="0"/>
    <n v="0"/>
    <s v="AB"/>
  </r>
  <r>
    <x v="1459"/>
    <n v="25.222307270435103"/>
    <n v="25.598646272867921"/>
    <n v="24.88437241934318"/>
    <n v="25.030298233032227"/>
    <n v="431000"/>
    <n v="0"/>
    <n v="0"/>
    <s v="AB"/>
  </r>
  <r>
    <x v="1460"/>
    <n v="25.076382853929367"/>
    <n v="25.375916500194936"/>
    <n v="24.991898403992806"/>
    <n v="25.314472198486328"/>
    <n v="344500"/>
    <n v="0"/>
    <n v="0"/>
    <s v="AB"/>
  </r>
  <r>
    <x v="1461"/>
    <n v="25.406641294195236"/>
    <n v="25.491122823095154"/>
    <n v="24.807571009515051"/>
    <n v="24.83061408996582"/>
    <n v="393400"/>
    <n v="0"/>
    <n v="0"/>
    <s v="AB"/>
  </r>
  <r>
    <x v="1462"/>
    <n v="24.57715515866045"/>
    <n v="25.114781013721188"/>
    <n v="24.385146133983415"/>
    <n v="24.700040817260742"/>
    <n v="514200"/>
    <n v="0"/>
    <n v="0"/>
    <s v="AB"/>
  </r>
  <r>
    <x v="1463"/>
    <n v="25.014937928221148"/>
    <n v="25.045660078309087"/>
    <n v="23.86288366835284"/>
    <n v="24.231540679931641"/>
    <n v="715500"/>
    <n v="0"/>
    <n v="0"/>
    <s v="AB"/>
  </r>
  <r>
    <x v="1464"/>
    <n v="23.88592679392087"/>
    <n v="24.00113193422257"/>
    <n v="23.217734636310464"/>
    <n v="23.632474899291992"/>
    <n v="867700"/>
    <n v="0"/>
    <n v="0"/>
    <s v="AB"/>
  </r>
  <r>
    <x v="1465"/>
    <n v="23.763041063321907"/>
    <n v="23.786081212383845"/>
    <n v="22.979643767133606"/>
    <n v="23.386703491210938"/>
    <n v="623400"/>
    <n v="0"/>
    <n v="0"/>
    <s v="AB"/>
  </r>
  <r>
    <x v="1466"/>
    <n v="23.041085282011068"/>
    <n v="23.202372175827023"/>
    <n v="22.703148954366"/>
    <n v="22.726190567016602"/>
    <n v="682900"/>
    <n v="0"/>
    <n v="0"/>
    <s v="AB"/>
  </r>
  <r>
    <x v="1467"/>
    <n v="22.971961263878018"/>
    <n v="23.056445709644997"/>
    <n v="22.449696444432533"/>
    <n v="22.956600189208984"/>
    <n v="792400"/>
    <n v="0"/>
    <n v="0"/>
    <s v="AB"/>
  </r>
  <r>
    <x v="1468"/>
    <n v="23.145287788592668"/>
    <n v="23.145287788592668"/>
    <n v="22.492754271262637"/>
    <n v="22.846536636352539"/>
    <n v="581300"/>
    <n v="0.69"/>
    <n v="0"/>
    <s v="AB"/>
  </r>
  <r>
    <x v="1469"/>
    <n v="23.098112214744976"/>
    <n v="23.247487768927591"/>
    <n v="22.697159226433243"/>
    <n v="22.956600189208984"/>
    <n v="466700"/>
    <n v="0"/>
    <n v="0"/>
    <s v="AB"/>
  </r>
  <r>
    <x v="1470"/>
    <n v="23.184593912077847"/>
    <n v="23.687751798416958"/>
    <n v="23.027357822361267"/>
    <n v="23.483345031738281"/>
    <n v="472200"/>
    <n v="0"/>
    <n v="0"/>
    <s v="AB"/>
  </r>
  <r>
    <x v="1471"/>
    <n v="23.750644994632605"/>
    <n v="23.868573928686569"/>
    <n v="23.105973619667648"/>
    <n v="23.789955139160156"/>
    <n v="434400"/>
    <n v="0"/>
    <n v="0"/>
    <s v="AB"/>
  </r>
  <r>
    <x v="1472"/>
    <n v="23.978642023434112"/>
    <n v="24.528972112308075"/>
    <n v="23.947193904285268"/>
    <n v="24.253807067871094"/>
    <n v="679800"/>
    <n v="0"/>
    <n v="0"/>
    <s v="AB"/>
  </r>
  <r>
    <x v="1473"/>
    <n v="24.175189043069935"/>
    <n v="24.175189043069935"/>
    <n v="23.609136376038215"/>
    <n v="23.687753677368164"/>
    <n v="399000"/>
    <n v="0"/>
    <n v="0"/>
    <s v="AB"/>
  </r>
  <r>
    <x v="1474"/>
    <n v="24.387458575195978"/>
    <n v="24.898478515133888"/>
    <n v="24.049398791990161"/>
    <n v="24.253807067871094"/>
    <n v="756600"/>
    <n v="0"/>
    <n v="0"/>
    <s v="AB"/>
  </r>
  <r>
    <x v="1475"/>
    <n v="24.371739207041923"/>
    <n v="25.220820593157814"/>
    <n v="24.356015144440708"/>
    <n v="25.063581466674805"/>
    <n v="373800"/>
    <n v="0"/>
    <n v="0"/>
    <s v="AB"/>
  </r>
  <r>
    <x v="1476"/>
    <n v="25.016408890928862"/>
    <n v="25.079303637059212"/>
    <n v="24.576145668016412"/>
    <n v="24.906343460083008"/>
    <n v="317900"/>
    <n v="0"/>
    <n v="0"/>
    <s v="AB"/>
  </r>
  <r>
    <x v="1477"/>
    <n v="24.961373713344759"/>
    <n v="25.118611312925413"/>
    <n v="24.285254134488383"/>
    <n v="24.678346633911133"/>
    <n v="392200"/>
    <n v="0"/>
    <n v="0"/>
    <s v="AB"/>
  </r>
  <r>
    <x v="1478"/>
    <n v="24.764829666047603"/>
    <n v="25.02427067875837"/>
    <n v="24.694072889896574"/>
    <n v="24.874895095825195"/>
    <n v="311800"/>
    <n v="0"/>
    <n v="0"/>
    <s v="AB"/>
  </r>
  <r>
    <x v="1479"/>
    <n v="25.28370997304075"/>
    <n v="25.393775395337656"/>
    <n v="24.95351220662112"/>
    <n v="25.165781021118164"/>
    <n v="347500"/>
    <n v="0"/>
    <n v="0"/>
    <s v="AB"/>
  </r>
  <r>
    <x v="1480"/>
    <n v="24.961371546206681"/>
    <n v="25.063574927390626"/>
    <n v="24.418903524232093"/>
    <n v="24.544692993164063"/>
    <n v="490800"/>
    <n v="0"/>
    <n v="0"/>
    <s v="AB"/>
  </r>
  <r>
    <x v="1481"/>
    <n v="24.749103403769539"/>
    <n v="25.299433502772946"/>
    <n v="24.639037983780412"/>
    <n v="24.678346633911133"/>
    <n v="291400"/>
    <n v="0"/>
    <n v="0"/>
    <s v="AB"/>
  </r>
  <r>
    <x v="1482"/>
    <n v="24.678347238648243"/>
    <n v="24.9535122948928"/>
    <n v="24.45821639327573"/>
    <n v="24.914203643798828"/>
    <n v="182500"/>
    <n v="0"/>
    <n v="0"/>
    <s v="AB"/>
  </r>
  <r>
    <x v="1483"/>
    <n v="24.709797190984535"/>
    <n v="24.984962267628202"/>
    <n v="24.607592291317072"/>
    <n v="24.906343460083008"/>
    <n v="183600"/>
    <n v="0"/>
    <n v="0"/>
    <s v="AB"/>
  </r>
  <r>
    <x v="1484"/>
    <n v="25.110748037938659"/>
    <n v="25.354464955628575"/>
    <n v="24.890615709346243"/>
    <n v="24.922063827514648"/>
    <n v="270300"/>
    <n v="0"/>
    <n v="0"/>
    <s v="AB"/>
  </r>
  <r>
    <x v="1485"/>
    <n v="25.173643501203951"/>
    <n v="25.362326217544133"/>
    <n v="24.851307778319914"/>
    <n v="25.275848388671875"/>
    <n v="318900"/>
    <n v="0"/>
    <n v="0"/>
    <s v="AB"/>
  </r>
  <r>
    <x v="1486"/>
    <n v="25.157920574867354"/>
    <n v="25.409499540691399"/>
    <n v="24.835584837464179"/>
    <n v="25.071439743041992"/>
    <n v="305900"/>
    <n v="0"/>
    <n v="0"/>
    <s v="AB"/>
  </r>
  <r>
    <x v="1487"/>
    <n v="25.118612738470407"/>
    <n v="25.480257138689712"/>
    <n v="25.118612738470407"/>
    <n v="25.440948486328125"/>
    <n v="105100"/>
    <n v="0"/>
    <n v="0"/>
    <s v="AB"/>
  </r>
  <r>
    <x v="1488"/>
    <n v="25.456673949813862"/>
    <n v="25.543154789209439"/>
    <n v="24.961376505403447"/>
    <n v="25.055719375610352"/>
    <n v="252000"/>
    <n v="0"/>
    <n v="0"/>
    <s v="AB"/>
  </r>
  <r>
    <x v="1489"/>
    <n v="25.275846412540442"/>
    <n v="25.786864811811913"/>
    <n v="25.157917474754544"/>
    <n v="25.629627227783203"/>
    <n v="265400"/>
    <n v="0"/>
    <n v="0"/>
    <s v="AB"/>
  </r>
  <r>
    <x v="1490"/>
    <n v="25.684660694248045"/>
    <n v="26.203545636652304"/>
    <n v="25.551010693246383"/>
    <n v="26.038444519042969"/>
    <n v="273800"/>
    <n v="0"/>
    <n v="0"/>
    <s v="AB"/>
  </r>
  <r>
    <x v="1491"/>
    <n v="26.172100656936955"/>
    <n v="26.966146226403279"/>
    <n v="26.172100656936955"/>
    <n v="26.565193176269531"/>
    <n v="666100"/>
    <n v="0"/>
    <n v="0"/>
    <s v="AB"/>
  </r>
  <r>
    <x v="1492"/>
    <n v="26.392230828198606"/>
    <n v="26.573053022546649"/>
    <n v="26.101343211122003"/>
    <n v="26.266441345214844"/>
    <n v="325800"/>
    <n v="0"/>
    <n v="0"/>
    <s v="AB"/>
  </r>
  <r>
    <x v="1493"/>
    <n v="26.085618154572217"/>
    <n v="26.140650863834619"/>
    <n v="25.645353481415274"/>
    <n v="25.771142959594727"/>
    <n v="420000"/>
    <n v="0"/>
    <n v="0"/>
    <s v="AB"/>
  </r>
  <r>
    <x v="1494"/>
    <n v="25.543150623814757"/>
    <n v="26.486570174863381"/>
    <n v="25.40163709134594"/>
    <n v="26.046308517456055"/>
    <n v="338900"/>
    <n v="0"/>
    <n v="0"/>
    <s v="AB"/>
  </r>
  <r>
    <x v="1495"/>
    <n v="25.69252623606419"/>
    <n v="25.841900307543732"/>
    <n v="24.544695347546504"/>
    <n v="24.654762268066406"/>
    <n v="1326800"/>
    <n v="0"/>
    <n v="0"/>
    <s v="AB"/>
  </r>
  <r>
    <x v="1496"/>
    <n v="24.544695757614512"/>
    <n v="25.668942074433414"/>
    <n v="24.513249136604088"/>
    <n v="25.18150520324707"/>
    <n v="680300"/>
    <n v="0"/>
    <n v="0"/>
    <s v="AB"/>
  </r>
  <r>
    <x v="1497"/>
    <n v="25.047857101177705"/>
    <n v="25.849766241785169"/>
    <n v="24.969238293358121"/>
    <n v="25.236539840698242"/>
    <n v="454500"/>
    <n v="0"/>
    <n v="0"/>
    <s v="AB"/>
  </r>
  <r>
    <x v="1498"/>
    <n v="25.236534686551025"/>
    <n v="25.495977149227496"/>
    <n v="25.039989956436656"/>
    <n v="25.205089569091797"/>
    <n v="396700"/>
    <n v="0"/>
    <n v="0"/>
    <s v="AB"/>
  </r>
  <r>
    <x v="1499"/>
    <n v="25.433086649237634"/>
    <n v="25.629632923185557"/>
    <n v="25.157923065333801"/>
    <n v="25.519567489624023"/>
    <n v="312600"/>
    <n v="0"/>
    <n v="0"/>
    <s v="AB"/>
  </r>
  <r>
    <x v="1500"/>
    <n v="25.661076666978794"/>
    <n v="26.187822150764944"/>
    <n v="25.558871782233847"/>
    <n v="26.006999969482422"/>
    <n v="562100"/>
    <n v="0"/>
    <n v="0"/>
    <s v="AB"/>
  </r>
  <r>
    <x v="1501"/>
    <n v="26.007001802550157"/>
    <n v="26.557328915217482"/>
    <n v="25.983414212680245"/>
    <n v="26.470848083496094"/>
    <n v="392800"/>
    <n v="0"/>
    <n v="0"/>
    <s v="AB"/>
  </r>
  <r>
    <x v="1502"/>
    <n v="26.415813915249146"/>
    <n v="26.573051509792062"/>
    <n v="26.069893606500866"/>
    <n v="26.423677444458008"/>
    <n v="343800"/>
    <n v="0"/>
    <n v="0"/>
    <s v="AB"/>
  </r>
  <r>
    <x v="1503"/>
    <n v="26.290022392335153"/>
    <n v="26.423675386959832"/>
    <n v="25.959826168657894"/>
    <n v="26.35291862487793"/>
    <n v="189900"/>
    <n v="0"/>
    <n v="0"/>
    <s v="AB"/>
  </r>
  <r>
    <x v="1504"/>
    <n v="26.27429972149443"/>
    <n v="26.462985430028006"/>
    <n v="26.054168894086583"/>
    <n v="26.234991073608398"/>
    <n v="250000"/>
    <n v="0"/>
    <n v="0"/>
    <s v="AB"/>
  </r>
  <r>
    <x v="1505"/>
    <n v="26.219267483621884"/>
    <n v="26.557327259792231"/>
    <n v="26.093478008702053"/>
    <n v="26.242855072021484"/>
    <n v="253700"/>
    <n v="0"/>
    <n v="0"/>
    <s v="AB"/>
  </r>
  <r>
    <x v="1506"/>
    <n v="26.140649718870407"/>
    <n v="26.360780546278253"/>
    <n v="25.975551598314521"/>
    <n v="26.234991073608398"/>
    <n v="66700"/>
    <n v="0"/>
    <n v="0"/>
    <s v="AB"/>
  </r>
  <r>
    <x v="1507"/>
    <n v="26.266439346159718"/>
    <n v="26.439400996745519"/>
    <n v="26.014860399339067"/>
    <n v="26.046308517456055"/>
    <n v="293600"/>
    <n v="0"/>
    <n v="0"/>
    <s v="AB"/>
  </r>
  <r>
    <x v="1508"/>
    <n v="26.266442426366176"/>
    <n v="26.266442426366176"/>
    <n v="25.747560412818263"/>
    <n v="25.841901779174805"/>
    <n v="213300"/>
    <n v="0"/>
    <n v="0"/>
    <s v="AB"/>
  </r>
  <r>
    <x v="1509"/>
    <n v="25.98341208201942"/>
    <n v="26.234991026911331"/>
    <n v="25.94410343420336"/>
    <n v="26.12492561340332"/>
    <n v="190500"/>
    <n v="0"/>
    <n v="0"/>
    <s v="AB"/>
  </r>
  <r>
    <x v="1510"/>
    <n v="26.203546775874191"/>
    <n v="26.604499795368511"/>
    <n v="25.983412942510419"/>
    <n v="26.549467086791992"/>
    <n v="265500"/>
    <n v="0"/>
    <n v="0"/>
    <s v="AB"/>
  </r>
  <r>
    <x v="1511"/>
    <n v="26.730290463096217"/>
    <n v="26.730290463096217"/>
    <n v="25.818315967258776"/>
    <n v="26.140651702880859"/>
    <n v="341300"/>
    <n v="0"/>
    <n v="0"/>
    <s v="AB"/>
  </r>
  <r>
    <x v="1512"/>
    <n v="26.23499269688601"/>
    <n v="26.470847597853197"/>
    <n v="26.022722386298209"/>
    <n v="26.093479156494141"/>
    <n v="164900"/>
    <n v="0"/>
    <n v="0"/>
    <s v="AB"/>
  </r>
  <r>
    <x v="1513"/>
    <n v="26.227131988593108"/>
    <n v="27.516474904257656"/>
    <n v="26.227131988593108"/>
    <n v="26.997592926025391"/>
    <n v="609800"/>
    <n v="0"/>
    <n v="0"/>
    <s v="AB"/>
  </r>
  <r>
    <x v="1514"/>
    <n v="27.319927750923515"/>
    <n v="28.074664603549287"/>
    <n v="26.856078497923946"/>
    <n v="27.492889404296875"/>
    <n v="410700"/>
    <n v="0"/>
    <n v="0"/>
    <s v="AB"/>
  </r>
  <r>
    <x v="1515"/>
    <n v="27.665849486869302"/>
    <n v="27.760193847611323"/>
    <n v="27.225587799637808"/>
    <n v="27.429994583129883"/>
    <n v="405600"/>
    <n v="0"/>
    <n v="0"/>
    <s v="AB"/>
  </r>
  <r>
    <x v="1516"/>
    <n v="27.209865900548291"/>
    <n v="27.681575745490782"/>
    <n v="27.123385062528619"/>
    <n v="27.571510314941406"/>
    <n v="197800"/>
    <n v="0"/>
    <n v="0"/>
    <s v="AB"/>
  </r>
  <r>
    <x v="1517"/>
    <n v="28.137560160511597"/>
    <n v="28.3576909874409"/>
    <n v="27.909565804587622"/>
    <n v="28.224040985107422"/>
    <n v="344700"/>
    <n v="0"/>
    <n v="0"/>
    <s v="AB"/>
  </r>
  <r>
    <x v="1518"/>
    <n v="28.326242645932592"/>
    <n v="28.452032117335847"/>
    <n v="28.176868585846719"/>
    <n v="28.247625350952148"/>
    <n v="252400"/>
    <n v="0"/>
    <n v="0"/>
    <s v="AB"/>
  </r>
  <r>
    <x v="1519"/>
    <n v="28.255488999814528"/>
    <n v="28.577824743307552"/>
    <n v="27.885984073749484"/>
    <n v="27.893844604492188"/>
    <n v="356200"/>
    <n v="0"/>
    <n v="0"/>
    <s v="AB"/>
  </r>
  <r>
    <x v="1520"/>
    <n v="27.618682513882508"/>
    <n v="27.807365252337554"/>
    <n v="26.981871523716102"/>
    <n v="27.626543045043945"/>
    <n v="298700"/>
    <n v="0"/>
    <n v="0"/>
    <s v="AB"/>
  </r>
  <r>
    <x v="1521"/>
    <n v="27.862393333379046"/>
    <n v="28.452032041329943"/>
    <n v="27.838808744759429"/>
    <n v="28.34196662902832"/>
    <n v="308600"/>
    <n v="0"/>
    <n v="0"/>
    <s v="AB"/>
  </r>
  <r>
    <x v="1522"/>
    <n v="28.475623737200412"/>
    <n v="28.577825635335181"/>
    <n v="28.169012044680123"/>
    <n v="28.483484268188477"/>
    <n v="249700"/>
    <n v="0"/>
    <n v="0"/>
    <s v="AB"/>
  </r>
  <r>
    <x v="1523"/>
    <n v="28.483479887137502"/>
    <n v="28.656441532851517"/>
    <n v="27.972461477889549"/>
    <n v="27.99604606628418"/>
    <n v="275000"/>
    <n v="0"/>
    <n v="0"/>
    <s v="AB"/>
  </r>
  <r>
    <x v="1524"/>
    <n v="27.846671028395271"/>
    <n v="28.412725183376612"/>
    <n v="27.830949967697119"/>
    <n v="28.326244354248047"/>
    <n v="288700"/>
    <n v="0"/>
    <n v="0"/>
    <s v="AB"/>
  </r>
  <r>
    <x v="1525"/>
    <n v="28.750783697072428"/>
    <n v="29.08884346920674"/>
    <n v="28.30265851057953"/>
    <n v="28.774368286132813"/>
    <n v="588700"/>
    <n v="0"/>
    <n v="0"/>
    <s v="AB"/>
  </r>
  <r>
    <x v="1526"/>
    <n v="29.39545093495358"/>
    <n v="29.922196341692995"/>
    <n v="29.128147967143391"/>
    <n v="29.591997146606445"/>
    <n v="679200"/>
    <n v="0"/>
    <n v="0"/>
    <s v="AB"/>
  </r>
  <r>
    <x v="1527"/>
    <n v="29.442627300400506"/>
    <n v="29.733514895356443"/>
    <n v="28.30265851057953"/>
    <n v="28.774368286132813"/>
    <n v="901200"/>
    <n v="0"/>
    <n v="0"/>
    <s v="AB"/>
  </r>
  <r>
    <x v="1528"/>
    <n v="28.703615731046053"/>
    <n v="29.434768089762464"/>
    <n v="28.389143500893027"/>
    <n v="28.986642837524414"/>
    <n v="672000"/>
    <n v="0"/>
    <n v="0"/>
    <s v="AB"/>
  </r>
  <r>
    <x v="1529"/>
    <n v="28.986642910688648"/>
    <n v="29.018091033500745"/>
    <n v="27.587234435189064"/>
    <n v="27.791641235351563"/>
    <n v="710700"/>
    <n v="0"/>
    <n v="0"/>
    <s v="AB"/>
  </r>
  <r>
    <x v="1530"/>
    <n v="28.003908767777723"/>
    <n v="28.593547515830373"/>
    <n v="27.838810638096845"/>
    <n v="28.397001266479492"/>
    <n v="645300"/>
    <n v="0"/>
    <n v="0"/>
    <s v="AB"/>
  </r>
  <r>
    <x v="1531"/>
    <n v="29.442627869964905"/>
    <n v="29.662758702940494"/>
    <n v="28.562101539004878"/>
    <n v="29.002363204956055"/>
    <n v="696000"/>
    <n v="0"/>
    <n v="0"/>
    <s v="AB"/>
  </r>
  <r>
    <x v="1532"/>
    <n v="29.568417742188807"/>
    <n v="29.60772639159601"/>
    <n v="29.002363593740419"/>
    <n v="29.104568481445313"/>
    <n v="677600"/>
    <n v="0"/>
    <n v="0"/>
    <s v="AB"/>
  </r>
  <r>
    <x v="1533"/>
    <n v="29.474081219859389"/>
    <n v="29.867173776544824"/>
    <n v="29.332567659527978"/>
    <n v="29.764968872070313"/>
    <n v="398400"/>
    <n v="0"/>
    <n v="0"/>
    <s v="AB"/>
  </r>
  <r>
    <x v="1534"/>
    <n v="30.205229514731279"/>
    <n v="30.488256625073557"/>
    <n v="29.953650527551048"/>
    <n v="30.244541168212891"/>
    <n v="499700"/>
    <n v="0"/>
    <n v="0"/>
    <s v="AB"/>
  </r>
  <r>
    <x v="1535"/>
    <n v="30.692663552299585"/>
    <n v="31.070031997730588"/>
    <n v="30.511841359638343"/>
    <n v="31.05430793762207"/>
    <n v="456500"/>
    <n v="0"/>
    <n v="0"/>
    <s v="AB"/>
  </r>
  <r>
    <x v="1536"/>
    <n v="30.881339780242609"/>
    <n v="31.172230332480737"/>
    <n v="30.401766544503339"/>
    <n v="30.441078186035156"/>
    <n v="429000"/>
    <n v="0"/>
    <n v="0"/>
    <s v="AB"/>
  </r>
  <r>
    <x v="1537"/>
    <n v="30.621907766392489"/>
    <n v="30.747697252249246"/>
    <n v="29.065261754268391"/>
    <n v="29.159603118896484"/>
    <n v="890500"/>
    <n v="0"/>
    <n v="0"/>
    <s v="AB"/>
  </r>
  <r>
    <x v="1538"/>
    <n v="30.268122128072694"/>
    <n v="30.433220256270143"/>
    <n v="29.104568702257087"/>
    <n v="30.425359725952148"/>
    <n v="623500"/>
    <n v="0"/>
    <n v="0"/>
    <s v="AB"/>
  </r>
  <r>
    <x v="1539"/>
    <n v="29.717790556755872"/>
    <n v="30.189503326929589"/>
    <n v="29.308974022228355"/>
    <n v="29.607725143432617"/>
    <n v="597000"/>
    <n v="0"/>
    <n v="0"/>
    <s v="AB"/>
  </r>
  <r>
    <x v="1540"/>
    <n v="30.181642410492362"/>
    <n v="30.614043571287407"/>
    <n v="29.992959685336416"/>
    <n v="30.165918350219727"/>
    <n v="657700"/>
    <n v="0"/>
    <n v="0"/>
    <s v="AB"/>
  </r>
  <r>
    <x v="1541"/>
    <n v="30.519702718753344"/>
    <n v="30.716248976859202"/>
    <n v="30.110886142006205"/>
    <n v="30.283847808837891"/>
    <n v="721800"/>
    <n v="0"/>
    <n v="0"/>
    <s v="AB"/>
  </r>
  <r>
    <x v="1542"/>
    <n v="29.953647554846491"/>
    <n v="30.189505456096427"/>
    <n v="29.403320449417432"/>
    <n v="29.788549423217773"/>
    <n v="934600"/>
    <n v="0"/>
    <n v="0"/>
    <s v="AB"/>
  </r>
  <r>
    <x v="1543"/>
    <n v="30.474366398046715"/>
    <n v="30.474366398046715"/>
    <n v="29.635251529898238"/>
    <n v="29.893440246582031"/>
    <n v="487700"/>
    <n v="0.97"/>
    <n v="0"/>
    <s v="AB"/>
  </r>
  <r>
    <x v="1544"/>
    <n v="29.853100120159855"/>
    <n v="30.0628773072897"/>
    <n v="28.901028032261699"/>
    <n v="29.707868576049805"/>
    <n v="352000"/>
    <n v="0"/>
    <n v="0"/>
    <s v="AB"/>
  </r>
  <r>
    <x v="1545"/>
    <n v="29.506156600025815"/>
    <n v="29.611046725975736"/>
    <n v="28.602496109136322"/>
    <n v="29.199556350708008"/>
    <n v="613900"/>
    <n v="0"/>
    <n v="0"/>
    <s v="AB"/>
  </r>
  <r>
    <x v="1546"/>
    <n v="29.046256203707546"/>
    <n v="29.990258052959057"/>
    <n v="29.046256203707546"/>
    <n v="29.506155014038086"/>
    <n v="409400"/>
    <n v="0"/>
    <n v="0"/>
    <s v="AB"/>
  </r>
  <r>
    <x v="1547"/>
    <n v="29.506162723867558"/>
    <n v="29.917653184537865"/>
    <n v="29.34479397611161"/>
    <n v="29.425479888916016"/>
    <n v="495600"/>
    <n v="0"/>
    <n v="0"/>
    <s v="AB"/>
  </r>
  <r>
    <x v="1548"/>
    <n v="29.586834877237305"/>
    <n v="29.764340743470111"/>
    <n v="28.901021794186153"/>
    <n v="29.498085021972656"/>
    <n v="364800"/>
    <n v="0"/>
    <n v="0"/>
    <s v="AB"/>
  </r>
  <r>
    <x v="1549"/>
    <n v="30.046741533787124"/>
    <n v="30.546981781314756"/>
    <n v="29.853098459792939"/>
    <n v="30.095149993896484"/>
    <n v="697600"/>
    <n v="0"/>
    <n v="0"/>
    <s v="AB"/>
  </r>
  <r>
    <x v="1550"/>
    <n v="30.175836520781452"/>
    <n v="30.458229470158553"/>
    <n v="30.014467802057833"/>
    <n v="30.280723571777344"/>
    <n v="328500"/>
    <n v="0"/>
    <n v="0"/>
    <s v="AB"/>
  </r>
  <r>
    <x v="1551"/>
    <n v="30.434024722241901"/>
    <n v="30.732554846201801"/>
    <n v="30.167765879196292"/>
    <n v="30.490503311157227"/>
    <n v="436700"/>
    <n v="0"/>
    <n v="0"/>
    <s v="AB"/>
  </r>
  <r>
    <x v="1552"/>
    <n v="30.676080452876448"/>
    <n v="30.789037646156338"/>
    <n v="29.094673591252651"/>
    <n v="29.417407989501953"/>
    <n v="956700"/>
    <n v="0"/>
    <n v="0"/>
    <s v="AB"/>
  </r>
  <r>
    <x v="1553"/>
    <n v="29.845024661759485"/>
    <n v="30.288786220266701"/>
    <n v="29.126934194675098"/>
    <n v="30.167758941650391"/>
    <n v="502100"/>
    <n v="0"/>
    <n v="0"/>
    <s v="AB"/>
  </r>
  <r>
    <x v="1554"/>
    <n v="30.498570450659646"/>
    <n v="30.780966473910173"/>
    <n v="30.240381735480589"/>
    <n v="30.434024810791016"/>
    <n v="525700"/>
    <n v="0"/>
    <n v="0"/>
    <s v="AB"/>
  </r>
  <r>
    <x v="1555"/>
    <n v="30.651872928808853"/>
    <n v="30.942332932695308"/>
    <n v="30.337202538356919"/>
    <n v="30.506641387939453"/>
    <n v="429800"/>
    <n v="0"/>
    <n v="0"/>
    <s v="AB"/>
  </r>
  <r>
    <x v="1556"/>
    <n v="30.555042898580737"/>
    <n v="31.305404663085938"/>
    <n v="30.555042898580737"/>
    <n v="31.305404663085938"/>
    <n v="432800"/>
    <n v="0"/>
    <n v="0"/>
    <s v="AB"/>
  </r>
  <r>
    <x v="1557"/>
    <n v="31.426436368905073"/>
    <n v="31.668487890074076"/>
    <n v="31.28927189093632"/>
    <n v="31.442573547363281"/>
    <n v="352100"/>
    <n v="0"/>
    <n v="0"/>
    <s v="AB"/>
  </r>
  <r>
    <x v="1558"/>
    <n v="31.692692829881576"/>
    <n v="31.692692829881576"/>
    <n v="31.11983683209705"/>
    <n v="31.144041061401367"/>
    <n v="427700"/>
    <n v="0"/>
    <n v="0"/>
    <s v="AB"/>
  </r>
  <r>
    <x v="1559"/>
    <n v="31.902471626369437"/>
    <n v="31.95088008277736"/>
    <n v="31.29734129845432"/>
    <n v="31.845993041992188"/>
    <n v="909100"/>
    <n v="0"/>
    <n v="0"/>
    <s v="AB"/>
  </r>
  <r>
    <x v="1560"/>
    <n v="31.991227882542319"/>
    <n v="32.039636343967373"/>
    <n v="31.507121723325479"/>
    <n v="31.628149032592773"/>
    <n v="746800"/>
    <n v="0"/>
    <n v="0"/>
    <s v="AB"/>
  </r>
  <r>
    <x v="1561"/>
    <n v="31.741098992189059"/>
    <n v="32.588280730775537"/>
    <n v="31.531321858747805"/>
    <n v="32.5721435546875"/>
    <n v="577000"/>
    <n v="0"/>
    <n v="0"/>
    <s v="AB"/>
  </r>
  <r>
    <x v="1562"/>
    <n v="32.67704134335446"/>
    <n v="33.548430589879707"/>
    <n v="32.499535442502498"/>
    <n v="33.475814819335938"/>
    <n v="613100"/>
    <n v="0"/>
    <n v="0"/>
    <s v="AB"/>
  </r>
  <r>
    <x v="1563"/>
    <n v="33.612975913455131"/>
    <n v="34.63766374238557"/>
    <n v="33.548430272389474"/>
    <n v="34.177764892578125"/>
    <n v="651800"/>
    <n v="0"/>
    <n v="0"/>
    <s v="AB"/>
  </r>
  <r>
    <x v="1564"/>
    <n v="34.177758993778589"/>
    <n v="34.468222023073309"/>
    <n v="33.661381642966546"/>
    <n v="33.782405853271484"/>
    <n v="479800"/>
    <n v="0"/>
    <n v="0"/>
    <s v="AB"/>
  </r>
  <r>
    <x v="1565"/>
    <n v="33.629111543146799"/>
    <n v="33.701727309656349"/>
    <n v="32.604423761446412"/>
    <n v="32.967502593994141"/>
    <n v="521000"/>
    <n v="0"/>
    <n v="0"/>
    <s v="AB"/>
  </r>
  <r>
    <x v="1566"/>
    <n v="33.241825910065018"/>
    <n v="33.725928930785813"/>
    <n v="32.192933979935333"/>
    <n v="32.273616790771484"/>
    <n v="471800"/>
    <n v="0"/>
    <n v="0"/>
    <s v="AB"/>
  </r>
  <r>
    <x v="1567"/>
    <n v="31.894400707260381"/>
    <n v="32.192933877680176"/>
    <n v="31.345748977331805"/>
    <n v="31.797580718994141"/>
    <n v="673500"/>
    <n v="0"/>
    <n v="0"/>
    <s v="AB"/>
  </r>
  <r>
    <x v="1568"/>
    <n v="31.603935611954402"/>
    <n v="31.983151568324246"/>
    <n v="31.353817068690663"/>
    <n v="31.91053581237793"/>
    <n v="486800"/>
    <n v="0"/>
    <n v="0"/>
    <s v="AB"/>
  </r>
  <r>
    <x v="1569"/>
    <n v="31.620078386226442"/>
    <n v="31.910541461431752"/>
    <n v="31.200520952913468"/>
    <n v="31.410301208496094"/>
    <n v="367500"/>
    <n v="0"/>
    <n v="0"/>
    <s v="AB"/>
  </r>
  <r>
    <x v="1570"/>
    <n v="31.418367912178706"/>
    <n v="32.071909824169722"/>
    <n v="31.418367912178706"/>
    <n v="32.0638427734375"/>
    <n v="256100"/>
    <n v="0"/>
    <n v="0"/>
    <s v="AB"/>
  </r>
  <r>
    <x v="1571"/>
    <n v="32.265544891357422"/>
    <n v="32.644757738714446"/>
    <n v="32.120313391398909"/>
    <n v="32.265544891357422"/>
    <n v="384200"/>
    <n v="0"/>
    <n v="0"/>
    <s v="AB"/>
  </r>
  <r>
    <x v="1572"/>
    <n v="32.354297426866651"/>
    <n v="33.03204345703125"/>
    <n v="32.273614621453717"/>
    <n v="33.03204345703125"/>
    <n v="353800"/>
    <n v="0"/>
    <n v="0"/>
    <s v="AB"/>
  </r>
  <r>
    <x v="1573"/>
    <n v="33.419333354863006"/>
    <n v="33.516156434747423"/>
    <n v="33.064324628843934"/>
    <n v="33.387062072753906"/>
    <n v="421200"/>
    <n v="0"/>
    <n v="0"/>
    <s v="AB"/>
  </r>
  <r>
    <x v="1574"/>
    <n v="33.064315117635992"/>
    <n v="33.387052468708049"/>
    <n v="32.636690743639278"/>
    <n v="32.878742218017578"/>
    <n v="396600"/>
    <n v="0"/>
    <n v="0"/>
    <s v="AB"/>
  </r>
  <r>
    <x v="1575"/>
    <n v="32.919095242935619"/>
    <n v="32.999781148123894"/>
    <n v="32.660906502038287"/>
    <n v="32.741592407226563"/>
    <n v="194500"/>
    <n v="0"/>
    <n v="0"/>
    <s v="AB"/>
  </r>
  <r>
    <x v="1576"/>
    <n v="32.741586626606342"/>
    <n v="32.919089430976776"/>
    <n v="32.636696507306517"/>
    <n v="32.822269439697266"/>
    <n v="219100"/>
    <n v="0"/>
    <n v="0"/>
    <s v="AB"/>
  </r>
  <r>
    <x v="1577"/>
    <n v="32.789991772106653"/>
    <n v="32.919086106727086"/>
    <n v="32.200998678035205"/>
    <n v="32.507598876953125"/>
    <n v="362200"/>
    <n v="0"/>
    <n v="0"/>
    <s v="AB"/>
  </r>
  <r>
    <x v="1578"/>
    <n v="32.475330352783203"/>
    <n v="32.588287531119128"/>
    <n v="32.176800227487931"/>
    <n v="32.475330352783203"/>
    <n v="281900"/>
    <n v="0"/>
    <n v="0"/>
    <s v="AB"/>
  </r>
  <r>
    <x v="1579"/>
    <n v="32.475325156057288"/>
    <n v="32.951361101334683"/>
    <n v="32.225203531300771"/>
    <n v="32.668968200683594"/>
    <n v="502800"/>
    <n v="0"/>
    <n v="0"/>
    <s v="AB"/>
  </r>
  <r>
    <x v="1580"/>
    <n v="32.539877099325395"/>
    <n v="32.927160149237771"/>
    <n v="32.338166985130279"/>
    <n v="32.556011199951172"/>
    <n v="389600"/>
    <n v="0"/>
    <n v="0"/>
    <s v="AB"/>
  </r>
  <r>
    <x v="1581"/>
    <n v="32.483393094901665"/>
    <n v="32.741584854089467"/>
    <n v="31.9347444554517"/>
    <n v="32.176795959472656"/>
    <n v="523500"/>
    <n v="0"/>
    <n v="0"/>
    <s v="AB"/>
  </r>
  <r>
    <x v="1582"/>
    <n v="32.217146639613468"/>
    <n v="32.572155409199539"/>
    <n v="32.168735093730149"/>
    <n v="32.370445251464844"/>
    <n v="262100"/>
    <n v="0"/>
    <n v="0"/>
    <s v="AB"/>
  </r>
  <r>
    <x v="1583"/>
    <n v="32.370436150120291"/>
    <n v="32.434984859816055"/>
    <n v="32.088043239831045"/>
    <n v="32.112247467041016"/>
    <n v="293900"/>
    <n v="0"/>
    <n v="0"/>
    <s v="AB"/>
  </r>
  <r>
    <x v="1584"/>
    <n v="31.950873006218991"/>
    <n v="32.313951738122888"/>
    <n v="31.926668783375842"/>
    <n v="32.168720245361328"/>
    <n v="270000"/>
    <n v="0"/>
    <n v="0"/>
    <s v="AB"/>
  </r>
  <r>
    <x v="1585"/>
    <n v="32.176794976608235"/>
    <n v="32.870678190697824"/>
    <n v="32.063837816705608"/>
    <n v="32.830333709716797"/>
    <n v="387800"/>
    <n v="0"/>
    <n v="0"/>
    <s v="AB"/>
  </r>
  <r>
    <x v="1586"/>
    <n v="32.838411100155547"/>
    <n v="33.588773060159276"/>
    <n v="32.765795327321236"/>
    <n v="33.508087158203125"/>
    <n v="369300"/>
    <n v="0"/>
    <n v="0"/>
    <s v="AB"/>
  </r>
  <r>
    <x v="1587"/>
    <n v="33.645244932430465"/>
    <n v="34.1616222904008"/>
    <n v="33.572629174100143"/>
    <n v="34.056732177734375"/>
    <n v="306800"/>
    <n v="0"/>
    <n v="0"/>
    <s v="AB"/>
  </r>
  <r>
    <x v="1588"/>
    <n v="34.105147741661987"/>
    <n v="34.508567985006202"/>
    <n v="34.105147741661987"/>
    <n v="34.395610809326172"/>
    <n v="328300"/>
    <n v="0"/>
    <n v="0"/>
    <s v="AB"/>
  </r>
  <r>
    <x v="1589"/>
    <n v="34.605384609078385"/>
    <n v="34.799027661266727"/>
    <n v="34.21003453272786"/>
    <n v="34.669933319091797"/>
    <n v="247200"/>
    <n v="0"/>
    <n v="0"/>
    <s v="AB"/>
  </r>
  <r>
    <x v="1590"/>
    <n v="34.758693943118544"/>
    <n v="34.93619677920536"/>
    <n v="33.443542925350194"/>
    <n v="33.766277313232422"/>
    <n v="446100"/>
    <n v="0"/>
    <n v="0"/>
    <s v="AB"/>
  </r>
  <r>
    <x v="1591"/>
    <n v="34.137423326948301"/>
    <n v="34.403679096643408"/>
    <n v="33.72593294034818"/>
    <n v="34.314926147460938"/>
    <n v="370500"/>
    <n v="0"/>
    <n v="0"/>
    <s v="AB"/>
  </r>
  <r>
    <x v="1592"/>
    <n v="33.895364028434251"/>
    <n v="34.992667470675293"/>
    <n v="33.895364028434251"/>
    <n v="34.782890319824219"/>
    <n v="613700"/>
    <n v="0"/>
    <n v="0"/>
    <s v="AB"/>
  </r>
  <r>
    <x v="1593"/>
    <n v="35.03301049725448"/>
    <n v="36.299752822203047"/>
    <n v="34.831300386852455"/>
    <n v="35.968948364257813"/>
    <n v="627800"/>
    <n v="0"/>
    <n v="0"/>
    <s v="AB"/>
  </r>
  <r>
    <x v="1594"/>
    <n v="35.985088703208973"/>
    <n v="36.267484753441195"/>
    <n v="35.371891215533473"/>
    <n v="35.734970092773438"/>
    <n v="532500"/>
    <n v="0"/>
    <n v="0"/>
    <s v="AB"/>
  </r>
  <r>
    <x v="1595"/>
    <n v="36.138385206420622"/>
    <n v="36.670899790801641"/>
    <n v="35.888263553964336"/>
    <n v="36.428848266601563"/>
    <n v="553300"/>
    <n v="0"/>
    <n v="0"/>
    <s v="AB"/>
  </r>
  <r>
    <x v="1596"/>
    <n v="36.993629744432297"/>
    <n v="37.856948694362565"/>
    <n v="36.073832214813265"/>
    <n v="37.356708526611328"/>
    <n v="757900"/>
    <n v="0"/>
    <n v="0"/>
    <s v="AB"/>
  </r>
  <r>
    <x v="1597"/>
    <n v="36.69153506100831"/>
    <n v="37.282805200958087"/>
    <n v="36.165962995567"/>
    <n v="36.642261505126953"/>
    <n v="736700"/>
    <n v="0.81"/>
    <n v="0"/>
    <s v="AB"/>
  </r>
  <r>
    <x v="1598"/>
    <n v="36.494450496982736"/>
    <n v="37.438840124673199"/>
    <n v="36.494450496982736"/>
    <n v="36.814723968505859"/>
    <n v="676800"/>
    <n v="0"/>
    <n v="0"/>
    <s v="AB"/>
  </r>
  <r>
    <x v="1599"/>
    <n v="36.141331598867218"/>
    <n v="36.141331598867218"/>
    <n v="35.196945091189981"/>
    <n v="35.68145751953125"/>
    <n v="644800"/>
    <n v="0"/>
    <n v="0"/>
    <s v="AB"/>
  </r>
  <r>
    <x v="1600"/>
    <n v="35.648600948076954"/>
    <n v="35.878537939189336"/>
    <n v="34.195063969995338"/>
    <n v="34.252548217773438"/>
    <n v="518400"/>
    <n v="0"/>
    <n v="0"/>
    <s v="AB"/>
  </r>
  <r>
    <x v="1601"/>
    <n v="34.244335106544945"/>
    <n v="35.566478977381998"/>
    <n v="34.162212520764058"/>
    <n v="35.402236938476563"/>
    <n v="387700"/>
    <n v="0"/>
    <n v="0"/>
    <s v="AB"/>
  </r>
  <r>
    <x v="1602"/>
    <n v="35.738941011163547"/>
    <n v="36.962538097558323"/>
    <n v="35.738941011163547"/>
    <n v="36.436965942382813"/>
    <n v="324400"/>
    <n v="0"/>
    <n v="0"/>
    <s v="AB"/>
  </r>
  <r>
    <x v="1603"/>
    <n v="36.379482267153961"/>
    <n v="36.420542005062345"/>
    <n v="35.541850456662658"/>
    <n v="35.870334625244141"/>
    <n v="395500"/>
    <n v="0"/>
    <n v="0"/>
    <s v="AB"/>
  </r>
  <r>
    <x v="1604"/>
    <n v="35.812846150528721"/>
    <n v="36.239874266361277"/>
    <n v="35.738937377929688"/>
    <n v="35.738937377929688"/>
    <n v="255100"/>
    <n v="0"/>
    <n v="0"/>
    <s v="AB"/>
  </r>
  <r>
    <x v="1605"/>
    <n v="35.303698739909777"/>
    <n v="35.738937551407403"/>
    <n v="35.016274341670886"/>
    <n v="35.550060272216797"/>
    <n v="247600"/>
    <n v="0"/>
    <n v="0"/>
    <s v="AB"/>
  </r>
  <r>
    <x v="1606"/>
    <n v="35.804635063029657"/>
    <n v="36.067421134003091"/>
    <n v="35.410455956569507"/>
    <n v="35.640396118164063"/>
    <n v="381100"/>
    <n v="0"/>
    <n v="0"/>
    <s v="AB"/>
  </r>
  <r>
    <x v="1607"/>
    <n v="35.960666199275302"/>
    <n v="36.625842066318718"/>
    <n v="35.73072603926073"/>
    <n v="36.551933288574219"/>
    <n v="321400"/>
    <n v="0"/>
    <n v="0"/>
    <s v="AB"/>
  </r>
  <r>
    <x v="1608"/>
    <n v="36.543717478696038"/>
    <n v="36.765443780890067"/>
    <n v="36.338415695107855"/>
    <n v="36.40411376953125"/>
    <n v="300400"/>
    <n v="0"/>
    <n v="0"/>
    <s v="AB"/>
  </r>
  <r>
    <x v="1609"/>
    <n v="36.592996421333261"/>
    <n v="36.929691270676138"/>
    <n v="35.878543853759766"/>
    <n v="35.878543853759766"/>
    <n v="379400"/>
    <n v="0"/>
    <n v="0"/>
    <s v="AB"/>
  </r>
  <r>
    <x v="1610"/>
    <n v="36.075628883885692"/>
    <n v="36.428748194646346"/>
    <n v="35.689660536622526"/>
    <n v="36.379474639892578"/>
    <n v="229400"/>
    <n v="0"/>
    <n v="0"/>
    <s v="AB"/>
  </r>
  <r>
    <x v="1611"/>
    <n v="36.937895372454783"/>
    <n v="37.176046185809206"/>
    <n v="36.749018113377439"/>
    <n v="37.003593444824219"/>
    <n v="270600"/>
    <n v="0"/>
    <n v="0"/>
    <s v="AB"/>
  </r>
  <r>
    <x v="1612"/>
    <n v="36.921473878179938"/>
    <n v="37.4388352761626"/>
    <n v="36.83935441364919"/>
    <n v="36.978958129882813"/>
    <n v="205400"/>
    <n v="0"/>
    <n v="0"/>
    <s v="AB"/>
  </r>
  <r>
    <x v="1613"/>
    <n v="37.471688379822439"/>
    <n v="37.471688379822439"/>
    <n v="36.658691809087507"/>
    <n v="37.061084747314453"/>
    <n v="259400"/>
    <n v="0"/>
    <n v="0"/>
    <s v="AB"/>
  </r>
  <r>
    <x v="1614"/>
    <n v="36.93790064382835"/>
    <n v="37.061082980772014"/>
    <n v="36.634054847399455"/>
    <n v="36.962535858154297"/>
    <n v="208800"/>
    <n v="0"/>
    <n v="0"/>
    <s v="AB"/>
  </r>
  <r>
    <x v="1615"/>
    <n v="36.863993536450863"/>
    <n v="37.742685057286572"/>
    <n v="36.707965284230617"/>
    <n v="37.27459716796875"/>
    <n v="312300"/>
    <n v="0"/>
    <n v="0"/>
    <s v="AB"/>
  </r>
  <r>
    <x v="1616"/>
    <n v="37.397772586241636"/>
    <n v="37.397772586241636"/>
    <n v="36.716169180446272"/>
    <n v="37.028228759765625"/>
    <n v="169300"/>
    <n v="0"/>
    <n v="0"/>
    <s v="AB"/>
  </r>
  <r>
    <x v="1617"/>
    <n v="37.258170069278272"/>
    <n v="37.323868149451563"/>
    <n v="36.790082212342647"/>
    <n v="36.946113586425781"/>
    <n v="312800"/>
    <n v="0"/>
    <n v="0"/>
    <s v="AB"/>
  </r>
  <r>
    <x v="1618"/>
    <n v="36.863992399578443"/>
    <n v="37.676988943280463"/>
    <n v="36.839357184897388"/>
    <n v="37.660564422607422"/>
    <n v="295900"/>
    <n v="0"/>
    <n v="0"/>
    <s v="AB"/>
  </r>
  <r>
    <x v="1619"/>
    <n v="37.644137010614564"/>
    <n v="38.186133620567965"/>
    <n v="37.364926445932099"/>
    <n v="37.947982788085938"/>
    <n v="294300"/>
    <n v="0"/>
    <n v="0"/>
    <s v="AB"/>
  </r>
  <r>
    <x v="1620"/>
    <n v="38.046528823782467"/>
    <n v="38.18613253582965"/>
    <n v="37.143199077749479"/>
    <n v="37.364925384521484"/>
    <n v="289900"/>
    <n v="0"/>
    <n v="0"/>
    <s v="AB"/>
  </r>
  <r>
    <x v="1621"/>
    <n v="37.7016196590927"/>
    <n v="37.709830352120953"/>
    <n v="37.373135550143324"/>
    <n v="37.693408966064453"/>
    <n v="192600"/>
    <n v="0"/>
    <n v="0"/>
    <s v="AB"/>
  </r>
  <r>
    <x v="1622"/>
    <n v="37.775531335547271"/>
    <n v="37.791955855525032"/>
    <n v="37.085717159765785"/>
    <n v="37.373138427734375"/>
    <n v="219700"/>
    <n v="0"/>
    <n v="0"/>
    <s v="AB"/>
  </r>
  <r>
    <x v="1623"/>
    <n v="37.52095556638556"/>
    <n v="37.57022912578239"/>
    <n v="37.061081542642476"/>
    <n v="37.241744995117188"/>
    <n v="155000"/>
    <n v="0"/>
    <n v="0"/>
    <s v="AB"/>
  </r>
  <r>
    <x v="1624"/>
    <n v="37.110349627514125"/>
    <n v="37.364924969347385"/>
    <n v="36.929686186440279"/>
    <n v="37.233531951904297"/>
    <n v="158000"/>
    <n v="0"/>
    <n v="0"/>
    <s v="AB"/>
  </r>
  <r>
    <x v="1625"/>
    <n v="36.831139559241414"/>
    <n v="37.159623673506353"/>
    <n v="36.379476251619636"/>
    <n v="36.666900634765625"/>
    <n v="284100"/>
    <n v="0"/>
    <n v="0"/>
    <s v="AB"/>
  </r>
  <r>
    <x v="1626"/>
    <n v="36.51908028739976"/>
    <n v="36.675108506712036"/>
    <n v="35.500782117635879"/>
    <n v="35.525417327880859"/>
    <n v="323800"/>
    <n v="0"/>
    <n v="0"/>
    <s v="AB"/>
  </r>
  <r>
    <x v="1627"/>
    <n v="35.467934901164305"/>
    <n v="36.625836831907549"/>
    <n v="35.164089139486649"/>
    <n v="36.346626281738281"/>
    <n v="255600"/>
    <n v="0"/>
    <n v="0"/>
    <s v="AB"/>
  </r>
  <r>
    <x v="1628"/>
    <n v="36.502662392322058"/>
    <n v="37.044659044640568"/>
    <n v="36.182392070405257"/>
    <n v="36.905052185058594"/>
    <n v="187600"/>
    <n v="0"/>
    <n v="0"/>
    <s v="AB"/>
  </r>
  <r>
    <x v="1629"/>
    <n v="36.790075819529719"/>
    <n v="37.176044141837977"/>
    <n v="36.790075819529719"/>
    <n v="37.069286346435547"/>
    <n v="136800"/>
    <n v="0"/>
    <n v="0"/>
    <s v="AB"/>
  </r>
  <r>
    <x v="1630"/>
    <n v="37.208898072853572"/>
    <n v="38.227193211347085"/>
    <n v="37.07750505070419"/>
    <n v="37.652347564697266"/>
    <n v="309000"/>
    <n v="0"/>
    <n v="0"/>
    <s v="AB"/>
  </r>
  <r>
    <x v="1631"/>
    <n v="37.701619865268214"/>
    <n v="37.964405900802134"/>
    <n v="37.488107386143142"/>
    <n v="37.742679595947266"/>
    <n v="139900"/>
    <n v="0"/>
    <n v="0"/>
    <s v="AB"/>
  </r>
  <r>
    <x v="1632"/>
    <n v="37.742682205141897"/>
    <n v="38.350376912235127"/>
    <n v="37.143201324346293"/>
    <n v="38.3421630859375"/>
    <n v="195400"/>
    <n v="0"/>
    <n v="0"/>
    <s v="AB"/>
  </r>
  <r>
    <x v="1633"/>
    <n v="38.161495148452282"/>
    <n v="38.506400628666142"/>
    <n v="37.668769006159842"/>
    <n v="37.890495300292969"/>
    <n v="209800"/>
    <n v="0"/>
    <n v="0"/>
    <s v="AB"/>
  </r>
  <r>
    <x v="1634"/>
    <n v="37.726261821710551"/>
    <n v="38.342167289975684"/>
    <n v="37.496324782675202"/>
    <n v="38.23541259765625"/>
    <n v="300000"/>
    <n v="0"/>
    <n v="0"/>
    <s v="AB"/>
  </r>
  <r>
    <x v="1635"/>
    <n v="38.350375550830776"/>
    <n v="38.465344053661411"/>
    <n v="37.980831696977482"/>
    <n v="38.407859802246094"/>
    <n v="95600"/>
    <n v="0"/>
    <n v="0"/>
    <s v="AB"/>
  </r>
  <r>
    <x v="1636"/>
    <n v="38.465342898748133"/>
    <n v="38.596735916989068"/>
    <n v="38.145072612576911"/>
    <n v="38.5228271484375"/>
    <n v="81800"/>
    <n v="0"/>
    <n v="0"/>
    <s v="AB"/>
  </r>
  <r>
    <x v="1637"/>
    <n v="38.596737623207297"/>
    <n v="38.892372710482483"/>
    <n v="37.824803998499597"/>
    <n v="38.834888458251953"/>
    <n v="252100"/>
    <n v="0"/>
    <n v="0"/>
    <s v="AB"/>
  </r>
  <r>
    <x v="1638"/>
    <n v="38.5228281896715"/>
    <n v="38.703494769382267"/>
    <n v="37.488108534638812"/>
    <n v="37.627712249755859"/>
    <n v="391600"/>
    <n v="0"/>
    <n v="0"/>
    <s v="AB"/>
  </r>
  <r>
    <x v="1639"/>
    <n v="36.978956933288707"/>
    <n v="37.176048027504351"/>
    <n v="36.412325127985817"/>
    <n v="36.855777740478516"/>
    <n v="456700"/>
    <n v="0"/>
    <n v="0"/>
    <s v="AB"/>
  </r>
  <r>
    <x v="1640"/>
    <n v="36.95432895199415"/>
    <n v="38.136866350701339"/>
    <n v="36.95432895199415"/>
    <n v="38.013687133789063"/>
    <n v="190800"/>
    <n v="0"/>
    <n v="0"/>
    <s v="AB"/>
  </r>
  <r>
    <x v="1641"/>
    <n v="38.186133182664783"/>
    <n v="38.621371977780484"/>
    <n v="37.939771659630551"/>
    <n v="38.301101684570313"/>
    <n v="183500"/>
    <n v="0"/>
    <n v="0"/>
    <s v="AB"/>
  </r>
  <r>
    <x v="1642"/>
    <n v="38.473551210370722"/>
    <n v="38.473551210370722"/>
    <n v="37.3731335759716"/>
    <n v="37.545589447021484"/>
    <n v="209300"/>
    <n v="0"/>
    <n v="0"/>
    <s v="AB"/>
  </r>
  <r>
    <x v="1643"/>
    <n v="37.783738701979928"/>
    <n v="37.915131717574681"/>
    <n v="37.102138412537329"/>
    <n v="37.562015533447266"/>
    <n v="113900"/>
    <n v="0"/>
    <n v="0"/>
    <s v="AB"/>
  </r>
  <r>
    <x v="1644"/>
    <n v="37.4388317982107"/>
    <n v="37.7016178194852"/>
    <n v="37.102137012661707"/>
    <n v="37.356712341308594"/>
    <n v="93300"/>
    <n v="0"/>
    <n v="0"/>
    <s v="AB"/>
  </r>
  <r>
    <x v="1645"/>
    <n v="37.709832328077496"/>
    <n v="37.709832328077496"/>
    <n v="37.077505554100107"/>
    <n v="37.085716247558594"/>
    <n v="137400"/>
    <n v="0"/>
    <n v="0"/>
    <s v="AB"/>
  </r>
  <r>
    <x v="1646"/>
    <n v="36.666900693682678"/>
    <n v="36.732595637047211"/>
    <n v="35.821055194521179"/>
    <n v="36.420536041259766"/>
    <n v="384100"/>
    <n v="0"/>
    <n v="0"/>
    <s v="AB"/>
  </r>
  <r>
    <x v="1647"/>
    <n v="36.937895476331875"/>
    <n v="37.315649995548895"/>
    <n v="36.551927131717321"/>
    <n v="37.028228759765625"/>
    <n v="187100"/>
    <n v="0"/>
    <n v="0"/>
    <s v="AB"/>
  </r>
  <r>
    <x v="1648"/>
    <n v="37.364924491699654"/>
    <n v="37.980829840463933"/>
    <n v="37.077503248672301"/>
    <n v="37.800163269042969"/>
    <n v="240800"/>
    <n v="0"/>
    <n v="0"/>
    <s v="AB"/>
  </r>
  <r>
    <x v="1649"/>
    <n v="37.83301404209746"/>
    <n v="37.857649254728294"/>
    <n v="37.348501686865013"/>
    <n v="37.627712249755859"/>
    <n v="177400"/>
    <n v="0"/>
    <n v="0"/>
    <s v="AB"/>
  </r>
  <r>
    <x v="1650"/>
    <n v="37.939770106546831"/>
    <n v="38.350373672347864"/>
    <n v="37.783738746642214"/>
    <n v="38.284675598144531"/>
    <n v="182300"/>
    <n v="0"/>
    <n v="0"/>
    <s v="AB"/>
  </r>
  <r>
    <x v="1651"/>
    <n v="38.391435927999282"/>
    <n v="38.925221851718682"/>
    <n v="38.186134131592866"/>
    <n v="38.859523773193359"/>
    <n v="221900"/>
    <n v="0"/>
    <n v="0"/>
    <s v="AB"/>
  </r>
  <r>
    <x v="1652"/>
    <n v="38.81846138179526"/>
    <n v="38.843096593226605"/>
    <n v="37.980829733907058"/>
    <n v="38.260040283203125"/>
    <n v="165200"/>
    <n v="0"/>
    <n v="0"/>
    <s v="AB"/>
  </r>
  <r>
    <x v="1653"/>
    <n v="38.15328519727084"/>
    <n v="38.440709592624458"/>
    <n v="37.59486405889691"/>
    <n v="38.1614990234375"/>
    <n v="201200"/>
    <n v="0"/>
    <n v="0"/>
    <s v="AB"/>
  </r>
  <r>
    <x v="1654"/>
    <n v="39.007340441855632"/>
    <n v="39.647881029819111"/>
    <n v="38.202557793921422"/>
    <n v="39.565761566162109"/>
    <n v="421600"/>
    <n v="0"/>
    <n v="0"/>
    <s v="AB"/>
  </r>
  <r>
    <x v="1655"/>
    <n v="39.459008539252693"/>
    <n v="40.099552337499318"/>
    <n v="39.26192054952844"/>
    <n v="39.639675140380859"/>
    <n v="282800"/>
    <n v="0"/>
    <n v="0"/>
    <s v="AB"/>
  </r>
  <r>
    <x v="1656"/>
    <n v="40.559421023979262"/>
    <n v="40.690814043925727"/>
    <n v="40.239150733650781"/>
    <n v="40.403392791748047"/>
    <n v="314900"/>
    <n v="0"/>
    <n v="0"/>
    <s v="AB"/>
  </r>
  <r>
    <x v="1657"/>
    <n v="40.567632965492621"/>
    <n v="41.339566530239985"/>
    <n v="40.115966543540722"/>
    <n v="41.249233245849609"/>
    <n v="258700"/>
    <n v="0"/>
    <n v="0"/>
    <s v="AB"/>
  </r>
  <r>
    <x v="1658"/>
    <n v="41.249233924861016"/>
    <n v="42.054016539481026"/>
    <n v="40.822205839676734"/>
    <n v="41.216384887695313"/>
    <n v="322000"/>
    <n v="0"/>
    <n v="0"/>
    <s v="AB"/>
  </r>
  <r>
    <x v="1659"/>
    <n v="41.454540852619637"/>
    <n v="42.037597237712667"/>
    <n v="41.093210796926137"/>
    <n v="41.668056488037109"/>
    <n v="452000"/>
    <n v="0"/>
    <n v="0"/>
    <s v="AB"/>
  </r>
  <r>
    <x v="1660"/>
    <n v="41.826932666258791"/>
    <n v="42.027619879294917"/>
    <n v="41.517538018739756"/>
    <n v="41.793483734130859"/>
    <n v="200400"/>
    <n v="0.91"/>
    <n v="0"/>
    <s v="AB"/>
  </r>
  <r>
    <x v="1661"/>
    <n v="41.601153897016474"/>
    <n v="41.743307062614569"/>
    <n v="40.764949798583984"/>
    <n v="40.764949798583984"/>
    <n v="322900"/>
    <n v="0"/>
    <n v="0"/>
    <s v="AB"/>
  </r>
  <r>
    <x v="1662"/>
    <n v="40.764954775547672"/>
    <n v="41.584434509277344"/>
    <n v="40.764954775547672"/>
    <n v="41.584434509277344"/>
    <n v="246600"/>
    <n v="0"/>
    <n v="0"/>
    <s v="AB"/>
  </r>
  <r>
    <x v="1663"/>
    <n v="41.601151699860928"/>
    <n v="41.86873674203764"/>
    <n v="41.442274077901416"/>
    <n v="41.718219757080078"/>
    <n v="209200"/>
    <n v="0"/>
    <n v="0"/>
    <s v="AB"/>
  </r>
  <r>
    <x v="1664"/>
    <n v="41.785119629165109"/>
    <n v="41.943997258792272"/>
    <n v="41.233225054307269"/>
    <n v="41.818565368652344"/>
    <n v="226200"/>
    <n v="0"/>
    <n v="0"/>
    <s v="AB"/>
  </r>
  <r>
    <x v="1665"/>
    <n v="41.810211656964889"/>
    <n v="42.429004193029009"/>
    <n v="41.801851018174538"/>
    <n v="42.362106323242188"/>
    <n v="241900"/>
    <n v="0"/>
    <n v="0"/>
    <s v="AB"/>
  </r>
  <r>
    <x v="1666"/>
    <n v="42.186496598002485"/>
    <n v="42.487530578066"/>
    <n v="41.852013689072933"/>
    <n v="42.253391265869141"/>
    <n v="171200"/>
    <n v="0"/>
    <n v="0"/>
    <s v="AB"/>
  </r>
  <r>
    <x v="1667"/>
    <n v="41.801844145448015"/>
    <n v="42.420633389909732"/>
    <n v="40.831847522080196"/>
    <n v="40.9405517578125"/>
    <n v="449900"/>
    <n v="0"/>
    <n v="0"/>
    <s v="AB"/>
  </r>
  <r>
    <x v="1668"/>
    <n v="40.781674686110257"/>
    <n v="42.010895744306012"/>
    <n v="40.72314065380241"/>
    <n v="41.709861755371094"/>
    <n v="228100"/>
    <n v="0"/>
    <n v="0"/>
    <s v="AB"/>
  </r>
  <r>
    <x v="1669"/>
    <n v="41.559342502246125"/>
    <n v="42.454080593028173"/>
    <n v="41.392101051941978"/>
    <n v="42.069427490234375"/>
    <n v="349800"/>
    <n v="0"/>
    <n v="0"/>
    <s v="AB"/>
  </r>
  <r>
    <x v="1670"/>
    <n v="41.810207886351314"/>
    <n v="42.972531155213368"/>
    <n v="41.810207886351314"/>
    <n v="42.470809936523438"/>
    <n v="302200"/>
    <n v="0"/>
    <n v="0"/>
    <s v="AB"/>
  </r>
  <r>
    <x v="1671"/>
    <n v="42.638050428360629"/>
    <n v="42.847101462998893"/>
    <n v="42.236669634773406"/>
    <n v="42.554428100585938"/>
    <n v="454400"/>
    <n v="0"/>
    <n v="0"/>
    <s v="AB"/>
  </r>
  <r>
    <x v="1672"/>
    <n v="42.387186971080133"/>
    <n v="43.223391116265212"/>
    <n v="42.387186971080133"/>
    <n v="42.796928405761719"/>
    <n v="343500"/>
    <n v="0"/>
    <n v="0"/>
    <s v="AB"/>
  </r>
  <r>
    <x v="1673"/>
    <n v="42.771842127343412"/>
    <n v="43.114685689857737"/>
    <n v="42.462444305419922"/>
    <n v="42.462444305419922"/>
    <n v="245300"/>
    <n v="0"/>
    <n v="0"/>
    <s v="AB"/>
  </r>
  <r>
    <x v="1674"/>
    <n v="42.337014425532153"/>
    <n v="42.730028182953617"/>
    <n v="42.295204858555252"/>
    <n v="42.454082489013672"/>
    <n v="228600"/>
    <n v="0"/>
    <n v="0"/>
    <s v="AB"/>
  </r>
  <r>
    <x v="1675"/>
    <n v="42.75511805949035"/>
    <n v="43.566233896470884"/>
    <n v="42.51261809622585"/>
    <n v="43.516063690185547"/>
    <n v="313800"/>
    <n v="0"/>
    <n v="0"/>
    <s v="AB"/>
  </r>
  <r>
    <x v="1676"/>
    <n v="43.68330751162501"/>
    <n v="44.026151095828126"/>
    <n v="43.482617106056111"/>
    <n v="43.641494750976563"/>
    <n v="158600"/>
    <n v="0"/>
    <n v="0"/>
    <s v="AB"/>
  </r>
  <r>
    <x v="1677"/>
    <n v="43.825460193179389"/>
    <n v="43.917443161777427"/>
    <n v="43.482616612864895"/>
    <n v="43.792011260986328"/>
    <n v="138300"/>
    <n v="0"/>
    <n v="0"/>
    <s v="AB"/>
  </r>
  <r>
    <x v="1678"/>
    <n v="43.792008069915497"/>
    <n v="43.792008069915497"/>
    <n v="43.482613444339272"/>
    <n v="43.683303833007813"/>
    <n v="155800"/>
    <n v="0"/>
    <n v="0"/>
    <s v="AB"/>
  </r>
  <r>
    <x v="1679"/>
    <n v="43.858906417084903"/>
    <n v="43.892355347212494"/>
    <n v="43.256838434250511"/>
    <n v="43.315372467041016"/>
    <n v="144100"/>
    <n v="0"/>
    <n v="0"/>
    <s v="AB"/>
  </r>
  <r>
    <x v="1680"/>
    <n v="43.273563039244827"/>
    <n v="43.516062998655677"/>
    <n v="42.671495054463577"/>
    <n v="43.031063079833984"/>
    <n v="238500"/>
    <n v="0"/>
    <n v="0"/>
    <s v="AB"/>
  </r>
  <r>
    <x v="1681"/>
    <n v="42.855459101059857"/>
    <n v="43.081234585449288"/>
    <n v="42.512615555845997"/>
    <n v="42.646408081054688"/>
    <n v="179400"/>
    <n v="0"/>
    <n v="0"/>
    <s v="AB"/>
  </r>
  <r>
    <x v="1682"/>
    <n v="42.437362190574362"/>
    <n v="42.796930243634506"/>
    <n v="42.161413279677404"/>
    <n v="42.370464324951172"/>
    <n v="190100"/>
    <n v="0"/>
    <n v="0"/>
    <s v="AB"/>
  </r>
  <r>
    <x v="1683"/>
    <n v="42.236668190205798"/>
    <n v="43.457528615035578"/>
    <n v="42.044341627700376"/>
    <n v="42.897270202636719"/>
    <n v="325800"/>
    <n v="0"/>
    <n v="0"/>
    <s v="AB"/>
  </r>
  <r>
    <x v="1684"/>
    <n v="43.332103386428649"/>
    <n v="43.892361884986919"/>
    <n v="43.20667147469986"/>
    <n v="43.307018280029297"/>
    <n v="287100"/>
    <n v="0"/>
    <n v="0"/>
    <s v="AB"/>
  </r>
  <r>
    <x v="1685"/>
    <n v="43.482619762542434"/>
    <n v="43.934170810259751"/>
    <n v="43.240119771375809"/>
    <n v="43.415721893310547"/>
    <n v="159100"/>
    <n v="0"/>
    <n v="0"/>
    <s v="AB"/>
  </r>
  <r>
    <x v="1686"/>
    <n v="43.683302187585653"/>
    <n v="43.808730884646643"/>
    <n v="42.353737583600697"/>
    <n v="42.621322631835938"/>
    <n v="253900"/>
    <n v="0"/>
    <n v="0"/>
    <s v="AB"/>
  </r>
  <r>
    <x v="1687"/>
    <n v="42.487533806288504"/>
    <n v="43.733476197494248"/>
    <n v="42.487533806288504"/>
    <n v="43.499340057373047"/>
    <n v="155700"/>
    <n v="0"/>
    <n v="0"/>
    <s v="AB"/>
  </r>
  <r>
    <x v="1688"/>
    <n v="43.674940141613583"/>
    <n v="43.674940141613583"/>
    <n v="43.072872163598987"/>
    <n v="43.290287017822266"/>
    <n v="111500"/>
    <n v="0"/>
    <n v="0"/>
    <s v="AB"/>
  </r>
  <r>
    <x v="1689"/>
    <n v="43.215025079664422"/>
    <n v="43.641487736891555"/>
    <n v="43.07286873401187"/>
    <n v="43.532783508300781"/>
    <n v="139000"/>
    <n v="0"/>
    <n v="0"/>
    <s v="AB"/>
  </r>
  <r>
    <x v="1690"/>
    <n v="42.311922244902647"/>
    <n v="42.604595566574673"/>
    <n v="39.192881625062647"/>
    <n v="40.371929168701172"/>
    <n v="972800"/>
    <n v="0"/>
    <n v="0"/>
    <s v="AB"/>
  </r>
  <r>
    <x v="1691"/>
    <n v="40.96564389243477"/>
    <n v="42.010899110053003"/>
    <n v="40.647885413116413"/>
    <n v="41.534259796142578"/>
    <n v="370000"/>
    <n v="0"/>
    <n v="0"/>
    <s v="AB"/>
  </r>
  <r>
    <x v="1692"/>
    <n v="41.893827366530395"/>
    <n v="42.79692939534808"/>
    <n v="41.893827366530395"/>
    <n v="42.495895385742188"/>
    <n v="219200"/>
    <n v="0"/>
    <n v="0"/>
    <s v="AB"/>
  </r>
  <r>
    <x v="1693"/>
    <n v="42.654766231269917"/>
    <n v="43.641487243351442"/>
    <n v="42.654766231269917"/>
    <n v="43.465885162353516"/>
    <n v="227900"/>
    <n v="0"/>
    <n v="0"/>
    <s v="AB"/>
  </r>
  <r>
    <x v="1694"/>
    <n v="43.4826159319244"/>
    <n v="43.683306332074181"/>
    <n v="43.240115962120896"/>
    <n v="43.633132934570313"/>
    <n v="127300"/>
    <n v="0"/>
    <n v="0"/>
    <s v="AB"/>
  </r>
  <r>
    <x v="1695"/>
    <n v="43.574600737916704"/>
    <n v="43.900719860789756"/>
    <n v="43.089600777842861"/>
    <n v="43.206668853759766"/>
    <n v="210000"/>
    <n v="0"/>
    <n v="0"/>
    <s v="AB"/>
  </r>
  <r>
    <x v="1696"/>
    <n v="42.746757837627236"/>
    <n v="42.8721897436522"/>
    <n v="41.475727070046773"/>
    <n v="41.584434509277344"/>
    <n v="377200"/>
    <n v="0"/>
    <n v="0"/>
    <s v="AB"/>
  </r>
  <r>
    <x v="1697"/>
    <n v="41.801844229431822"/>
    <n v="41.84365379632559"/>
    <n v="41.116153934939"/>
    <n v="41.642963409423828"/>
    <n v="244100"/>
    <n v="0"/>
    <n v="0"/>
    <s v="AB"/>
  </r>
  <r>
    <x v="1698"/>
    <n v="41.810203814697125"/>
    <n v="42.211581388534363"/>
    <n v="41.199775221786396"/>
    <n v="41.458999633789063"/>
    <n v="314900"/>
    <n v="0"/>
    <n v="0"/>
    <s v="AB"/>
  </r>
  <r>
    <x v="1699"/>
    <n v="41.417190911462583"/>
    <n v="42.730031183904757"/>
    <n v="41.241588803907682"/>
    <n v="42.470809936523438"/>
    <n v="167400"/>
    <n v="0"/>
    <n v="0"/>
    <s v="AB"/>
  </r>
  <r>
    <x v="1700"/>
    <n v="42.136321324241514"/>
    <n v="42.537698883125024"/>
    <n v="41.617875709416801"/>
    <n v="42.086151123046875"/>
    <n v="197900"/>
    <n v="0"/>
    <n v="0"/>
    <s v="AB"/>
  </r>
  <r>
    <x v="1701"/>
    <n v="42.11959888039943"/>
    <n v="42.629683882774579"/>
    <n v="41.843653191000108"/>
    <n v="42.295204162597656"/>
    <n v="155900"/>
    <n v="0"/>
    <n v="0"/>
    <s v="AB"/>
  </r>
  <r>
    <x v="1702"/>
    <n v="41.96908250134279"/>
    <n v="42.203221817729947"/>
    <n v="41.500810248299437"/>
    <n v="41.860378265380859"/>
    <n v="208700"/>
    <n v="0"/>
    <n v="0"/>
    <s v="AB"/>
  </r>
  <r>
    <x v="1703"/>
    <n v="42.228309293623809"/>
    <n v="42.663135831510353"/>
    <n v="41.960724222596042"/>
    <n v="41.985809326171875"/>
    <n v="214600"/>
    <n v="0"/>
    <n v="0"/>
    <s v="AB"/>
  </r>
  <r>
    <x v="1704"/>
    <n v="42.303563003623502"/>
    <n v="42.9474405047023"/>
    <n v="41.994168398384311"/>
    <n v="42.395545959472656"/>
    <n v="223600"/>
    <n v="0"/>
    <n v="0"/>
    <s v="AB"/>
  </r>
  <r>
    <x v="1705"/>
    <n v="42.805286596561082"/>
    <n v="42.805286596561082"/>
    <n v="41.751670837402344"/>
    <n v="41.751670837402344"/>
    <n v="230600"/>
    <n v="0"/>
    <n v="0"/>
    <s v="AB"/>
  </r>
  <r>
    <x v="1706"/>
    <n v="41.810210185041321"/>
    <n v="42.052710169682371"/>
    <n v="41.333574044121121"/>
    <n v="41.408832550048828"/>
    <n v="216600"/>
    <n v="0"/>
    <n v="0"/>
    <s v="AB"/>
  </r>
  <r>
    <x v="1707"/>
    <n v="41.601153229606091"/>
    <n v="42.094513767360866"/>
    <n v="41.55934366332832"/>
    <n v="41.969081878662109"/>
    <n v="253200"/>
    <n v="0"/>
    <n v="0"/>
    <s v="AB"/>
  </r>
  <r>
    <x v="1708"/>
    <n v="42.437363974051294"/>
    <n v="43.7669288054635"/>
    <n v="42.23667355861329"/>
    <n v="43.674945831298828"/>
    <n v="230000"/>
    <n v="0"/>
    <n v="0"/>
    <s v="AB"/>
  </r>
  <r>
    <x v="1709"/>
    <n v="43.557871455573675"/>
    <n v="44.026146897334122"/>
    <n v="43.457527857291247"/>
    <n v="43.616405487060547"/>
    <n v="186500"/>
    <n v="0"/>
    <n v="0"/>
    <s v="AB"/>
  </r>
  <r>
    <x v="1710"/>
    <n v="43.616408463736377"/>
    <n v="43.967615866491826"/>
    <n v="43.407357425626081"/>
    <n v="43.741840362548828"/>
    <n v="130300"/>
    <n v="0"/>
    <n v="0"/>
    <s v="AB"/>
  </r>
  <r>
    <x v="1711"/>
    <n v="43.942529762021685"/>
    <n v="44.310461648940162"/>
    <n v="43.691669141764628"/>
    <n v="44.151580810546875"/>
    <n v="141300"/>
    <n v="0"/>
    <n v="0"/>
    <s v="AB"/>
  </r>
  <r>
    <x v="1712"/>
    <n v="44.193386904828834"/>
    <n v="44.862352759363134"/>
    <n v="44.118128405687003"/>
    <n v="44.502784729003906"/>
    <n v="161100"/>
    <n v="0"/>
    <n v="0"/>
    <s v="AB"/>
  </r>
  <r>
    <x v="1713"/>
    <n v="44.502782316344003"/>
    <n v="45.322261934869346"/>
    <n v="44.327177034622885"/>
    <n v="44.929244995117188"/>
    <n v="222900"/>
    <n v="0"/>
    <n v="0"/>
    <s v="AB"/>
  </r>
  <r>
    <x v="1714"/>
    <n v="45.280452677403083"/>
    <n v="46.225361000896562"/>
    <n v="45.088122929927486"/>
    <n v="45.941051483154297"/>
    <n v="240300"/>
    <n v="0"/>
    <n v="0"/>
    <s v="AB"/>
  </r>
  <r>
    <x v="1715"/>
    <n v="45.807255760382276"/>
    <n v="47.011391605562331"/>
    <n v="45.322259081524379"/>
    <n v="46.492942810058594"/>
    <n v="434000"/>
    <n v="0"/>
    <n v="0"/>
    <s v="AB"/>
  </r>
  <r>
    <x v="1716"/>
    <n v="46.492947943308252"/>
    <n v="46.969584038028636"/>
    <n v="46.007951210902249"/>
    <n v="46.434413909912109"/>
    <n v="254300"/>
    <n v="0"/>
    <n v="0"/>
    <s v="AB"/>
  </r>
  <r>
    <x v="1717"/>
    <n v="46.451138857371326"/>
    <n v="46.927774957039794"/>
    <n v="45.991227223113313"/>
    <n v="46.610019683837891"/>
    <n v="201400"/>
    <n v="0"/>
    <n v="0"/>
    <s v="AB"/>
  </r>
  <r>
    <x v="1718"/>
    <n v="47.036481407005724"/>
    <n v="48.115185479507453"/>
    <n v="46.417688959177163"/>
    <n v="46.693637847900391"/>
    <n v="333800"/>
    <n v="0"/>
    <n v="0"/>
    <s v="AB"/>
  </r>
  <r>
    <x v="1719"/>
    <n v="46.819073252306026"/>
    <n v="47.21208704620711"/>
    <n v="46.75217538704112"/>
    <n v="47.153553009033203"/>
    <n v="211100"/>
    <n v="0"/>
    <n v="0"/>
    <s v="AB"/>
  </r>
  <r>
    <x v="1720"/>
    <n v="47.571655435898123"/>
    <n v="48.115189430513453"/>
    <n v="46.785624652636173"/>
    <n v="47.287345886230469"/>
    <n v="348800"/>
    <n v="0"/>
    <n v="0"/>
    <s v="AB"/>
  </r>
  <r>
    <x v="1721"/>
    <n v="47.830878356191398"/>
    <n v="47.847602822093542"/>
    <n v="46.668555089850976"/>
    <n v="46.927776336669922"/>
    <n v="264200"/>
    <n v="0"/>
    <n v="0"/>
    <s v="AB"/>
  </r>
  <r>
    <x v="1722"/>
    <n v="46.827434376407702"/>
    <n v="47.228812002564439"/>
    <n v="46.668556729553728"/>
    <n v="47.111743927001953"/>
    <n v="220500"/>
    <n v="0"/>
    <n v="0"/>
    <s v="AB"/>
  </r>
  <r>
    <x v="1723"/>
    <n v="47.203722453425485"/>
    <n v="47.772341501077214"/>
    <n v="47.069929923970108"/>
    <n v="47.546566009521484"/>
    <n v="236700"/>
    <n v="0"/>
    <n v="0"/>
    <s v="AB"/>
  </r>
  <r>
    <x v="1724"/>
    <n v="47.9543295781491"/>
    <n v="48.090249601383029"/>
    <n v="47.079341390528548"/>
    <n v="48.081752777099609"/>
    <n v="270900"/>
    <n v="0.89"/>
    <n v="0"/>
    <s v="AB"/>
  </r>
  <r>
    <x v="1725"/>
    <n v="48.081750011012204"/>
    <n v="48.676401293671894"/>
    <n v="47.792919573182566"/>
    <n v="48.005294799804688"/>
    <n v="176600"/>
    <n v="0"/>
    <n v="0"/>
    <s v="AB"/>
  </r>
  <r>
    <x v="1726"/>
    <n v="47.758943011594106"/>
    <n v="48.226167871943666"/>
    <n v="47.665497391406426"/>
    <n v="48.073257446289063"/>
    <n v="136200"/>
    <n v="0"/>
    <n v="0"/>
    <s v="AB"/>
  </r>
  <r>
    <x v="1727"/>
    <n v="47.716460759253714"/>
    <n v="47.80141278784172"/>
    <n v="46.314786313731197"/>
    <n v="46.8074951171875"/>
    <n v="221300"/>
    <n v="0"/>
    <n v="0"/>
    <s v="AB"/>
  </r>
  <r>
    <x v="1728"/>
    <n v="46.960415272687115"/>
    <n v="47.30021697637342"/>
    <n v="46.63760721883326"/>
    <n v="47.17279052734375"/>
    <n v="136100"/>
    <n v="0"/>
    <n v="0"/>
    <s v="AB"/>
  </r>
  <r>
    <x v="1729"/>
    <n v="47.758943110087586"/>
    <n v="48.005295915849061"/>
    <n v="47.402151035961424"/>
    <n v="47.894863128662109"/>
    <n v="147600"/>
    <n v="0"/>
    <n v="0"/>
    <s v="AB"/>
  </r>
  <r>
    <x v="1730"/>
    <n v="48.005301986322259"/>
    <n v="48.005301986322259"/>
    <n v="47.189781771749153"/>
    <n v="47.563564300537109"/>
    <n v="142700"/>
    <n v="0"/>
    <n v="0"/>
    <s v="AB"/>
  </r>
  <r>
    <x v="1731"/>
    <n v="47.257731453886038"/>
    <n v="47.894857067941246"/>
    <n v="47.232244225723683"/>
    <n v="47.707965850830078"/>
    <n v="110800"/>
    <n v="0"/>
    <n v="0"/>
    <s v="AB"/>
  </r>
  <r>
    <x v="1732"/>
    <n v="47.707972617881346"/>
    <n v="47.894863861501761"/>
    <n v="46.765026056834941"/>
    <n v="46.909442901611328"/>
    <n v="138100"/>
    <n v="0"/>
    <n v="0"/>
    <s v="AB"/>
  </r>
  <r>
    <x v="1733"/>
    <n v="47.019867610438297"/>
    <n v="47.206758821942707"/>
    <n v="46.306286814480416"/>
    <n v="46.552642822265625"/>
    <n v="128500"/>
    <n v="0"/>
    <n v="0"/>
    <s v="AB"/>
  </r>
  <r>
    <x v="1734"/>
    <n v="46.195858573107103"/>
    <n v="46.36575939653099"/>
    <n v="45.286892894466291"/>
    <n v="45.388832092285156"/>
    <n v="243500"/>
    <n v="0"/>
    <n v="0"/>
    <s v="AB"/>
  </r>
  <r>
    <x v="1735"/>
    <n v="45.60970303216137"/>
    <n v="46.289306357711567"/>
    <n v="45.329369414872417"/>
    <n v="45.754119873046875"/>
    <n v="233400"/>
    <n v="0"/>
    <n v="0"/>
    <s v="AB"/>
  </r>
  <r>
    <x v="1736"/>
    <n v="46.280809874213581"/>
    <n v="46.824489946181444"/>
    <n v="45.788101024213525"/>
    <n v="46.6630859375"/>
    <n v="245600"/>
    <n v="0"/>
    <n v="0"/>
    <s v="AB"/>
  </r>
  <r>
    <x v="1737"/>
    <n v="47.036865201433805"/>
    <n v="47.28322124685711"/>
    <n v="46.849977201965125"/>
    <n v="47.181282043457031"/>
    <n v="190100"/>
    <n v="0"/>
    <n v="0"/>
    <s v="AB"/>
  </r>
  <r>
    <x v="1738"/>
    <n v="45.966494211147889"/>
    <n v="46.629103876068001"/>
    <n v="45.278397315630933"/>
    <n v="46.025959014892578"/>
    <n v="194200"/>
    <n v="0"/>
    <n v="0"/>
    <s v="AB"/>
  </r>
  <r>
    <x v="1739"/>
    <n v="46.144890040556362"/>
    <n v="46.382749262845266"/>
    <n v="44.641273012682532"/>
    <n v="45.12548828125"/>
    <n v="355800"/>
    <n v="0"/>
    <n v="0"/>
    <s v="AB"/>
  </r>
  <r>
    <x v="1740"/>
    <n v="45.006561542078572"/>
    <n v="45.159471977761541"/>
    <n v="42.568494636272042"/>
    <n v="42.576988220214844"/>
    <n v="626500"/>
    <n v="0"/>
    <n v="0"/>
    <s v="AB"/>
  </r>
  <r>
    <x v="1741"/>
    <n v="43.324546725000353"/>
    <n v="43.766287590282779"/>
    <n v="42.109760155620883"/>
    <n v="42.432571411132813"/>
    <n v="372600"/>
    <n v="0"/>
    <n v="0"/>
    <s v="AB"/>
  </r>
  <r>
    <x v="1742"/>
    <n v="42.356121840887639"/>
    <n v="43.936194273935705"/>
    <n v="42.016320132919944"/>
    <n v="43.154651641845703"/>
    <n v="285900"/>
    <n v="0"/>
    <n v="0"/>
    <s v="AB"/>
  </r>
  <r>
    <x v="1743"/>
    <n v="43.672838298009196"/>
    <n v="43.672838298009196"/>
    <n v="42.526013453857452"/>
    <n v="43.146148681640625"/>
    <n v="289700"/>
    <n v="0"/>
    <n v="0"/>
    <s v="AB"/>
  </r>
  <r>
    <x v="1744"/>
    <n v="43.553914117787542"/>
    <n v="45.023550373173279"/>
    <n v="43.035718019526598"/>
    <n v="44.547828674316406"/>
    <n v="272200"/>
    <n v="0"/>
    <n v="0"/>
    <s v="AB"/>
  </r>
  <r>
    <x v="1745"/>
    <n v="44.862146977785251"/>
    <n v="45.380339842602361"/>
    <n v="44.309970056151762"/>
    <n v="44.921611785888672"/>
    <n v="441500"/>
    <n v="0"/>
    <n v="0"/>
    <s v="AB"/>
  </r>
  <r>
    <x v="1746"/>
    <n v="44.598797604151997"/>
    <n v="44.853647228057966"/>
    <n v="43.757790280614635"/>
    <n v="43.987155914306641"/>
    <n v="187500"/>
    <n v="0"/>
    <n v="0"/>
    <s v="AB"/>
  </r>
  <r>
    <x v="1747"/>
    <n v="42.517515099274505"/>
    <n v="43.231095912770357"/>
    <n v="42.050290299618652"/>
    <n v="42.347614288330078"/>
    <n v="1049200"/>
    <n v="0"/>
    <n v="0"/>
    <s v="AB"/>
  </r>
  <r>
    <x v="1748"/>
    <n v="42.101265916269639"/>
    <n v="43.528427692454287"/>
    <n v="42.101265916269639"/>
    <n v="43.273574829101563"/>
    <n v="381600"/>
    <n v="0"/>
    <n v="0"/>
    <s v="AB"/>
  </r>
  <r>
    <x v="1749"/>
    <n v="43.069695898066492"/>
    <n v="43.163141514736118"/>
    <n v="42.143739795613669"/>
    <n v="42.169223785400391"/>
    <n v="405800"/>
    <n v="0"/>
    <n v="0"/>
    <s v="AB"/>
  </r>
  <r>
    <x v="1750"/>
    <n v="42.050293895758742"/>
    <n v="42.390095546707428"/>
    <n v="40.521192947667075"/>
    <n v="41.081863403320313"/>
    <n v="545600"/>
    <n v="0"/>
    <n v="0"/>
    <s v="AB"/>
  </r>
  <r>
    <x v="1751"/>
    <n v="40.971426535845765"/>
    <n v="41.115843368727141"/>
    <n v="39.688681649112567"/>
    <n v="40.657112121582031"/>
    <n v="633700"/>
    <n v="0"/>
    <n v="0"/>
    <s v="AB"/>
  </r>
  <r>
    <x v="1752"/>
    <n v="41.15831724661389"/>
    <n v="41.625542070718524"/>
    <n v="40.44473639577803"/>
    <n v="40.623130798339844"/>
    <n v="347300"/>
    <n v="0"/>
    <n v="0"/>
    <s v="AB"/>
  </r>
  <r>
    <x v="1753"/>
    <n v="39.63771071325187"/>
    <n v="40.487211588581388"/>
    <n v="39.085533848052215"/>
    <n v="39.977512359619141"/>
    <n v="466700"/>
    <n v="0"/>
    <n v="0"/>
    <s v="AB"/>
  </r>
  <r>
    <x v="1754"/>
    <n v="39.289416527238394"/>
    <n v="39.416842958156835"/>
    <n v="37.590414731465927"/>
    <n v="38.686271667480469"/>
    <n v="551000"/>
    <n v="0"/>
    <n v="0"/>
    <s v="AB"/>
  </r>
  <r>
    <x v="1755"/>
    <n v="39.136506652490915"/>
    <n v="39.773632334796183"/>
    <n v="39.034567450686936"/>
    <n v="39.646205902099609"/>
    <n v="269400"/>
    <n v="0"/>
    <n v="0"/>
    <s v="AB"/>
  </r>
  <r>
    <x v="1756"/>
    <n v="39.790625611401772"/>
    <n v="40.767553024290777"/>
    <n v="39.527279143778806"/>
    <n v="40.580661773681641"/>
    <n v="276500"/>
    <n v="0"/>
    <n v="0"/>
    <s v="AB"/>
  </r>
  <r>
    <x v="1757"/>
    <n v="40.725075125773394"/>
    <n v="41.9398617658739"/>
    <n v="40.725075125773394"/>
    <n v="41.600063323974609"/>
    <n v="300000"/>
    <n v="0"/>
    <n v="0"/>
    <s v="AB"/>
  </r>
  <r>
    <x v="1758"/>
    <n v="42.330628772428184"/>
    <n v="42.364606343469653"/>
    <n v="41.243265484387052"/>
    <n v="41.430156707763672"/>
    <n v="226300"/>
    <n v="0"/>
    <n v="0"/>
    <s v="AB"/>
  </r>
  <r>
    <x v="1759"/>
    <n v="41.489627476561061"/>
    <n v="41.685012310659168"/>
    <n v="41.30273622629808"/>
    <n v="41.651031494140625"/>
    <n v="142400"/>
    <n v="0"/>
    <n v="0"/>
    <s v="AB"/>
  </r>
  <r>
    <x v="1760"/>
    <n v="41.328222808578474"/>
    <n v="41.591566030980282"/>
    <n v="41.073369929289143"/>
    <n v="41.421665191650391"/>
    <n v="211900"/>
    <n v="0"/>
    <n v="0"/>
    <s v="AB"/>
  </r>
  <r>
    <x v="1761"/>
    <n v="41.421665591454548"/>
    <n v="42.135246531056445"/>
    <n v="41.421665591454548"/>
    <n v="41.634040832519531"/>
    <n v="176300"/>
    <n v="0"/>
    <n v="0"/>
    <s v="AB"/>
  </r>
  <r>
    <x v="1762"/>
    <n v="41.761467891474119"/>
    <n v="41.939862318867625"/>
    <n v="41.464143845818278"/>
    <n v="41.489627838134766"/>
    <n v="160000"/>
    <n v="0"/>
    <n v="0"/>
    <s v="AB"/>
  </r>
  <r>
    <x v="1763"/>
    <n v="41.634040497913304"/>
    <n v="42.245682224253258"/>
    <n v="41.285745234989491"/>
    <n v="41.387687683105469"/>
    <n v="245900"/>
    <n v="0"/>
    <n v="0"/>
    <s v="AB"/>
  </r>
  <r>
    <x v="1764"/>
    <n v="41.149820058844952"/>
    <n v="41.676512919727337"/>
    <n v="40.877980045752111"/>
    <n v="40.928951263427734"/>
    <n v="356700"/>
    <n v="0"/>
    <n v="0"/>
    <s v="AB"/>
  </r>
  <r>
    <x v="1765"/>
    <n v="40.877986496801178"/>
    <n v="41.302736989363169"/>
    <n v="39.6292222522695"/>
    <n v="39.773635864257813"/>
    <n v="369100"/>
    <n v="0"/>
    <n v="0"/>
    <s v="AB"/>
  </r>
  <r>
    <x v="1766"/>
    <n v="39.782131634952194"/>
    <n v="40.266346924398164"/>
    <n v="39.510288345572086"/>
    <n v="39.850090026855469"/>
    <n v="288000"/>
    <n v="0"/>
    <n v="0"/>
    <s v="AB"/>
  </r>
  <r>
    <x v="1767"/>
    <n v="39.994501709694518"/>
    <n v="41.455640973070594"/>
    <n v="39.73115527868574"/>
    <n v="41.302730560302734"/>
    <n v="263100"/>
    <n v="0"/>
    <n v="0"/>
    <s v="AB"/>
  </r>
  <r>
    <x v="1768"/>
    <n v="40.784539059085958"/>
    <n v="42.678929023518819"/>
    <n v="40.784539059085958"/>
    <n v="42.390098571777344"/>
    <n v="366800"/>
    <n v="0"/>
    <n v="0"/>
    <s v="AB"/>
  </r>
  <r>
    <x v="1769"/>
    <n v="42.47504511806828"/>
    <n v="43.817258099281844"/>
    <n v="42.271163475642489"/>
    <n v="43.417991638183594"/>
    <n v="269600"/>
    <n v="0"/>
    <n v="0"/>
    <s v="AB"/>
  </r>
  <r>
    <x v="1770"/>
    <n v="44.21652151306003"/>
    <n v="44.615787975903451"/>
    <n v="43.13765497347476"/>
    <n v="43.468959808349609"/>
    <n v="273400"/>
    <n v="0"/>
    <n v="0"/>
    <s v="AB"/>
  </r>
  <r>
    <x v="1771"/>
    <n v="43.749298215762337"/>
    <n v="44.292978296454287"/>
    <n v="42.8573228808403"/>
    <n v="42.908290863037109"/>
    <n v="237000"/>
    <n v="0"/>
    <n v="0"/>
    <s v="AB"/>
  </r>
  <r>
    <x v="1772"/>
    <n v="42.857323932752323"/>
    <n v="43.180135203807254"/>
    <n v="42.356118238452169"/>
    <n v="42.831836700439453"/>
    <n v="240700"/>
    <n v="0"/>
    <n v="0"/>
    <s v="AB"/>
  </r>
  <r>
    <x v="1773"/>
    <n v="42.806351658054595"/>
    <n v="43.749298215762337"/>
    <n v="42.432572412726103"/>
    <n v="42.908290863037109"/>
    <n v="306100"/>
    <n v="0"/>
    <n v="0"/>
    <s v="AB"/>
  </r>
  <r>
    <x v="1774"/>
    <n v="43.231099686381555"/>
    <n v="44.004145365098289"/>
    <n v="42.610964426803406"/>
    <n v="42.670429229736328"/>
    <n v="350500"/>
    <n v="0"/>
    <n v="0"/>
    <s v="AB"/>
  </r>
  <r>
    <x v="1775"/>
    <n v="42.993238103491777"/>
    <n v="44.046617332140919"/>
    <n v="42.254173278808594"/>
    <n v="42.254173278808594"/>
    <n v="361300"/>
    <n v="0"/>
    <n v="0"/>
    <s v="AB"/>
  </r>
  <r>
    <x v="1776"/>
    <n v="41.922870273736415"/>
    <n v="41.990831904712465"/>
    <n v="39.960525167842299"/>
    <n v="40.640125274658203"/>
    <n v="635600"/>
    <n v="0"/>
    <n v="0"/>
    <s v="AB"/>
  </r>
  <r>
    <x v="1777"/>
    <n v="39.739654253239799"/>
    <n v="39.926545503222087"/>
    <n v="36.970282522918033"/>
    <n v="38.8306884765625"/>
    <n v="1112300"/>
    <n v="0"/>
    <n v="0"/>
    <s v="AB"/>
  </r>
  <r>
    <x v="1778"/>
    <n v="38.737241087969693"/>
    <n v="39.034568357640381"/>
    <n v="37.522454499568781"/>
    <n v="38.303997039794922"/>
    <n v="478300"/>
    <n v="0"/>
    <n v="0"/>
    <s v="AB"/>
  </r>
  <r>
    <x v="1779"/>
    <n v="39.212962850119695"/>
    <n v="40.979926342297894"/>
    <n v="38.677776356159526"/>
    <n v="39.195972442626953"/>
    <n v="473200"/>
    <n v="0"/>
    <n v="0"/>
    <s v="AB"/>
  </r>
  <r>
    <x v="1780"/>
    <n v="39.731161476745434"/>
    <n v="40.461732842696868"/>
    <n v="38.405938772885456"/>
    <n v="39.255439758300781"/>
    <n v="501400"/>
    <n v="0"/>
    <n v="0"/>
    <s v="AB"/>
  </r>
  <r>
    <x v="1781"/>
    <n v="39.484805427137417"/>
    <n v="39.493302251724451"/>
    <n v="37.717845061957668"/>
    <n v="38.73724365234375"/>
    <n v="396700"/>
    <n v="0"/>
    <n v="0"/>
    <s v="AB"/>
  </r>
  <r>
    <x v="1782"/>
    <n v="38.533357301720464"/>
    <n v="40.104932505682818"/>
    <n v="38.507873314381229"/>
    <n v="39.884063720703125"/>
    <n v="509400"/>
    <n v="0"/>
    <n v="0"/>
    <s v="AB"/>
  </r>
  <r>
    <x v="1783"/>
    <n v="40.640120993802419"/>
    <n v="41.396176235532309"/>
    <n v="40.130421777527246"/>
    <n v="41.268753051757813"/>
    <n v="413600"/>
    <n v="0"/>
    <n v="0"/>
    <s v="AB"/>
  </r>
  <r>
    <x v="1784"/>
    <n v="41.608550962370579"/>
    <n v="41.62554136812615"/>
    <n v="40.223863678882402"/>
    <n v="40.393764495849609"/>
    <n v="354900"/>
    <n v="0"/>
    <n v="0"/>
    <s v="AB"/>
  </r>
  <r>
    <x v="1785"/>
    <n v="39.6292186068465"/>
    <n v="40.087946633768155"/>
    <n v="38.898647308349609"/>
    <n v="38.898647308349609"/>
    <n v="386100"/>
    <n v="0"/>
    <n v="0"/>
    <s v="AB"/>
  </r>
  <r>
    <x v="1786"/>
    <n v="38.907139302628032"/>
    <n v="40.249352236324086"/>
    <n v="38.822190511634794"/>
    <n v="39.637710571289063"/>
    <n v="357700"/>
    <n v="0"/>
    <n v="0"/>
    <s v="AB"/>
  </r>
  <r>
    <x v="1787"/>
    <n v="39.816105772387345"/>
    <n v="40.334301833331907"/>
    <n v="39.221454501785573"/>
    <n v="39.544265747070313"/>
    <n v="374700"/>
    <n v="0"/>
    <n v="0"/>
    <s v="AB"/>
  </r>
  <r>
    <x v="1788"/>
    <n v="39.884069604630071"/>
    <n v="41.387686650647211"/>
    <n v="39.595239156684592"/>
    <n v="40.801528930664063"/>
    <n v="351400"/>
    <n v="0"/>
    <n v="0"/>
    <s v="AB"/>
  </r>
  <r>
    <x v="1789"/>
    <n v="41.268757469419413"/>
    <n v="42.262672019727297"/>
    <n v="41.243270237465339"/>
    <n v="42.050296783447266"/>
    <n v="315500"/>
    <n v="0"/>
    <n v="0"/>
    <s v="AB"/>
  </r>
  <r>
    <x v="1790"/>
    <n v="41.846416726588757"/>
    <n v="43.367024254084129"/>
    <n v="41.685012707472737"/>
    <n v="41.863407135009766"/>
    <n v="440000"/>
    <n v="0"/>
    <n v="0"/>
    <s v="AB"/>
  </r>
  <r>
    <x v="1791"/>
    <n v="43.180131057236821"/>
    <n v="43.273573431447538"/>
    <n v="41.200792461835171"/>
    <n v="41.744472503662109"/>
    <n v="572500"/>
    <n v="0"/>
    <n v="0"/>
    <s v="AB"/>
  </r>
  <r>
    <x v="1792"/>
    <n v="41.285741096913974"/>
    <n v="41.617049159200384"/>
    <n v="39.586739352339926"/>
    <n v="39.637710571289063"/>
    <n v="943100"/>
    <n v="0"/>
    <n v="0"/>
    <s v="AB"/>
  </r>
  <r>
    <x v="1793"/>
    <n v="40.308818024624742"/>
    <n v="40.793033274431579"/>
    <n v="40.028481174426716"/>
    <n v="40.402263641357422"/>
    <n v="470300"/>
    <n v="0"/>
    <n v="0"/>
    <s v="AB"/>
  </r>
  <r>
    <x v="1794"/>
    <n v="40.368280680505755"/>
    <n v="40.725069481136188"/>
    <n v="40.130421480085474"/>
    <n v="40.589149475097656"/>
    <n v="593000"/>
    <n v="0"/>
    <n v="0"/>
    <s v="AB"/>
  </r>
  <r>
    <x v="1795"/>
    <n v="40.563665669085921"/>
    <n v="40.725069664298665"/>
    <n v="39.229949591150493"/>
    <n v="39.535770416259766"/>
    <n v="568700"/>
    <n v="0"/>
    <n v="0"/>
    <s v="AB"/>
  </r>
  <r>
    <x v="1796"/>
    <n v="39.378504777385523"/>
    <n v="40.121164400207569"/>
    <n v="39.125125533656551"/>
    <n v="39.308609008789063"/>
    <n v="458700"/>
    <n v="1.29"/>
    <n v="0"/>
    <s v="AB"/>
  </r>
  <r>
    <x v="1797"/>
    <n v="38.618371478288367"/>
    <n v="39.090180428389928"/>
    <n v="36.145745683957088"/>
    <n v="36.888408660888672"/>
    <n v="1032500"/>
    <n v="0"/>
    <n v="0"/>
    <s v="AB"/>
  </r>
  <r>
    <x v="1798"/>
    <n v="37.465059418481431"/>
    <n v="37.989289314097263"/>
    <n v="36.801031328864156"/>
    <n v="36.905879974365234"/>
    <n v="445400"/>
    <n v="0"/>
    <n v="0"/>
    <s v="AB"/>
  </r>
  <r>
    <x v="1799"/>
    <n v="35.071066388318606"/>
    <n v="38.364986127946665"/>
    <n v="34.721580925006798"/>
    <n v="38.338775634765625"/>
    <n v="743400"/>
    <n v="0"/>
    <n v="0"/>
    <s v="AB"/>
  </r>
  <r>
    <x v="1800"/>
    <n v="38.417413393707108"/>
    <n v="39.946421162015568"/>
    <n v="38.347514295900531"/>
    <n v="39.876522064208984"/>
    <n v="477600"/>
    <n v="0"/>
    <n v="0"/>
    <s v="AB"/>
  </r>
  <r>
    <x v="1801"/>
    <n v="39.160072680514439"/>
    <n v="39.727991180496105"/>
    <n v="38.758162870082217"/>
    <n v="39.177547454833984"/>
    <n v="320600"/>
    <n v="0"/>
    <n v="0"/>
    <s v="AB"/>
  </r>
  <r>
    <x v="1802"/>
    <n v="38.714479022963658"/>
    <n v="39.133863623121712"/>
    <n v="37.666015856082261"/>
    <n v="37.901920318603516"/>
    <n v="289500"/>
    <n v="0"/>
    <n v="0"/>
    <s v="AB"/>
  </r>
  <r>
    <x v="1803"/>
    <n v="37.823287513521635"/>
    <n v="39.963899232283886"/>
    <n v="37.823287513521635"/>
    <n v="39.151340484619141"/>
    <n v="341900"/>
    <n v="0"/>
    <n v="0"/>
    <s v="AB"/>
  </r>
  <r>
    <x v="1804"/>
    <n v="39.527040693065878"/>
    <n v="39.780416616587068"/>
    <n v="38.583422772180541"/>
    <n v="38.766902923583984"/>
    <n v="274800"/>
    <n v="0"/>
    <n v="0"/>
    <s v="AB"/>
  </r>
  <r>
    <x v="1805"/>
    <n v="38.277613405100269"/>
    <n v="38.443618740701567"/>
    <n v="37.500001044512338"/>
    <n v="37.762119293212891"/>
    <n v="333700"/>
    <n v="0"/>
    <n v="0"/>
    <s v="AB"/>
  </r>
  <r>
    <x v="1806"/>
    <n v="37.561164790874869"/>
    <n v="37.692220583570254"/>
    <n v="35.272019615842105"/>
    <n v="35.787513732910156"/>
    <n v="700400"/>
    <n v="0"/>
    <n v="0"/>
    <s v="AB"/>
  </r>
  <r>
    <x v="1807"/>
    <n v="36.503967585388665"/>
    <n v="38.198984059916683"/>
    <n v="35.927313355129769"/>
    <n v="37.403900146484375"/>
    <n v="557100"/>
    <n v="0"/>
    <n v="0"/>
    <s v="AB"/>
  </r>
  <r>
    <x v="1808"/>
    <n v="38.609629651680308"/>
    <n v="39.500823160226766"/>
    <n v="38.487309562208289"/>
    <n v="39.212497711181641"/>
    <n v="413900"/>
    <n v="0"/>
    <n v="0"/>
    <s v="AB"/>
  </r>
  <r>
    <x v="1809"/>
    <n v="39.212493373309222"/>
    <n v="39.448397805325158"/>
    <n v="38.58341488793338"/>
    <n v="38.740684509277344"/>
    <n v="398100"/>
    <n v="0"/>
    <n v="0"/>
    <s v="AB"/>
  </r>
  <r>
    <x v="1810"/>
    <n v="38.976596895756465"/>
    <n v="39.273661426368434"/>
    <n v="38.295097286164847"/>
    <n v="38.3038330078125"/>
    <n v="210600"/>
    <n v="0"/>
    <n v="0"/>
    <s v="AB"/>
  </r>
  <r>
    <x v="1811"/>
    <n v="38.312563025223298"/>
    <n v="38.644577058938928"/>
    <n v="36.975774502986042"/>
    <n v="37.080619812011719"/>
    <n v="507500"/>
    <n v="0"/>
    <n v="0"/>
    <s v="AB"/>
  </r>
  <r>
    <x v="1812"/>
    <n v="37.220416903646296"/>
    <n v="37.998029380122134"/>
    <n v="37.115571588324123"/>
    <n v="37.438846588134766"/>
    <n v="397100"/>
    <n v="0"/>
    <n v="0"/>
    <s v="AB"/>
  </r>
  <r>
    <x v="1813"/>
    <n v="38.155290910654195"/>
    <n v="39.142593894191918"/>
    <n v="37.744645421638374"/>
    <n v="38.932903289794922"/>
    <n v="500400"/>
    <n v="0"/>
    <n v="0"/>
    <s v="AB"/>
  </r>
  <r>
    <x v="1814"/>
    <n v="39.465876359965101"/>
    <n v="40.619188235397296"/>
    <n v="38.932910694852048"/>
    <n v="40.295909881591797"/>
    <n v="625000"/>
    <n v="0"/>
    <n v="0"/>
    <s v="AB"/>
  </r>
  <r>
    <x v="1815"/>
    <n v="40.077475944363634"/>
    <n v="41.056043290755284"/>
    <n v="40.042529729327917"/>
    <n v="40.697818756103516"/>
    <n v="386700"/>
    <n v="0"/>
    <n v="0"/>
    <s v="AB"/>
  </r>
  <r>
    <x v="1816"/>
    <n v="40.890036952998223"/>
    <n v="41.169626687178145"/>
    <n v="40.304646988612923"/>
    <n v="40.63665771484375"/>
    <n v="313800"/>
    <n v="0"/>
    <n v="0"/>
    <s v="AB"/>
  </r>
  <r>
    <x v="1817"/>
    <n v="40.680346203059308"/>
    <n v="41.28321094073646"/>
    <n v="40.435702686618811"/>
    <n v="41.056045532226563"/>
    <n v="254000"/>
    <n v="0"/>
    <n v="0"/>
    <s v="AB"/>
  </r>
  <r>
    <x v="1818"/>
    <n v="40.269693379910848"/>
    <n v="40.540547365774408"/>
    <n v="39.570719114908982"/>
    <n v="39.928943634033203"/>
    <n v="382000"/>
    <n v="0"/>
    <n v="0"/>
    <s v="AB"/>
  </r>
  <r>
    <x v="1819"/>
    <n v="39.928943988805194"/>
    <n v="40.409488591952893"/>
    <n v="39.684300494151714"/>
    <n v="39.946418762207031"/>
    <n v="204200"/>
    <n v="0"/>
    <n v="0"/>
    <s v="AB"/>
  </r>
  <r>
    <x v="1820"/>
    <n v="40.252220571708129"/>
    <n v="40.374540657433386"/>
    <n v="39.850310766333045"/>
    <n v="40.260959625244141"/>
    <n v="153900"/>
    <n v="0"/>
    <n v="0"/>
    <s v="AB"/>
  </r>
  <r>
    <x v="1821"/>
    <n v="40.313380614570761"/>
    <n v="40.357065883333725"/>
    <n v="39.640616810109485"/>
    <n v="40.260959625244141"/>
    <n v="212800"/>
    <n v="0"/>
    <n v="0"/>
    <s v="AB"/>
  </r>
  <r>
    <x v="1822"/>
    <n v="40.767715339543777"/>
    <n v="41.388054830794829"/>
    <n v="40.645395252026375"/>
    <n v="40.98614501953125"/>
    <n v="267400"/>
    <n v="0"/>
    <n v="0"/>
    <s v="AB"/>
  </r>
  <r>
    <x v="1823"/>
    <n v="41.178370792749803"/>
    <n v="41.676390276163417"/>
    <n v="40.855092414905705"/>
    <n v="41.134685516357422"/>
    <n v="242000"/>
    <n v="0"/>
    <n v="0"/>
    <s v="AB"/>
  </r>
  <r>
    <x v="1824"/>
    <n v="41.370581773543563"/>
    <n v="41.789969709542127"/>
    <n v="41.073517263111903"/>
    <n v="41.082256317138672"/>
    <n v="272700"/>
    <n v="0"/>
    <n v="0"/>
    <s v="AB"/>
  </r>
  <r>
    <x v="1825"/>
    <n v="41.117202791339651"/>
    <n v="41.807438024053354"/>
    <n v="40.977407934122311"/>
    <n v="41.789966583251953"/>
    <n v="256900"/>
    <n v="0"/>
    <n v="0"/>
    <s v="AB"/>
  </r>
  <r>
    <x v="1826"/>
    <n v="41.877332603469995"/>
    <n v="43.205385270315524"/>
    <n v="41.125934077086292"/>
    <n v="41.545318603515625"/>
    <n v="471500"/>
    <n v="0"/>
    <n v="0"/>
    <s v="AB"/>
  </r>
  <r>
    <x v="1827"/>
    <n v="41.755019677215301"/>
    <n v="41.929764093034755"/>
    <n v="41.038570572030807"/>
    <n v="41.283210754394531"/>
    <n v="185300"/>
    <n v="0"/>
    <n v="0"/>
    <s v="AB"/>
  </r>
  <r>
    <x v="1828"/>
    <n v="40.890038552785313"/>
    <n v="41.7462825638327"/>
    <n v="40.453179159415868"/>
    <n v="41.615226745605469"/>
    <n v="287100"/>
    <n v="0"/>
    <n v="0"/>
    <s v="AB"/>
  </r>
  <r>
    <x v="1829"/>
    <n v="41.728805550754267"/>
    <n v="42.349148389136978"/>
    <n v="41.527850640535704"/>
    <n v="41.929763793945313"/>
    <n v="341700"/>
    <n v="0"/>
    <n v="0"/>
    <s v="AB"/>
  </r>
  <r>
    <x v="1830"/>
    <n v="42.060816275924481"/>
    <n v="42.209350183095047"/>
    <n v="41.353106285731066"/>
    <n v="41.519111633300781"/>
    <n v="252800"/>
    <n v="0"/>
    <n v="0"/>
    <s v="AB"/>
  </r>
  <r>
    <x v="1831"/>
    <n v="41.204576222270276"/>
    <n v="41.720070419410163"/>
    <n v="41.064781355230942"/>
    <n v="41.309421539306641"/>
    <n v="168100"/>
    <n v="0"/>
    <n v="0"/>
    <s v="AB"/>
  </r>
  <r>
    <x v="1832"/>
    <n v="41.30068631930537"/>
    <n v="41.597750831989167"/>
    <n v="40.060003942929775"/>
    <n v="40.435703277587891"/>
    <n v="262700"/>
    <n v="0"/>
    <n v="0"/>
    <s v="AB"/>
  </r>
  <r>
    <x v="1833"/>
    <n v="40.409491142026653"/>
    <n v="40.785190461444373"/>
    <n v="40.068741371618124"/>
    <n v="40.330856323242188"/>
    <n v="186200"/>
    <n v="0"/>
    <n v="0"/>
    <s v="AB"/>
  </r>
  <r>
    <x v="1834"/>
    <n v="40.234749926190325"/>
    <n v="40.592974499560711"/>
    <n v="39.107651878400823"/>
    <n v="39.151340484619141"/>
    <n v="327900"/>
    <n v="0"/>
    <n v="0"/>
    <s v="AB"/>
  </r>
  <r>
    <x v="1835"/>
    <n v="38.89795745862321"/>
    <n v="39.195021954025364"/>
    <n v="37.063146163619663"/>
    <n v="37.124309539794922"/>
    <n v="673500"/>
    <n v="0"/>
    <n v="0"/>
    <s v="AB"/>
  </r>
  <r>
    <x v="1836"/>
    <n v="36.905877814331419"/>
    <n v="39.046485873620512"/>
    <n v="36.905877814331419"/>
    <n v="38.574680328369141"/>
    <n v="444000"/>
    <n v="0"/>
    <n v="0"/>
    <s v="AB"/>
  </r>
  <r>
    <x v="1837"/>
    <n v="38.758161807874181"/>
    <n v="38.9853272018577"/>
    <n v="38.478572092368786"/>
    <n v="38.653316497802734"/>
    <n v="233600"/>
    <n v="0"/>
    <n v="0"/>
    <s v="AB"/>
  </r>
  <r>
    <x v="1838"/>
    <n v="39.037753054767897"/>
    <n v="39.14259836895225"/>
    <n v="37.578641045073937"/>
    <n v="37.631065368652344"/>
    <n v="316000"/>
    <n v="0"/>
    <n v="0"/>
    <s v="AB"/>
  </r>
  <r>
    <x v="1839"/>
    <n v="37.569904305567462"/>
    <n v="37.65727484285658"/>
    <n v="36.748609922943707"/>
    <n v="36.897140502929688"/>
    <n v="392900"/>
    <n v="0"/>
    <n v="0"/>
    <s v="AB"/>
  </r>
  <r>
    <x v="1840"/>
    <n v="36.827244092047764"/>
    <n v="36.984513722780314"/>
    <n v="34.153663702566632"/>
    <n v="35.499191284179688"/>
    <n v="2226000"/>
    <n v="0"/>
    <n v="0"/>
    <s v="AB"/>
  </r>
  <r>
    <x v="1841"/>
    <n v="35.368133477027797"/>
    <n v="35.534138834386653"/>
    <n v="34.101240663159906"/>
    <n v="34.2322998046875"/>
    <n v="721100"/>
    <n v="0"/>
    <n v="0"/>
    <s v="AB"/>
  </r>
  <r>
    <x v="1842"/>
    <n v="34.503152584567538"/>
    <n v="35.202126870985175"/>
    <n v="34.28472291175126"/>
    <n v="34.607997894287109"/>
    <n v="447800"/>
    <n v="0"/>
    <n v="0"/>
    <s v="AB"/>
  </r>
  <r>
    <x v="1843"/>
    <n v="35.018648576895984"/>
    <n v="35.403083621285141"/>
    <n v="33.95271065126235"/>
    <n v="34.957485198974609"/>
    <n v="507000"/>
    <n v="0"/>
    <n v="0"/>
    <s v="AB"/>
  </r>
  <r>
    <x v="1844"/>
    <n v="34.905065455598461"/>
    <n v="36.521443843552277"/>
    <n v="34.765270586007709"/>
    <n v="34.782745361328125"/>
    <n v="455000"/>
    <n v="0"/>
    <n v="0"/>
    <s v="AB"/>
  </r>
  <r>
    <x v="1845"/>
    <n v="34.89632504701342"/>
    <n v="35.306973918673158"/>
    <n v="33.795440908336701"/>
    <n v="34.704109191894531"/>
    <n v="621600"/>
    <n v="0"/>
    <n v="0"/>
    <s v="AB"/>
  </r>
  <r>
    <x v="1846"/>
    <n v="34.730322527999292"/>
    <n v="36.110799840888816"/>
    <n v="34.459468498350994"/>
    <n v="35.106021881103516"/>
    <n v="717000"/>
    <n v="0"/>
    <n v="0"/>
    <s v="AB"/>
  </r>
  <r>
    <x v="1847"/>
    <n v="35.368135658909438"/>
    <n v="36.975778340358616"/>
    <n v="35.062335420443269"/>
    <n v="36.608818054199219"/>
    <n v="571400"/>
    <n v="0"/>
    <n v="0"/>
    <s v="AB"/>
  </r>
  <r>
    <x v="1848"/>
    <n v="36.512706215498596"/>
    <n v="36.512706215498596"/>
    <n v="35.210863852383362"/>
    <n v="36.049633026123047"/>
    <n v="577300"/>
    <n v="0"/>
    <n v="0"/>
    <s v="AB"/>
  </r>
  <r>
    <x v="1849"/>
    <n v="35.576243364349487"/>
    <n v="36.174687170934568"/>
    <n v="34.611583404289249"/>
    <n v="35.638767242431641"/>
    <n v="502100"/>
    <n v="0.9"/>
    <n v="0"/>
    <s v="AB"/>
  </r>
  <r>
    <x v="1850"/>
    <n v="34.906336565524931"/>
    <n v="35.513710804211819"/>
    <n v="34.388277758595002"/>
    <n v="34.468666076660156"/>
    <n v="507300"/>
    <n v="0"/>
    <n v="0"/>
    <s v="AB"/>
  </r>
  <r>
    <x v="1851"/>
    <n v="34.95099272014577"/>
    <n v="35.370795313230374"/>
    <n v="34.164974062188769"/>
    <n v="35.183223724365234"/>
    <n v="620400"/>
    <n v="0"/>
    <n v="0"/>
    <s v="AB"/>
  </r>
  <r>
    <x v="1852"/>
    <n v="34.942058401114302"/>
    <n v="35.201087777479493"/>
    <n v="32.717987512820621"/>
    <n v="32.941287994384766"/>
    <n v="914900"/>
    <n v="0"/>
    <n v="0"/>
    <s v="AB"/>
  </r>
  <r>
    <x v="1853"/>
    <n v="32.441097905201723"/>
    <n v="33.378959368199546"/>
    <n v="31.440712571823738"/>
    <n v="32.646533966064453"/>
    <n v="709000"/>
    <n v="0"/>
    <n v="0"/>
    <s v="AB"/>
  </r>
  <r>
    <x v="1854"/>
    <n v="33.227117306638434"/>
    <n v="34.575850917751573"/>
    <n v="33.200318927883025"/>
    <n v="34.120319366455078"/>
    <n v="498300"/>
    <n v="0"/>
    <n v="0"/>
    <s v="AB"/>
  </r>
  <r>
    <x v="1855"/>
    <n v="34.120316535165394"/>
    <n v="34.307888134411364"/>
    <n v="33.191385652287465"/>
    <n v="33.798763275146484"/>
    <n v="508400"/>
    <n v="0"/>
    <n v="0"/>
    <s v="AB"/>
  </r>
  <r>
    <x v="1856"/>
    <n v="34.397206668004095"/>
    <n v="35.763808011083654"/>
    <n v="34.397206668004095"/>
    <n v="35.326137542724609"/>
    <n v="389500"/>
    <n v="0"/>
    <n v="0"/>
    <s v="AB"/>
  </r>
  <r>
    <x v="1857"/>
    <n v="35.058181029835318"/>
    <n v="35.469053161733427"/>
    <n v="34.477598325021766"/>
    <n v="34.84381103515625"/>
    <n v="398400"/>
    <n v="0"/>
    <n v="0"/>
    <s v="AB"/>
  </r>
  <r>
    <x v="1858"/>
    <n v="34.325754332366614"/>
    <n v="34.754490898476753"/>
    <n v="34.147113244663551"/>
    <n v="34.432937622070313"/>
    <n v="354300"/>
    <n v="0"/>
    <n v="0"/>
    <s v="AB"/>
  </r>
  <r>
    <x v="1859"/>
    <n v="34.709828530158106"/>
    <n v="35.192158403799169"/>
    <n v="34.2364325841558"/>
    <n v="34.879535675048828"/>
    <n v="416800"/>
    <n v="0"/>
    <n v="0"/>
    <s v="AB"/>
  </r>
  <r>
    <x v="1860"/>
    <n v="35.058179030763476"/>
    <n v="36.594487584356898"/>
    <n v="35.058179030763476"/>
    <n v="35.486915588378906"/>
    <n v="455000"/>
    <n v="0"/>
    <n v="0"/>
    <s v="AB"/>
  </r>
  <r>
    <x v="1861"/>
    <n v="35.522646008685321"/>
    <n v="35.781675421456214"/>
    <n v="34.602648985673014"/>
    <n v="35.397598266601563"/>
    <n v="391300"/>
    <n v="0"/>
    <n v="0"/>
    <s v="AB"/>
  </r>
  <r>
    <x v="1862"/>
    <n v="35.245755429501259"/>
    <n v="36.933906919491228"/>
    <n v="35.21002652635012"/>
    <n v="36.665946960449219"/>
    <n v="413800"/>
    <n v="0"/>
    <n v="0"/>
    <s v="AB"/>
  </r>
  <r>
    <x v="1863"/>
    <n v="37.300114631111398"/>
    <n v="38.032543417807339"/>
    <n v="37.067883606521427"/>
    <n v="37.755649566650391"/>
    <n v="493300"/>
    <n v="0"/>
    <n v="0"/>
    <s v="AB"/>
  </r>
  <r>
    <x v="1864"/>
    <n v="38.139725923674526"/>
    <n v="39.247294491007175"/>
    <n v="38.095066505318329"/>
    <n v="38.318367004394531"/>
    <n v="366700"/>
    <n v="0"/>
    <n v="0"/>
    <s v="AB"/>
  </r>
  <r>
    <x v="1865"/>
    <n v="38.318371846954363"/>
    <n v="38.318371846954363"/>
    <n v="37.282257536591601"/>
    <n v="37.996818542480469"/>
    <n v="282700"/>
    <n v="0"/>
    <n v="0"/>
    <s v="AB"/>
  </r>
  <r>
    <x v="1866"/>
    <n v="38.005747245595849"/>
    <n v="38.407688856953293"/>
    <n v="37.434098468241032"/>
    <n v="37.612739562988281"/>
    <n v="247100"/>
    <n v="0"/>
    <n v="0"/>
    <s v="AB"/>
  </r>
  <r>
    <x v="1867"/>
    <n v="37.69312239925727"/>
    <n v="38.827489267412382"/>
    <n v="37.577005193477383"/>
    <n v="38.720302581787109"/>
    <n v="198400"/>
    <n v="0"/>
    <n v="0"/>
    <s v="AB"/>
  </r>
  <r>
    <x v="1868"/>
    <n v="38.586325715637187"/>
    <n v="38.738168414760779"/>
    <n v="38.050402490229871"/>
    <n v="38.139724731445313"/>
    <n v="243800"/>
    <n v="0"/>
    <n v="0"/>
    <s v="AB"/>
  </r>
  <r>
    <x v="1869"/>
    <n v="38.22904950991343"/>
    <n v="38.98827334547461"/>
    <n v="38.139730662104178"/>
    <n v="38.738174438476563"/>
    <n v="220000"/>
    <n v="0"/>
    <n v="0"/>
    <s v="AB"/>
  </r>
  <r>
    <x v="1870"/>
    <n v="38.720309559478146"/>
    <n v="39.604581135116639"/>
    <n v="38.407690188305523"/>
    <n v="39.524192810058594"/>
    <n v="349900"/>
    <n v="0"/>
    <n v="0"/>
    <s v="AB"/>
  </r>
  <r>
    <x v="1871"/>
    <n v="38.961475099193002"/>
    <n v="39.497398409777212"/>
    <n v="38.327302418599224"/>
    <n v="38.488079071044922"/>
    <n v="250500"/>
    <n v="0"/>
    <n v="0"/>
    <s v="AB"/>
  </r>
  <r>
    <x v="1872"/>
    <n v="38.18438219847129"/>
    <n v="38.997195811901335"/>
    <n v="38.014675059770923"/>
    <n v="38.2647705078125"/>
    <n v="228100"/>
    <n v="0"/>
    <n v="0"/>
    <s v="AB"/>
  </r>
  <r>
    <x v="1873"/>
    <n v="37.889629316490499"/>
    <n v="38.630988653316052"/>
    <n v="37.380504420695168"/>
    <n v="38.407688140869141"/>
    <n v="438500"/>
    <n v="0"/>
    <n v="0"/>
    <s v="AB"/>
  </r>
  <r>
    <x v="1874"/>
    <n v="36.942836141871993"/>
    <n v="37.460891542372643"/>
    <n v="35.772740267477708"/>
    <n v="36.219341278076172"/>
    <n v="544400"/>
    <n v="0"/>
    <n v="0"/>
    <s v="AB"/>
  </r>
  <r>
    <x v="1875"/>
    <n v="36.121087320678342"/>
    <n v="37.076813179291953"/>
    <n v="35.79953746576799"/>
    <n v="36.040699005126953"/>
    <n v="362500"/>
    <n v="0"/>
    <n v="0"/>
    <s v="AB"/>
  </r>
  <r>
    <x v="1876"/>
    <n v="36.648082016042046"/>
    <n v="37.621672466395552"/>
    <n v="36.219345405881199"/>
    <n v="36.960704803466797"/>
    <n v="385500"/>
    <n v="0"/>
    <n v="0"/>
    <s v="AB"/>
  </r>
  <r>
    <x v="1877"/>
    <n v="36.183610743371261"/>
    <n v="36.56768786770283"/>
    <n v="35.022448849778314"/>
    <n v="36.076427459716797"/>
    <n v="491400"/>
    <n v="0"/>
    <n v="0"/>
    <s v="AB"/>
  </r>
  <r>
    <x v="1878"/>
    <n v="35.897786922964698"/>
    <n v="36.826717814753231"/>
    <n v="35.790603637695313"/>
    <n v="35.790603637695313"/>
    <n v="268300"/>
    <n v="0"/>
    <n v="0"/>
    <s v="AB"/>
  </r>
  <r>
    <x v="1879"/>
    <n v="36.657011941739405"/>
    <n v="37.237591213897119"/>
    <n v="36.505165825621326"/>
    <n v="36.978565216064453"/>
    <n v="308300"/>
    <n v="0"/>
    <n v="0"/>
    <s v="AB"/>
  </r>
  <r>
    <x v="1880"/>
    <n v="36.692741969578513"/>
    <n v="37.139342996040014"/>
    <n v="36.183613664700616"/>
    <n v="36.630214691162109"/>
    <n v="288100"/>
    <n v="0"/>
    <n v="0"/>
    <s v="AB"/>
  </r>
  <r>
    <x v="1881"/>
    <n v="36.621287522725183"/>
    <n v="37.78244961637683"/>
    <n v="36.603423071155682"/>
    <n v="37.416236877441406"/>
    <n v="300900"/>
    <n v="0"/>
    <n v="0"/>
    <s v="AB"/>
  </r>
  <r>
    <x v="1882"/>
    <n v="37.809246307788904"/>
    <n v="38.800697770872951"/>
    <n v="37.809246307788904"/>
    <n v="38.541671752929688"/>
    <n v="262600"/>
    <n v="0"/>
    <n v="0"/>
    <s v="AB"/>
  </r>
  <r>
    <x v="1883"/>
    <n v="38.657783423101414"/>
    <n v="38.675647872879559"/>
    <n v="37.844969698320519"/>
    <n v="38.166522979736328"/>
    <n v="226700"/>
    <n v="0"/>
    <n v="0"/>
    <s v="AB"/>
  </r>
  <r>
    <x v="1884"/>
    <n v="38.622057256371619"/>
    <n v="38.773899965891076"/>
    <n v="37.880697936354501"/>
    <n v="38.220115661621094"/>
    <n v="187600"/>
    <n v="0"/>
    <n v="0"/>
    <s v="AB"/>
  </r>
  <r>
    <x v="1885"/>
    <n v="37.970018827886115"/>
    <n v="38.434484317215357"/>
    <n v="36.933904553934902"/>
    <n v="37.317981719970703"/>
    <n v="365300"/>
    <n v="0"/>
    <n v="0"/>
    <s v="AB"/>
  </r>
  <r>
    <x v="1886"/>
    <n v="36.683812071291733"/>
    <n v="37.48769537016058"/>
    <n v="36.308668803350145"/>
    <n v="37.139347076416016"/>
    <n v="319800"/>
    <n v="0"/>
    <n v="0"/>
    <s v="AB"/>
  </r>
  <r>
    <x v="1887"/>
    <n v="37.06788156247822"/>
    <n v="37.728852516055142"/>
    <n v="36.701668892972044"/>
    <n v="37.648464202880859"/>
    <n v="201700"/>
    <n v="0"/>
    <n v="0"/>
    <s v="AB"/>
  </r>
  <r>
    <x v="1888"/>
    <n v="37.201867458651222"/>
    <n v="37.603805663020836"/>
    <n v="36.058566495771011"/>
    <n v="37.353710174560547"/>
    <n v="330900"/>
    <n v="0"/>
    <n v="0"/>
    <s v="AB"/>
  </r>
  <r>
    <x v="1889"/>
    <n v="37.255455229985593"/>
    <n v="37.61273739892372"/>
    <n v="36.335458244818561"/>
    <n v="36.755264282226563"/>
    <n v="254400"/>
    <n v="0"/>
    <n v="0"/>
    <s v="AB"/>
  </r>
  <r>
    <x v="1890"/>
    <n v="36.844583771192411"/>
    <n v="37.505554773206782"/>
    <n v="36.844583771192411"/>
    <n v="37.443027496337891"/>
    <n v="243200"/>
    <n v="0"/>
    <n v="0"/>
    <s v="AB"/>
  </r>
  <r>
    <x v="1891"/>
    <n v="37.514487845137644"/>
    <n v="37.514487845137644"/>
    <n v="36.737402979531126"/>
    <n v="37.032157897949219"/>
    <n v="113200"/>
    <n v="0"/>
    <n v="0"/>
    <s v="AB"/>
  </r>
  <r>
    <x v="1892"/>
    <n v="36.665943683478915"/>
    <n v="36.924973097230605"/>
    <n v="36.272936005828228"/>
    <n v="36.639148712158203"/>
    <n v="191400"/>
    <n v="0"/>
    <n v="0"/>
    <s v="AB"/>
  </r>
  <r>
    <x v="1893"/>
    <n v="36.621284169842866"/>
    <n v="36.951767975381657"/>
    <n v="36.397983656612119"/>
    <n v="36.630214691162109"/>
    <n v="211400"/>
    <n v="0"/>
    <n v="0"/>
    <s v="AB"/>
  </r>
  <r>
    <x v="1894"/>
    <n v="36.594488552346569"/>
    <n v="36.951767322829113"/>
    <n v="36.094294184916556"/>
    <n v="36.424777984619141"/>
    <n v="179400"/>
    <n v="0"/>
    <n v="0"/>
    <s v="AB"/>
  </r>
  <r>
    <x v="1895"/>
    <n v="35.73700931516904"/>
    <n v="36.255068093193557"/>
    <n v="35.62982603282763"/>
    <n v="36.112155914306641"/>
    <n v="156200"/>
    <n v="0"/>
    <n v="0"/>
    <s v="AB"/>
  </r>
  <r>
    <x v="1896"/>
    <n v="36.594485167157195"/>
    <n v="36.889240040356484"/>
    <n v="35.987107565497695"/>
    <n v="36.648075103759766"/>
    <n v="200900"/>
    <n v="0"/>
    <n v="0"/>
    <s v="AB"/>
  </r>
  <r>
    <x v="1897"/>
    <n v="36.746331745265486"/>
    <n v="37.21972774083104"/>
    <n v="35.647693634033203"/>
    <n v="35.647693634033203"/>
    <n v="369300"/>
    <n v="0"/>
    <n v="0"/>
    <s v="AB"/>
  </r>
  <r>
    <x v="1898"/>
    <n v="35.835268045673267"/>
    <n v="36.773129588782972"/>
    <n v="35.835268045673267"/>
    <n v="36.719539642333984"/>
    <n v="297700"/>
    <n v="0"/>
    <n v="0"/>
    <s v="AB"/>
  </r>
  <r>
    <x v="1899"/>
    <n v="36.808857523803539"/>
    <n v="37.987884016831444"/>
    <n v="36.746333649725969"/>
    <n v="37.532352447509766"/>
    <n v="357500"/>
    <n v="0"/>
    <n v="0"/>
    <s v="AB"/>
  </r>
  <r>
    <x v="1900"/>
    <n v="37.621665072472069"/>
    <n v="37.818170591245064"/>
    <n v="36.907104195972579"/>
    <n v="37.693122863769531"/>
    <n v="237800"/>
    <n v="0"/>
    <n v="0"/>
    <s v="AB"/>
  </r>
  <r>
    <x v="1901"/>
    <n v="37.871772567698379"/>
    <n v="37.916431993792024"/>
    <n v="36.790995375375644"/>
    <n v="37.139347076416016"/>
    <n v="162800"/>
    <n v="0"/>
    <n v="0"/>
    <s v="AB"/>
  </r>
  <r>
    <x v="1902"/>
    <n v="37.737787561330613"/>
    <n v="37.737787561330613"/>
    <n v="36.799926066709311"/>
    <n v="37.335845947265625"/>
    <n v="196400"/>
    <n v="0"/>
    <n v="0"/>
    <s v="AB"/>
  </r>
  <r>
    <x v="1903"/>
    <n v="37.16613870934075"/>
    <n v="37.16613870934075"/>
    <n v="36.683808773381379"/>
    <n v="36.844585418701172"/>
    <n v="156200"/>
    <n v="0"/>
    <n v="0"/>
    <s v="AB"/>
  </r>
  <r>
    <x v="1904"/>
    <n v="37.103613380807872"/>
    <n v="37.389437759648857"/>
    <n v="36.701671783282947"/>
    <n v="37.201866149902344"/>
    <n v="157200"/>
    <n v="0"/>
    <n v="0"/>
    <s v="AB"/>
  </r>
  <r>
    <x v="1905"/>
    <n v="37.666327747454822"/>
    <n v="38.273705396856336"/>
    <n v="37.067884026386004"/>
    <n v="37.978950500488281"/>
    <n v="311500"/>
    <n v="0"/>
    <n v="0"/>
    <s v="AB"/>
  </r>
  <r>
    <x v="1906"/>
    <n v="37.782443339418769"/>
    <n v="40.024382233140081"/>
    <n v="37.648465085849494"/>
    <n v="39.354480743408203"/>
    <n v="520600"/>
    <n v="0"/>
    <n v="0"/>
    <s v="AB"/>
  </r>
  <r>
    <x v="1907"/>
    <n v="39.077591040687764"/>
    <n v="39.711763700397142"/>
    <n v="38.666718901210892"/>
    <n v="39.309822082519531"/>
    <n v="406300"/>
    <n v="0"/>
    <n v="0"/>
    <s v="AB"/>
  </r>
  <r>
    <x v="1908"/>
    <n v="39.309818896975735"/>
    <n v="39.827877697435149"/>
    <n v="38.604191899767429"/>
    <n v="39.291957855224609"/>
    <n v="243500"/>
    <n v="0"/>
    <n v="0"/>
    <s v="AB"/>
  </r>
  <r>
    <x v="1909"/>
    <n v="39.801088079116994"/>
    <n v="40.810404031234683"/>
    <n v="39.488465289713268"/>
    <n v="40.435260772705078"/>
    <n v="378800"/>
    <n v="0"/>
    <n v="0"/>
    <s v="AB"/>
  </r>
  <r>
    <x v="1910"/>
    <n v="40.167298892140586"/>
    <n v="40.863995428788641"/>
    <n v="40.086910568120004"/>
    <n v="40.301277160644531"/>
    <n v="269300"/>
    <n v="0"/>
    <n v="0"/>
    <s v="AB"/>
  </r>
  <r>
    <x v="1911"/>
    <n v="40.745941728843945"/>
    <n v="40.745941728843945"/>
    <n v="39.647885917133259"/>
    <n v="39.911056518554688"/>
    <n v="231100"/>
    <n v="0.71"/>
    <n v="0"/>
    <s v="AB"/>
  </r>
  <r>
    <x v="1912"/>
    <n v="40.083475977427781"/>
    <n v="40.473693491969541"/>
    <n v="39.402864516497111"/>
    <n v="40.128852844238281"/>
    <n v="264000"/>
    <n v="0"/>
    <n v="0"/>
    <s v="AB"/>
  </r>
  <r>
    <x v="1913"/>
    <n v="39.929204926620123"/>
    <n v="40.110702005003979"/>
    <n v="39.048946346608147"/>
    <n v="39.321193695068359"/>
    <n v="232600"/>
    <n v="0"/>
    <n v="0"/>
    <s v="AB"/>
  </r>
  <r>
    <x v="1914"/>
    <n v="39.802165276212214"/>
    <n v="40.600750489822524"/>
    <n v="39.720491749118324"/>
    <n v="40.056259155273438"/>
    <n v="315600"/>
    <n v="0"/>
    <n v="0"/>
    <s v="AB"/>
  </r>
  <r>
    <x v="1915"/>
    <n v="40.328497544714139"/>
    <n v="40.981885671595528"/>
    <n v="40.04718034923831"/>
    <n v="40.219600677490234"/>
    <n v="248600"/>
    <n v="0"/>
    <n v="0"/>
    <s v="AB"/>
  </r>
  <r>
    <x v="1916"/>
    <n v="40.364801147607224"/>
    <n v="41.208759730610105"/>
    <n v="40.337577793887547"/>
    <n v="40.936515808105469"/>
    <n v="192000"/>
    <n v="0"/>
    <n v="0"/>
    <s v="AB"/>
  </r>
  <r>
    <x v="1917"/>
    <n v="40.981889369025332"/>
    <n v="41.145236415483026"/>
    <n v="40.609821865820436"/>
    <n v="40.646121978759766"/>
    <n v="150500"/>
    <n v="0"/>
    <n v="0"/>
    <s v="AB"/>
  </r>
  <r>
    <x v="1918"/>
    <n v="40.564448455530922"/>
    <n v="41.081712948723847"/>
    <n v="40.500924988771743"/>
    <n v="40.646121978759766"/>
    <n v="263000"/>
    <n v="0"/>
    <n v="0"/>
    <s v="AB"/>
  </r>
  <r>
    <x v="1919"/>
    <n v="40.473700888701636"/>
    <n v="40.682424821222149"/>
    <n v="39.874762832095058"/>
    <n v="40.573524475097656"/>
    <n v="136200"/>
    <n v="0"/>
    <n v="0"/>
    <s v="AB"/>
  </r>
  <r>
    <x v="1920"/>
    <n v="40.863918474557238"/>
    <n v="40.891145291973132"/>
    <n v="39.983663178219551"/>
    <n v="40.573524475097656"/>
    <n v="262100"/>
    <n v="0"/>
    <n v="0"/>
    <s v="AB"/>
  </r>
  <r>
    <x v="1921"/>
    <n v="40.110708430421539"/>
    <n v="40.555372708836408"/>
    <n v="39.711414101659493"/>
    <n v="40.274055480957031"/>
    <n v="232900"/>
    <n v="0"/>
    <n v="0"/>
    <s v="AB"/>
  </r>
  <r>
    <x v="1922"/>
    <n v="39.684190281598525"/>
    <n v="39.847537330217683"/>
    <n v="39.348422886889963"/>
    <n v="39.502693176269531"/>
    <n v="185300"/>
    <n v="0"/>
    <n v="0"/>
    <s v="AB"/>
  </r>
  <r>
    <x v="1923"/>
    <n v="39.348419039471786"/>
    <n v="40.047180576514684"/>
    <n v="39.348419039471786"/>
    <n v="39.774936676025391"/>
    <n v="154900"/>
    <n v="0"/>
    <n v="0"/>
    <s v="AB"/>
  </r>
  <r>
    <x v="1924"/>
    <n v="39.847533035261343"/>
    <n v="40.201450448532832"/>
    <n v="39.620662543495612"/>
    <n v="40.04718017578125"/>
    <n v="152900"/>
    <n v="0"/>
    <n v="0"/>
    <s v="AB"/>
  </r>
  <r>
    <x v="1925"/>
    <n v="40.156080569438778"/>
    <n v="41.000039149873615"/>
    <n v="40.147007272149594"/>
    <n v="40.627971649169922"/>
    <n v="260200"/>
    <n v="0"/>
    <n v="0"/>
    <s v="AB"/>
  </r>
  <r>
    <x v="1926"/>
    <n v="40.655193187896209"/>
    <n v="40.809466929079605"/>
    <n v="39.448243919696232"/>
    <n v="39.747711181640625"/>
    <n v="247600"/>
    <n v="0"/>
    <n v="0"/>
    <s v="AB"/>
  </r>
  <r>
    <x v="1927"/>
    <n v="39.030800782243738"/>
    <n v="39.702339010979344"/>
    <n v="38.912830610227822"/>
    <n v="39.529918670654297"/>
    <n v="264500"/>
    <n v="0"/>
    <n v="0"/>
    <s v="AB"/>
  </r>
  <r>
    <x v="1928"/>
    <n v="39.8203125"/>
    <n v="39.86568590920804"/>
    <n v="38.88560365382223"/>
    <n v="39.8203125"/>
    <n v="187300"/>
    <n v="0"/>
    <n v="0"/>
    <s v="AB"/>
  </r>
  <r>
    <x v="1929"/>
    <n v="39.838464865801285"/>
    <n v="40.165155508101613"/>
    <n v="39.058029719805639"/>
    <n v="39.094329833984375"/>
    <n v="129700"/>
    <n v="0"/>
    <n v="0"/>
    <s v="AB"/>
  </r>
  <r>
    <x v="1930"/>
    <n v="38.79485420848048"/>
    <n v="39.021724700927734"/>
    <n v="37.787548668131635"/>
    <n v="39.021724700927734"/>
    <n v="269400"/>
    <n v="0"/>
    <n v="0"/>
    <s v="AB"/>
  </r>
  <r>
    <x v="1931"/>
    <n v="39.021726647802303"/>
    <n v="39.892908551440264"/>
    <n v="38.658732457068567"/>
    <n v="39.012653350830078"/>
    <n v="273400"/>
    <n v="0"/>
    <n v="0"/>
    <s v="AB"/>
  </r>
  <r>
    <x v="1932"/>
    <n v="39.012657059516044"/>
    <n v="39.357497765548835"/>
    <n v="38.214071841046902"/>
    <n v="38.704113006591797"/>
    <n v="224400"/>
    <n v="0"/>
    <n v="0"/>
    <s v="AB"/>
  </r>
  <r>
    <x v="1933"/>
    <n v="38.386490841304173"/>
    <n v="38.749485053753368"/>
    <n v="38.232220551163358"/>
    <n v="38.613361358642578"/>
    <n v="224100"/>
    <n v="0"/>
    <n v="0"/>
    <s v="AB"/>
  </r>
  <r>
    <x v="1934"/>
    <n v="38.259443529750392"/>
    <n v="39.466396331787109"/>
    <n v="38.177770005839868"/>
    <n v="39.466396331787109"/>
    <n v="150500"/>
    <n v="0"/>
    <n v="0"/>
    <s v="AB"/>
  </r>
  <r>
    <x v="1935"/>
    <n v="39.5843624563445"/>
    <n v="40.110703659187358"/>
    <n v="39.5843624563445"/>
    <n v="39.911056518554688"/>
    <n v="170000"/>
    <n v="0"/>
    <n v="0"/>
    <s v="AB"/>
  </r>
  <r>
    <x v="1936"/>
    <n v="39.738637140284816"/>
    <n v="40.364798466633651"/>
    <n v="39.393793015072717"/>
    <n v="39.675113677978516"/>
    <n v="208100"/>
    <n v="0"/>
    <n v="0"/>
    <s v="AB"/>
  </r>
  <r>
    <x v="1937"/>
    <n v="39.003578454595207"/>
    <n v="39.039878567755828"/>
    <n v="38.350190264781432"/>
    <n v="38.558914184570313"/>
    <n v="207000"/>
    <n v="0"/>
    <n v="0"/>
    <s v="AB"/>
  </r>
  <r>
    <x v="1938"/>
    <n v="38.477241435829384"/>
    <n v="39.23952651870917"/>
    <n v="37.869226644335441"/>
    <n v="38.495388031005859"/>
    <n v="349300"/>
    <n v="0"/>
    <n v="0"/>
    <s v="AB"/>
  </r>
  <r>
    <x v="1939"/>
    <n v="38.450012176696731"/>
    <n v="39.275820675536629"/>
    <n v="38.431862120903979"/>
    <n v="38.586135864257813"/>
    <n v="198300"/>
    <n v="0"/>
    <n v="0"/>
    <s v="AB"/>
  </r>
  <r>
    <x v="1940"/>
    <n v="38.032570707463094"/>
    <n v="38.114244226419046"/>
    <n v="37.642353168203464"/>
    <n v="38.087020874023438"/>
    <n v="151200"/>
    <n v="0"/>
    <n v="0"/>
    <s v="AB"/>
  </r>
  <r>
    <x v="1941"/>
    <n v="37.687729921695755"/>
    <n v="38.459091771814066"/>
    <n v="37.66957986456444"/>
    <n v="38.359268188476563"/>
    <n v="117800"/>
    <n v="0"/>
    <n v="0"/>
    <s v="AB"/>
  </r>
  <r>
    <x v="1942"/>
    <n v="37.969050236501118"/>
    <n v="38.13239728728697"/>
    <n v="37.161391741931858"/>
    <n v="37.569759368896484"/>
    <n v="262300"/>
    <n v="0"/>
    <n v="0"/>
    <s v="AB"/>
  </r>
  <r>
    <x v="1943"/>
    <n v="37.823845686470499"/>
    <n v="37.99626600040196"/>
    <n v="37.007110595703125"/>
    <n v="37.007110595703125"/>
    <n v="219800"/>
    <n v="0"/>
    <n v="0"/>
    <s v="AB"/>
  </r>
  <r>
    <x v="1944"/>
    <n v="36.852843233546359"/>
    <n v="36.852843233546359"/>
    <n v="35.654967314054595"/>
    <n v="35.890911102294922"/>
    <n v="390000"/>
    <n v="0"/>
    <n v="0"/>
    <s v="AB"/>
  </r>
  <r>
    <x v="1945"/>
    <n v="35.400872217031306"/>
    <n v="35.564219258218877"/>
    <n v="33.948902363996467"/>
    <n v="34.702114105224609"/>
    <n v="573500"/>
    <n v="0"/>
    <n v="0"/>
    <s v="AB"/>
  </r>
  <r>
    <x v="1946"/>
    <n v="34.039648369563736"/>
    <n v="34.801933389663489"/>
    <n v="33.604057424045173"/>
    <n v="34.048725128173828"/>
    <n v="384600"/>
    <n v="0"/>
    <n v="0"/>
    <s v="AB"/>
  </r>
  <r>
    <x v="1947"/>
    <n v="34.257446265166728"/>
    <n v="34.529690178893688"/>
    <n v="33.413487709374728"/>
    <n v="33.794631958007813"/>
    <n v="417200"/>
    <n v="0"/>
    <n v="0"/>
    <s v="AB"/>
  </r>
  <r>
    <x v="1948"/>
    <n v="33.731102936606227"/>
    <n v="33.948900131121164"/>
    <n v="33.377185524567288"/>
    <n v="33.495159149169922"/>
    <n v="277000"/>
    <n v="0"/>
    <n v="0"/>
    <s v="AB"/>
  </r>
  <r>
    <x v="1949"/>
    <n v="33.041420854452355"/>
    <n v="33.123094376316786"/>
    <n v="32.079488648245679"/>
    <n v="32.360809326171875"/>
    <n v="349100"/>
    <n v="0"/>
    <n v="0"/>
    <s v="AB"/>
  </r>
  <r>
    <x v="1950"/>
    <n v="32.242830742865877"/>
    <n v="32.515078081804901"/>
    <n v="31.671119639338848"/>
    <n v="31.816316604614258"/>
    <n v="284100"/>
    <n v="0"/>
    <n v="0"/>
    <s v="AB"/>
  </r>
  <r>
    <x v="1951"/>
    <n v="32.052265991270474"/>
    <n v="33.295515440645801"/>
    <n v="31.662048429636652"/>
    <n v="32.569530487060547"/>
    <n v="501000"/>
    <n v="0"/>
    <n v="0"/>
    <s v="AB"/>
  </r>
  <r>
    <x v="1952"/>
    <n v="33.231993455696404"/>
    <n v="33.849081559207995"/>
    <n v="33.222920157896006"/>
    <n v="33.431640625"/>
    <n v="278200"/>
    <n v="0"/>
    <n v="0"/>
    <s v="AB"/>
  </r>
  <r>
    <x v="1953"/>
    <n v="32.950673305202038"/>
    <n v="33.331814090943787"/>
    <n v="32.551379001926868"/>
    <n v="32.751026153564453"/>
    <n v="234900"/>
    <n v="0"/>
    <n v="0"/>
    <s v="AB"/>
  </r>
  <r>
    <x v="1954"/>
    <n v="32.587679087962705"/>
    <n v="33.005119984906393"/>
    <n v="32.143011376509349"/>
    <n v="32.288211822509766"/>
    <n v="184100"/>
    <n v="0"/>
    <n v="0"/>
    <s v="AB"/>
  </r>
  <r>
    <x v="1955"/>
    <n v="31.870768958327155"/>
    <n v="32.034116005968357"/>
    <n v="31.480551395825309"/>
    <n v="31.961519241333008"/>
    <n v="283200"/>
    <n v="0"/>
    <n v="0"/>
    <s v="AB"/>
  </r>
  <r>
    <x v="1956"/>
    <n v="31.852619971251158"/>
    <n v="32.034117081587716"/>
    <n v="30.872541114264841"/>
    <n v="30.990514755249023"/>
    <n v="358900"/>
    <n v="0"/>
    <n v="0"/>
    <s v="AB"/>
  </r>
  <r>
    <x v="1957"/>
    <n v="30.836236085048974"/>
    <n v="31.162930139231172"/>
    <n v="30.164701384135689"/>
    <n v="30.18284797668457"/>
    <n v="390200"/>
    <n v="0"/>
    <n v="0"/>
    <s v="AB"/>
  </r>
  <r>
    <x v="1958"/>
    <n v="30.046728441066232"/>
    <n v="30.155625307665272"/>
    <n v="28.576606894903311"/>
    <n v="29.320743560791016"/>
    <n v="783100"/>
    <n v="0"/>
    <n v="0"/>
    <s v="AB"/>
  </r>
  <r>
    <x v="1959"/>
    <n v="28.739953916371505"/>
    <n v="30.237298813256643"/>
    <n v="28.413259854911299"/>
    <n v="29.928754806518555"/>
    <n v="383900"/>
    <n v="0"/>
    <n v="0"/>
    <s v="AB"/>
  </r>
  <r>
    <x v="1960"/>
    <n v="30.228227139319813"/>
    <n v="30.473247698566766"/>
    <n v="29.366118533473671"/>
    <n v="29.447792053222656"/>
    <n v="339900"/>
    <n v="0"/>
    <n v="0"/>
    <s v="AB"/>
  </r>
  <r>
    <x v="1961"/>
    <n v="30.228226665873084"/>
    <n v="31.244605536565501"/>
    <n v="29.819859073524178"/>
    <n v="31.063108444213867"/>
    <n v="388500"/>
    <n v="0"/>
    <n v="0"/>
    <s v="AB"/>
  </r>
  <r>
    <x v="1962"/>
    <n v="31.716499805353848"/>
    <n v="32.152090794068549"/>
    <n v="31.162935175392622"/>
    <n v="31.308132171630859"/>
    <n v="455000"/>
    <n v="0"/>
    <n v="0"/>
    <s v="AB"/>
  </r>
  <r>
    <x v="1963"/>
    <n v="30.881615459766749"/>
    <n v="31.471480222931714"/>
    <n v="30.491397870922768"/>
    <n v="30.945138931274414"/>
    <n v="377500"/>
    <n v="0"/>
    <n v="0"/>
    <s v="AB"/>
  </r>
  <r>
    <x v="1964"/>
    <n v="31.02680608540744"/>
    <n v="31.02680608540744"/>
    <n v="30.482318309571355"/>
    <n v="30.582141876220703"/>
    <n v="260900"/>
    <n v="0"/>
    <n v="0"/>
    <s v="AB"/>
  </r>
  <r>
    <x v="1965"/>
    <n v="30.527695173819222"/>
    <n v="31.789094651491023"/>
    <n v="30.446021652010366"/>
    <n v="31.770944595336914"/>
    <n v="270300"/>
    <n v="0"/>
    <n v="0"/>
    <s v="AB"/>
  </r>
  <r>
    <x v="1966"/>
    <n v="31.87076664057691"/>
    <n v="31.997813565776489"/>
    <n v="31.335352125972186"/>
    <n v="31.634822845458984"/>
    <n v="235100"/>
    <n v="0"/>
    <n v="0"/>
    <s v="AB"/>
  </r>
  <r>
    <x v="1967"/>
    <n v="31.662045106724673"/>
    <n v="32.3517333365753"/>
    <n v="31.662045106724673"/>
    <n v="32.297283172607422"/>
    <n v="219500"/>
    <n v="0"/>
    <n v="0"/>
    <s v="AB"/>
  </r>
  <r>
    <x v="1968"/>
    <n v="32.378959076719923"/>
    <n v="33.05049383969407"/>
    <n v="32.378959076719923"/>
    <n v="32.478782653808594"/>
    <n v="271600"/>
    <n v="0"/>
    <n v="0"/>
    <s v="AB"/>
  </r>
  <r>
    <x v="1969"/>
    <n v="32.887150603509809"/>
    <n v="33.204767932326277"/>
    <n v="32.088565440210786"/>
    <n v="32.224685668945313"/>
    <n v="227000"/>
    <n v="0"/>
    <n v="0"/>
    <s v="AB"/>
  </r>
  <r>
    <x v="1970"/>
    <n v="32.224686797109399"/>
    <n v="33.948904115597685"/>
    <n v="32.143013272301651"/>
    <n v="33.803707122802734"/>
    <n v="362500"/>
    <n v="0"/>
    <n v="0"/>
    <s v="AB"/>
  </r>
  <r>
    <x v="1971"/>
    <n v="33.69480713290519"/>
    <n v="34.965279837127191"/>
    <n v="33.69480713290519"/>
    <n v="34.148548126220703"/>
    <n v="476200"/>
    <n v="0"/>
    <n v="0"/>
    <s v="AB"/>
  </r>
  <r>
    <x v="1972"/>
    <n v="34.738411518294335"/>
    <n v="34.783788389885899"/>
    <n v="33.88537964361965"/>
    <n v="34.175773620605469"/>
    <n v="279500"/>
    <n v="0"/>
    <n v="0"/>
    <s v="AB"/>
  </r>
  <r>
    <x v="1973"/>
    <n v="34.166699200790887"/>
    <n v="34.366342889803491"/>
    <n v="33.168466908651268"/>
    <n v="33.640357971191406"/>
    <n v="306400"/>
    <n v="0"/>
    <n v="0"/>
    <s v="AB"/>
  </r>
  <r>
    <x v="1974"/>
    <n v="33.222913081765761"/>
    <n v="33.676654034072271"/>
    <n v="32.596748352050781"/>
    <n v="32.596748352050781"/>
    <n v="396800"/>
    <n v="0"/>
    <n v="0"/>
    <s v="AB"/>
  </r>
  <r>
    <x v="1975"/>
    <n v="33.086443412078872"/>
    <n v="33.871794580351569"/>
    <n v="32.71686431844028"/>
    <n v="33.816356658935547"/>
    <n v="238900"/>
    <n v="0.64"/>
    <n v="0"/>
    <s v="AB"/>
  </r>
  <r>
    <x v="1976"/>
    <n v="33.816359694793938"/>
    <n v="34.11202158642083"/>
    <n v="33.308191038845699"/>
    <n v="33.76092529296875"/>
    <n v="195000"/>
    <n v="0"/>
    <n v="0"/>
    <s v="AB"/>
  </r>
  <r>
    <x v="1977"/>
    <n v="33.650051808376197"/>
    <n v="34.352251493834679"/>
    <n v="33.474503649295585"/>
    <n v="33.973434448242188"/>
    <n v="252600"/>
    <n v="0"/>
    <n v="0"/>
    <s v="AB"/>
  </r>
  <r>
    <x v="1978"/>
    <n v="33.723965849458395"/>
    <n v="33.853317483306313"/>
    <n v="32.596752712381964"/>
    <n v="32.698387145996094"/>
    <n v="235300"/>
    <n v="0"/>
    <n v="0"/>
    <s v="AB"/>
  </r>
  <r>
    <x v="1979"/>
    <n v="33.982667334364642"/>
    <n v="34.647908301617292"/>
    <n v="33.982667334364642"/>
    <n v="34.555515289306641"/>
    <n v="583800"/>
    <n v="0"/>
    <n v="0"/>
    <s v="AB"/>
  </r>
  <r>
    <x v="1980"/>
    <n v="34.278329652413504"/>
    <n v="36.274049055755313"/>
    <n v="34.158219439749267"/>
    <n v="36.255573272705078"/>
    <n v="781100"/>
    <n v="0"/>
    <n v="0"/>
    <s v="AB"/>
  </r>
  <r>
    <x v="1981"/>
    <n v="36.006106483837733"/>
    <n v="37.234950433034669"/>
    <n v="35.340865534156741"/>
    <n v="36.985485076904297"/>
    <n v="559100"/>
    <n v="0"/>
    <n v="0"/>
    <s v="AB"/>
  </r>
  <r>
    <x v="1982"/>
    <n v="37.447458869361142"/>
    <n v="37.872475897865272"/>
    <n v="37.262672841261811"/>
    <n v="37.438220977783203"/>
    <n v="341100"/>
    <n v="0"/>
    <n v="0"/>
    <s v="AB"/>
  </r>
  <r>
    <x v="1983"/>
    <n v="36.957769499104636"/>
    <n v="37.318107187790098"/>
    <n v="36.421880149575195"/>
    <n v="37.142559051513672"/>
    <n v="186500"/>
    <n v="0"/>
    <n v="0"/>
    <s v="AB"/>
  </r>
  <r>
    <x v="1984"/>
    <n v="36.625155100448609"/>
    <n v="36.893099819772559"/>
    <n v="36.36645179879411"/>
    <n v="36.763748168945313"/>
    <n v="132700"/>
    <n v="0"/>
    <n v="0"/>
    <s v="AB"/>
  </r>
  <r>
    <x v="1985"/>
    <n v="36.865384079135481"/>
    <n v="37.040932251573317"/>
    <n v="36.292535996208947"/>
    <n v="36.403411865234375"/>
    <n v="228900"/>
    <n v="0"/>
    <n v="0"/>
    <s v="AB"/>
  </r>
  <r>
    <x v="1986"/>
    <n v="36.311009598583773"/>
    <n v="37.040926427680098"/>
    <n v="36.181657962960166"/>
    <n v="36.957771301269531"/>
    <n v="314000"/>
    <n v="0"/>
    <n v="0"/>
    <s v="AB"/>
  </r>
  <r>
    <x v="1987"/>
    <n v="36.957767213208321"/>
    <n v="38.417600709922375"/>
    <n v="36.754498365674131"/>
    <n v="38.038780212402344"/>
    <n v="490100"/>
    <n v="0"/>
    <n v="0"/>
    <s v="AB"/>
  </r>
  <r>
    <x v="1988"/>
    <n v="38.149659992958654"/>
    <n v="38.602390714334199"/>
    <n v="37.687687855067367"/>
    <n v="37.817039489746094"/>
    <n v="336000"/>
    <n v="0"/>
    <n v="0"/>
    <s v="AB"/>
  </r>
  <r>
    <x v="1989"/>
    <n v="37.549093919187456"/>
    <n v="38.3344486498397"/>
    <n v="37.493659519669905"/>
    <n v="37.983348846435547"/>
    <n v="103600"/>
    <n v="0"/>
    <n v="0"/>
    <s v="AB"/>
  </r>
  <r>
    <x v="1990"/>
    <n v="37.456707247008232"/>
    <n v="37.974113861156859"/>
    <n v="36.791466143596317"/>
    <n v="36.967014312744141"/>
    <n v="214300"/>
    <n v="0"/>
    <n v="0"/>
    <s v="AB"/>
  </r>
  <r>
    <x v="1991"/>
    <n v="36.967011198180387"/>
    <n v="37.567576424224598"/>
    <n v="36.846900972625882"/>
    <n v="37.290393829345703"/>
    <n v="196200"/>
    <n v="0"/>
    <n v="0"/>
    <s v="AB"/>
  </r>
  <r>
    <x v="1992"/>
    <n v="36.939292416292858"/>
    <n v="37.336588744303143"/>
    <n v="36.089265358408007"/>
    <n v="37.281150817871094"/>
    <n v="278200"/>
    <n v="0"/>
    <n v="0"/>
    <s v="AB"/>
  </r>
  <r>
    <x v="1993"/>
    <n v="37.151796117361151"/>
    <n v="37.71540265362686"/>
    <n v="37.003965183633049"/>
    <n v="37.604530334472656"/>
    <n v="343700"/>
    <n v="0"/>
    <n v="0"/>
    <s v="AB"/>
  </r>
  <r>
    <x v="1994"/>
    <n v="36.976254437309265"/>
    <n v="37.447464519365973"/>
    <n v="36.754506235738518"/>
    <n v="37.401268005371094"/>
    <n v="264100"/>
    <n v="0"/>
    <n v="0"/>
    <s v="AB"/>
  </r>
  <r>
    <x v="1995"/>
    <n v="36.97625098206872"/>
    <n v="37.068644001424822"/>
    <n v="36.486561635259392"/>
    <n v="36.837657928466797"/>
    <n v="278800"/>
    <n v="0"/>
    <n v="0"/>
    <s v="AB"/>
  </r>
  <r>
    <x v="1996"/>
    <n v="36.662107361137281"/>
    <n v="36.957769233036167"/>
    <n v="36.209373137222876"/>
    <n v="36.477317810058594"/>
    <n v="335300"/>
    <n v="0"/>
    <n v="0"/>
    <s v="AB"/>
  </r>
  <r>
    <x v="1997"/>
    <n v="35.673492980281836"/>
    <n v="36.384930573926461"/>
    <n v="35.488703399862644"/>
    <n v="36.366451263427734"/>
    <n v="484100"/>
    <n v="0"/>
    <n v="0"/>
    <s v="AB"/>
  </r>
  <r>
    <x v="1998"/>
    <n v="36.384926737982617"/>
    <n v="36.717547242756453"/>
    <n v="35.913713181363782"/>
    <n v="36.218616485595703"/>
    <n v="200100"/>
    <n v="0"/>
    <n v="0"/>
    <s v="AB"/>
  </r>
  <r>
    <x v="1999"/>
    <n v="35.109879709354523"/>
    <n v="35.92295159476582"/>
    <n v="34.416921557196211"/>
    <n v="35.608810424804688"/>
    <n v="1351500"/>
    <n v="0"/>
    <n v="0"/>
    <s v="AB"/>
  </r>
  <r>
    <x v="2000"/>
    <n v="35.248473709025774"/>
    <n v="35.941431880045407"/>
    <n v="34.962049729493351"/>
    <n v="35.885993957519531"/>
    <n v="459600"/>
    <n v="0"/>
    <n v="0"/>
    <s v="AB"/>
  </r>
  <r>
    <x v="2001"/>
    <n v="36.403408298624257"/>
    <n v="37.142563063533963"/>
    <n v="35.895236093466394"/>
    <n v="36.505039215087891"/>
    <n v="1011000"/>
    <n v="0"/>
    <n v="0"/>
    <s v="AB"/>
  </r>
  <r>
    <x v="2002"/>
    <n v="36.449600715840418"/>
    <n v="36.782221203825316"/>
    <n v="35.156077379136406"/>
    <n v="36.255573272705078"/>
    <n v="512700"/>
    <n v="0"/>
    <n v="0"/>
    <s v="AB"/>
  </r>
  <r>
    <x v="2003"/>
    <n v="35.65501095645449"/>
    <n v="35.65501095645449"/>
    <n v="35.100645781951926"/>
    <n v="35.266952514648438"/>
    <n v="471500"/>
    <n v="0"/>
    <n v="0"/>
    <s v="AB"/>
  </r>
  <r>
    <x v="2004"/>
    <n v="34.721827411153477"/>
    <n v="35.285430456073037"/>
    <n v="34.093545024633364"/>
    <n v="34.814220428466797"/>
    <n v="608700"/>
    <n v="0"/>
    <n v="0"/>
    <s v="AB"/>
  </r>
  <r>
    <x v="2005"/>
    <n v="34.638672899080433"/>
    <n v="34.786503844139958"/>
    <n v="33.234277158731089"/>
    <n v="33.539176940917969"/>
    <n v="365200"/>
    <n v="0"/>
    <n v="0"/>
    <s v="AB"/>
  </r>
  <r>
    <x v="2006"/>
    <n v="33.123399837817082"/>
    <n v="33.807120131256021"/>
    <n v="33.077203330390795"/>
    <n v="33.308189392089844"/>
    <n v="255200"/>
    <n v="0"/>
    <n v="0"/>
    <s v="AB"/>
  </r>
  <r>
    <x v="2007"/>
    <n v="33.308190442081546"/>
    <n v="34.001148649023186"/>
    <n v="33.215797424316406"/>
    <n v="33.215797424316406"/>
    <n v="342700"/>
    <n v="0"/>
    <n v="0"/>
    <s v="AB"/>
  </r>
  <r>
    <x v="2008"/>
    <n v="32.800023915807593"/>
    <n v="32.873941154452723"/>
    <n v="31.755965829636668"/>
    <n v="32.171741485595703"/>
    <n v="503900"/>
    <n v="0"/>
    <n v="0"/>
    <s v="AB"/>
  </r>
  <r>
    <x v="2009"/>
    <n v="31.857595934889876"/>
    <n v="32.107061294514772"/>
    <n v="31.488020365664706"/>
    <n v="31.663568496704102"/>
    <n v="415800"/>
    <n v="0"/>
    <n v="0"/>
    <s v="AB"/>
  </r>
  <r>
    <x v="2010"/>
    <n v="31.330953290386535"/>
    <n v="31.691291028969186"/>
    <n v="30.96137413439159"/>
    <n v="31.488025665283203"/>
    <n v="470800"/>
    <n v="0"/>
    <n v="0"/>
    <s v="AB"/>
  </r>
  <r>
    <x v="2011"/>
    <n v="31.284754176292438"/>
    <n v="31.506498831801089"/>
    <n v="30.425485705918977"/>
    <n v="30.610275268554688"/>
    <n v="469500"/>
    <n v="0"/>
    <n v="0"/>
    <s v="AB"/>
  </r>
  <r>
    <x v="2012"/>
    <n v="30.582557025205475"/>
    <n v="32.060870121700141"/>
    <n v="30.582557025205475"/>
    <n v="31.746728897094727"/>
    <n v="448100"/>
    <n v="0"/>
    <n v="0"/>
    <s v="AB"/>
  </r>
  <r>
    <x v="2013"/>
    <n v="31.321710978058103"/>
    <n v="31.876076109261724"/>
    <n v="31.183117932973428"/>
    <n v="31.755962371826172"/>
    <n v="402800"/>
    <n v="0"/>
    <n v="0"/>
    <s v="AB"/>
  </r>
  <r>
    <x v="2014"/>
    <n v="32.088583301932438"/>
    <n v="32.670669164903352"/>
    <n v="31.811400732516439"/>
    <n v="32.642951965332031"/>
    <n v="306700"/>
    <n v="0"/>
    <n v="0"/>
    <s v="AB"/>
  </r>
  <r>
    <x v="2015"/>
    <n v="32.679910757456952"/>
    <n v="33.345151819045647"/>
    <n v="32.495121182063642"/>
    <n v="33.160362243652344"/>
    <n v="334400"/>
    <n v="0"/>
    <n v="0"/>
    <s v="AB"/>
  </r>
  <r>
    <x v="2016"/>
    <n v="32.901655643132507"/>
    <n v="32.984810767466186"/>
    <n v="32.578273037582584"/>
    <n v="32.818500518798828"/>
    <n v="160900"/>
    <n v="0"/>
    <n v="0"/>
    <s v="AB"/>
  </r>
  <r>
    <x v="2017"/>
    <n v="32.800021406066897"/>
    <n v="34.426161761586073"/>
    <n v="32.679907664743197"/>
    <n v="34.148979187011719"/>
    <n v="348900"/>
    <n v="0"/>
    <n v="0"/>
    <s v="AB"/>
  </r>
  <r>
    <x v="2018"/>
    <n v="34.185938821611437"/>
    <n v="34.278331841031935"/>
    <n v="33.576135729560001"/>
    <n v="33.76092529296875"/>
    <n v="421200"/>
    <n v="0"/>
    <n v="0"/>
    <s v="AB"/>
  </r>
  <r>
    <x v="2019"/>
    <n v="33.557654670510239"/>
    <n v="35.137598482343464"/>
    <n v="33.520696054842574"/>
    <n v="35.054443359375"/>
    <n v="272700"/>
    <n v="0"/>
    <n v="0"/>
    <s v="AB"/>
  </r>
  <r>
    <x v="2020"/>
    <n v="35.313150012736671"/>
    <n v="35.802839332519838"/>
    <n v="35.072922536360636"/>
    <n v="35.691967010498047"/>
    <n v="184700"/>
    <n v="0"/>
    <n v="0"/>
    <s v="AB"/>
  </r>
  <r>
    <x v="2021"/>
    <n v="36.033832550048828"/>
    <n v="36.477325450793543"/>
    <n v="35.276198404038908"/>
    <n v="36.033832550048828"/>
    <n v="231400"/>
    <n v="0"/>
    <n v="0"/>
    <s v="AB"/>
  </r>
  <r>
    <x v="2022"/>
    <n v="35.987628804660567"/>
    <n v="36.218614864350855"/>
    <n v="35.119118964501837"/>
    <n v="36.061542510986328"/>
    <n v="262600"/>
    <n v="0"/>
    <n v="0"/>
    <s v="AB"/>
  </r>
  <r>
    <x v="2023"/>
    <n v="36.061541476725523"/>
    <n v="36.061541476725523"/>
    <n v="35.174555878850164"/>
    <n v="35.488697052001953"/>
    <n v="212500"/>
    <n v="0"/>
    <n v="0"/>
    <s v="AB"/>
  </r>
  <r>
    <x v="2024"/>
    <n v="35.433261989059105"/>
    <n v="35.52565853248003"/>
    <n v="34.740303773957031"/>
    <n v="35.211517333984375"/>
    <n v="208100"/>
    <n v="0"/>
    <n v="0"/>
    <s v="AB"/>
  </r>
  <r>
    <x v="2025"/>
    <n v="34.888133826607373"/>
    <n v="34.952813167631732"/>
    <n v="33.585372556515971"/>
    <n v="33.705486297607422"/>
    <n v="220500"/>
    <n v="0"/>
    <n v="0"/>
    <s v="AB"/>
  </r>
  <r>
    <x v="2026"/>
    <n v="33.705487831264847"/>
    <n v="34.592473518374177"/>
    <n v="33.372867317456894"/>
    <n v="34.527797698974609"/>
    <n v="126100"/>
    <n v="0"/>
    <n v="0"/>
    <s v="AB"/>
  </r>
  <r>
    <x v="2027"/>
    <n v="34.731065497322298"/>
    <n v="35.442503013230819"/>
    <n v="34.601713862533053"/>
    <n v="35.183799743652344"/>
    <n v="192800"/>
    <n v="0"/>
    <n v="0"/>
    <s v="AB"/>
  </r>
  <r>
    <x v="2028"/>
    <n v="34.80498036104035"/>
    <n v="35.590335136914788"/>
    <n v="34.80498036104035"/>
    <n v="35.266952514648438"/>
    <n v="214600"/>
    <n v="0"/>
    <n v="0"/>
    <s v="AB"/>
  </r>
  <r>
    <x v="2029"/>
    <n v="34.878893700148723"/>
    <n v="35.026724631802423"/>
    <n v="34.463118103445389"/>
    <n v="34.675624847412109"/>
    <n v="138700"/>
    <n v="0"/>
    <n v="0"/>
    <s v="AB"/>
  </r>
  <r>
    <x v="2030"/>
    <n v="34.915855077182414"/>
    <n v="35.377827215728139"/>
    <n v="34.768024133830487"/>
    <n v="35.331630706787109"/>
    <n v="140100"/>
    <n v="0"/>
    <n v="0"/>
    <s v="AB"/>
  </r>
  <r>
    <x v="2031"/>
    <n v="34.925095670096326"/>
    <n v="35.655012551343383"/>
    <n v="34.869661264907123"/>
    <n v="34.980533599853516"/>
    <n v="215700"/>
    <n v="0"/>
    <n v="0"/>
    <s v="AB"/>
  </r>
  <r>
    <x v="2032"/>
    <n v="34.999012741971789"/>
    <n v="35.202278100970972"/>
    <n v="34.416926818300034"/>
    <n v="34.610954284667969"/>
    <n v="219700"/>
    <n v="0"/>
    <n v="0"/>
    <s v="AB"/>
  </r>
  <r>
    <x v="2033"/>
    <n v="34.68487116681689"/>
    <n v="35.109884714837037"/>
    <n v="34.389209261710015"/>
    <n v="35.026729583740234"/>
    <n v="150100"/>
    <n v="0"/>
    <n v="0"/>
    <s v="AB"/>
  </r>
  <r>
    <x v="2034"/>
    <n v="34.841936987593137"/>
    <n v="35.904474289982176"/>
    <n v="34.740302555678127"/>
    <n v="35.645771026611328"/>
    <n v="190400"/>
    <n v="0"/>
    <n v="0"/>
    <s v="AB"/>
  </r>
  <r>
    <x v="2035"/>
    <n v="35.922951268978387"/>
    <n v="36.90232985942361"/>
    <n v="35.922951268978387"/>
    <n v="36.5419921875"/>
    <n v="345300"/>
    <n v="0"/>
    <n v="0"/>
    <s v="AB"/>
  </r>
  <r>
    <x v="2036"/>
    <n v="36.264813774069829"/>
    <n v="37.022447818084977"/>
    <n v="36.12622071924627"/>
    <n v="36.274051666259766"/>
    <n v="284400"/>
    <n v="0"/>
    <n v="0"/>
    <s v="AB"/>
  </r>
  <r>
    <x v="2037"/>
    <n v="36.043063151029941"/>
    <n v="36.431121563522389"/>
    <n v="35.636528955408501"/>
    <n v="35.765880584716797"/>
    <n v="157600"/>
    <n v="0"/>
    <n v="0"/>
    <s v="AB"/>
  </r>
  <r>
    <x v="2038"/>
    <n v="35.765881782214166"/>
    <n v="36.809939792336849"/>
    <n v="35.765881782214166"/>
    <n v="36.708305358886719"/>
    <n v="190900"/>
    <n v="0"/>
    <n v="0"/>
    <s v="AB"/>
  </r>
  <r>
    <x v="2039"/>
    <n v="36.384931109564882"/>
    <n v="36.893099819772559"/>
    <n v="36.089269186368846"/>
    <n v="36.763748168945313"/>
    <n v="210300"/>
    <n v="0"/>
    <n v="0"/>
    <s v="AB"/>
  </r>
  <r>
    <x v="2040"/>
    <n v="37.003964383791811"/>
    <n v="37.46593648227752"/>
    <n v="36.689823215838835"/>
    <n v="36.985485076904297"/>
    <n v="425700"/>
    <n v="0"/>
    <n v="0"/>
    <s v="AB"/>
  </r>
  <r>
    <x v="2041"/>
    <n v="36.116981161750331"/>
    <n v="37.096363343411603"/>
    <n v="35.350105736337063"/>
    <n v="36.384925842285156"/>
    <n v="427400"/>
    <n v="0"/>
    <n v="0"/>
    <s v="AB"/>
  </r>
  <r>
    <x v="2042"/>
    <n v="36.902331988553946"/>
    <n v="37.484417851551072"/>
    <n v="36.809938973600318"/>
    <n v="37.318107604980469"/>
    <n v="459700"/>
    <n v="0"/>
    <n v="0"/>
    <s v="AB"/>
  </r>
  <r>
    <x v="2043"/>
    <n v="37.244193176689009"/>
    <n v="38.805657656399838"/>
    <n v="37.161038055014025"/>
    <n v="38.371402740478516"/>
    <n v="490700"/>
    <n v="0"/>
    <n v="0"/>
    <s v="AB"/>
  </r>
  <r>
    <x v="2044"/>
    <n v="38.408361567131976"/>
    <n v="38.759461363312241"/>
    <n v="37.678444775582967"/>
    <n v="38.740982055664063"/>
    <n v="604300"/>
    <n v="0"/>
    <n v="0"/>
    <s v="AB"/>
  </r>
  <r>
    <x v="2045"/>
    <n v="38.713266406070275"/>
    <n v="38.787180115054014"/>
    <n v="37.724646317009913"/>
    <n v="37.743122100830078"/>
    <n v="392200"/>
    <n v="0"/>
    <n v="0"/>
    <s v="AB"/>
  </r>
  <r>
    <x v="2046"/>
    <n v="37.724325325808742"/>
    <n v="38.19435179380929"/>
    <n v="37.649119369640324"/>
    <n v="38.015739440917969"/>
    <n v="241800"/>
    <n v="0.7"/>
    <n v="0"/>
    <s v="AB"/>
  </r>
  <r>
    <x v="2047"/>
    <n v="37.602114254747427"/>
    <n v="37.865327907005202"/>
    <n v="36.81246971195705"/>
    <n v="36.944076538085938"/>
    <n v="291700"/>
    <n v="0"/>
    <n v="0"/>
    <s v="AB"/>
  </r>
  <r>
    <x v="2048"/>
    <n v="36.897075321723023"/>
    <n v="37.132088540332724"/>
    <n v="36.380046957985108"/>
    <n v="36.445850372314453"/>
    <n v="185000"/>
    <n v="0"/>
    <n v="0"/>
    <s v="AB"/>
  </r>
  <r>
    <x v="2049"/>
    <n v="36.530456046507304"/>
    <n v="37.254297205445255"/>
    <n v="36.436448605466346"/>
    <n v="37.160289764404297"/>
    <n v="285000"/>
    <n v="0"/>
    <n v="0"/>
    <s v="AB"/>
  </r>
  <r>
    <x v="2050"/>
    <n v="36.295441245203911"/>
    <n v="36.962877910504474"/>
    <n v="36.295441245203911"/>
    <n v="36.878273010253906"/>
    <n v="166000"/>
    <n v="0"/>
    <n v="0"/>
    <s v="AB"/>
  </r>
  <r>
    <x v="2051"/>
    <n v="37.132090434471053"/>
    <n v="37.348302176299065"/>
    <n v="35.891220863795432"/>
    <n v="36.351844787597656"/>
    <n v="369500"/>
    <n v="0"/>
    <n v="0"/>
    <s v="AB"/>
  </r>
  <r>
    <x v="2052"/>
    <n v="36.182636827476955"/>
    <n v="37.028682265491675"/>
    <n v="36.088629388130556"/>
    <n v="36.511653900146484"/>
    <n v="255200"/>
    <n v="0"/>
    <n v="0"/>
    <s v="AB"/>
  </r>
  <r>
    <x v="2053"/>
    <n v="36.380045000608952"/>
    <n v="36.897073336528905"/>
    <n v="36.041625410256422"/>
    <n v="36.605655670166016"/>
    <n v="221900"/>
    <n v="0"/>
    <n v="0"/>
    <s v="AB"/>
  </r>
  <r>
    <x v="2054"/>
    <n v="36.210836126054716"/>
    <n v="36.370643388885817"/>
    <n v="35.609202877250745"/>
    <n v="35.731407165527344"/>
    <n v="232500"/>
    <n v="0"/>
    <n v="0"/>
    <s v="AB"/>
  </r>
  <r>
    <x v="2055"/>
    <n v="35.957026280152299"/>
    <n v="36.803075391739355"/>
    <n v="35.92882583843857"/>
    <n v="36.765472412109375"/>
    <n v="309300"/>
    <n v="0"/>
    <n v="0"/>
    <s v="AB"/>
  </r>
  <r>
    <x v="2056"/>
    <n v="36.821871838443634"/>
    <n v="36.897077794727593"/>
    <n v="36.032230813566265"/>
    <n v="36.295444488525391"/>
    <n v="244500"/>
    <n v="0"/>
    <n v="0"/>
    <s v="AB"/>
  </r>
  <r>
    <x v="2057"/>
    <n v="36.173236459846741"/>
    <n v="36.333047323310922"/>
    <n v="35.392994389574724"/>
    <n v="35.402393341064453"/>
    <n v="173400"/>
    <n v="0"/>
    <n v="0"/>
    <s v="AB"/>
  </r>
  <r>
    <x v="2058"/>
    <n v="35.439993892400025"/>
    <n v="35.665604572878912"/>
    <n v="35.016969383980729"/>
    <n v="35.298984527587891"/>
    <n v="163700"/>
    <n v="0"/>
    <n v="0"/>
    <s v="AB"/>
  </r>
  <r>
    <x v="2059"/>
    <n v="35.543400541171572"/>
    <n v="35.712610345774102"/>
    <n v="34.509340225709771"/>
    <n v="34.537544250488281"/>
    <n v="171800"/>
    <n v="0"/>
    <n v="0"/>
    <s v="AB"/>
  </r>
  <r>
    <x v="2060"/>
    <n v="34.311929521939888"/>
    <n v="35.242583434766054"/>
    <n v="33.475283047085455"/>
    <n v="34.659748077392578"/>
    <n v="372600"/>
    <n v="0"/>
    <n v="0"/>
    <s v="AB"/>
  </r>
  <r>
    <x v="2061"/>
    <n v="33.729098806422897"/>
    <n v="34.640947674181696"/>
    <n v="33.531684973511055"/>
    <n v="33.851303100585938"/>
    <n v="297800"/>
    <n v="0"/>
    <n v="0"/>
    <s v="AB"/>
  </r>
  <r>
    <x v="2062"/>
    <n v="34.678552934872144"/>
    <n v="34.99817108300072"/>
    <n v="33.559891209430837"/>
    <n v="33.569290161132813"/>
    <n v="277500"/>
    <n v="0"/>
    <n v="0"/>
    <s v="AB"/>
  </r>
  <r>
    <x v="2063"/>
    <n v="32.901852455172964"/>
    <n v="33.1932701535993"/>
    <n v="32.601035805321338"/>
    <n v="32.977058410644531"/>
    <n v="456900"/>
    <n v="0"/>
    <n v="0"/>
    <s v="AB"/>
  </r>
  <r>
    <x v="2064"/>
    <n v="33.635090228568991"/>
    <n v="33.729097666305826"/>
    <n v="32.948852070166922"/>
    <n v="33.193267822265625"/>
    <n v="382800"/>
    <n v="0"/>
    <n v="0"/>
    <s v="AB"/>
  </r>
  <r>
    <x v="2065"/>
    <n v="32.76084113386375"/>
    <n v="33.230867569563472"/>
    <n v="32.685638768880693"/>
    <n v="32.883049011230469"/>
    <n v="515600"/>
    <n v="0"/>
    <n v="0"/>
    <s v="AB"/>
  </r>
  <r>
    <x v="2066"/>
    <n v="32.836044205957641"/>
    <n v="33.672690614387278"/>
    <n v="32.836044205957641"/>
    <n v="33.024055480957031"/>
    <n v="554100"/>
    <n v="0"/>
    <n v="0"/>
    <s v="AB"/>
  </r>
  <r>
    <x v="2067"/>
    <n v="33.719695829673356"/>
    <n v="33.747899854588567"/>
    <n v="33.155665535609216"/>
    <n v="33.334274291992188"/>
    <n v="360600"/>
    <n v="0"/>
    <n v="0"/>
    <s v="AB"/>
  </r>
  <r>
    <x v="2068"/>
    <n v="33.193270136841001"/>
    <n v="33.400079342248752"/>
    <n v="31.830192675754265"/>
    <n v="31.89599609375"/>
    <n v="441500"/>
    <n v="0"/>
    <n v="0"/>
    <s v="AB"/>
  </r>
  <r>
    <x v="2069"/>
    <n v="31.952399125406078"/>
    <n v="32.676236690853074"/>
    <n v="31.651578903198242"/>
    <n v="31.651578903198242"/>
    <n v="480500"/>
    <n v="0"/>
    <n v="0"/>
    <s v="AB"/>
  </r>
  <r>
    <x v="2070"/>
    <n v="31.595179538755385"/>
    <n v="31.952400656101091"/>
    <n v="31.153353514301941"/>
    <n v="31.48237419128418"/>
    <n v="459500"/>
    <n v="0"/>
    <n v="0"/>
    <s v="AB"/>
  </r>
  <r>
    <x v="2071"/>
    <n v="31.745586796117166"/>
    <n v="33.099261678285252"/>
    <n v="31.745586796117166"/>
    <n v="32.770244598388672"/>
    <n v="388800"/>
    <n v="0"/>
    <n v="0"/>
    <s v="AB"/>
  </r>
  <r>
    <x v="2072"/>
    <n v="32.629236783472891"/>
    <n v="33.635093145372984"/>
    <n v="32.619837831892674"/>
    <n v="33.306076049804688"/>
    <n v="315900"/>
    <n v="0"/>
    <n v="0"/>
    <s v="AB"/>
  </r>
  <r>
    <x v="2073"/>
    <n v="33.738498820043439"/>
    <n v="33.804302237747358"/>
    <n v="33.165065963465906"/>
    <n v="33.550487518310547"/>
    <n v="213300"/>
    <n v="0"/>
    <n v="0"/>
    <s v="AB"/>
  </r>
  <r>
    <x v="2074"/>
    <n v="33.465882131697235"/>
    <n v="34.37773460110818"/>
    <n v="33.465882131697235"/>
    <n v="33.794902801513672"/>
    <n v="131000"/>
    <n v="0"/>
    <n v="0"/>
    <s v="AB"/>
  </r>
  <r>
    <x v="2075"/>
    <n v="34.095719518989263"/>
    <n v="34.405935114951212"/>
    <n v="33.794902874291559"/>
    <n v="34.368335723876953"/>
    <n v="139800"/>
    <n v="0"/>
    <n v="0"/>
    <s v="AB"/>
  </r>
  <r>
    <x v="2076"/>
    <n v="34.142722567033552"/>
    <n v="34.321331335049777"/>
    <n v="33.437682860523743"/>
    <n v="33.559890747070313"/>
    <n v="259100"/>
    <n v="0"/>
    <n v="0"/>
    <s v="AB"/>
  </r>
  <r>
    <x v="2077"/>
    <n v="33.447080999154231"/>
    <n v="33.700892104421229"/>
    <n v="32.328415850234357"/>
    <n v="32.723239898681641"/>
    <n v="240500"/>
    <n v="0"/>
    <n v="0"/>
    <s v="AB"/>
  </r>
  <r>
    <x v="2078"/>
    <n v="32.403624701962599"/>
    <n v="32.619836439250641"/>
    <n v="31.867794834331967"/>
    <n v="32.074604034423828"/>
    <n v="171300"/>
    <n v="0"/>
    <n v="0"/>
    <s v="AB"/>
  </r>
  <r>
    <x v="2079"/>
    <n v="31.971197179842783"/>
    <n v="32.525828527842052"/>
    <n v="31.830191398090744"/>
    <n v="32.065204620361328"/>
    <n v="258900"/>
    <n v="0"/>
    <n v="0"/>
    <s v="AB"/>
  </r>
  <r>
    <x v="2080"/>
    <n v="31.830193110604551"/>
    <n v="32.497629837118019"/>
    <n v="31.830193110604551"/>
    <n v="32.159210205078125"/>
    <n v="584300"/>
    <n v="0"/>
    <n v="0"/>
    <s v="AB"/>
  </r>
  <r>
    <x v="2081"/>
    <n v="32.112208931628913"/>
    <n v="33.465883901438403"/>
    <n v="32.112208931628913"/>
    <n v="33.381278991699219"/>
    <n v="234600"/>
    <n v="0"/>
    <n v="0"/>
    <s v="AB"/>
  </r>
  <r>
    <x v="2082"/>
    <n v="33.625689608349596"/>
    <n v="33.823099838770283"/>
    <n v="32.093402516476637"/>
    <n v="32.149806976318359"/>
    <n v="265500"/>
    <n v="0"/>
    <n v="0"/>
    <s v="AB"/>
  </r>
  <r>
    <x v="2083"/>
    <n v="32.149811626693555"/>
    <n v="33.343679304239402"/>
    <n v="32.149811626693555"/>
    <n v="32.9300537109375"/>
    <n v="302900"/>
    <n v="0"/>
    <n v="0"/>
    <s v="AB"/>
  </r>
  <r>
    <x v="2084"/>
    <n v="33.108663457606497"/>
    <n v="34.38713594339962"/>
    <n v="33.108663457606497"/>
    <n v="34.283729553222656"/>
    <n v="309200"/>
    <n v="0"/>
    <n v="0"/>
    <s v="AB"/>
  </r>
  <r>
    <x v="2085"/>
    <n v="34.311932047772707"/>
    <n v="34.781958514180552"/>
    <n v="34.095720303547182"/>
    <n v="34.575145721435547"/>
    <n v="242900"/>
    <n v="0"/>
    <n v="0"/>
    <s v="AB"/>
  </r>
  <r>
    <x v="2086"/>
    <n v="34.518745481624727"/>
    <n v="34.669153810228039"/>
    <n v="33.75730130093568"/>
    <n v="34.011116027832031"/>
    <n v="242300"/>
    <n v="0"/>
    <n v="0"/>
    <s v="AB"/>
  </r>
  <r>
    <x v="2087"/>
    <n v="33.738497658878394"/>
    <n v="34.067518322091509"/>
    <n v="33.381276556481978"/>
    <n v="33.531684875488281"/>
    <n v="248200"/>
    <n v="0"/>
    <n v="0"/>
    <s v="AB"/>
  </r>
  <r>
    <x v="2088"/>
    <n v="33.230868429945204"/>
    <n v="34.753756702973789"/>
    <n v="33.230868429945204"/>
    <n v="34.170921325683594"/>
    <n v="286400"/>
    <n v="0"/>
    <n v="0"/>
    <s v="AB"/>
  </r>
  <r>
    <x v="2089"/>
    <n v="34.217927551891769"/>
    <n v="34.528143149216902"/>
    <n v="33.672695139720467"/>
    <n v="33.926509857177734"/>
    <n v="220100"/>
    <n v="0"/>
    <n v="0"/>
    <s v="AB"/>
  </r>
  <r>
    <x v="2090"/>
    <n v="33.729099646363771"/>
    <n v="33.964112875476637"/>
    <n v="33.287273628106043"/>
    <n v="33.418880462646484"/>
    <n v="165400"/>
    <n v="0"/>
    <n v="0"/>
    <s v="AB"/>
  </r>
  <r>
    <x v="2091"/>
    <n v="32.995851186954646"/>
    <n v="33.343673297943809"/>
    <n v="32.337817108903309"/>
    <n v="32.384819030761719"/>
    <n v="230300"/>
    <n v="0"/>
    <n v="0"/>
    <s v="AB"/>
  </r>
  <r>
    <x v="2092"/>
    <n v="32.337823969312616"/>
    <n v="32.65744212617971"/>
    <n v="31.538776784136115"/>
    <n v="32.055805206298828"/>
    <n v="340800"/>
    <n v="0"/>
    <n v="0"/>
    <s v="AB"/>
  </r>
  <r>
    <x v="2093"/>
    <n v="32.055801369237216"/>
    <n v="33.606890036078447"/>
    <n v="31.209755939519628"/>
    <n v="32.817245483398438"/>
    <n v="355400"/>
    <n v="0"/>
    <n v="0"/>
    <s v="AB"/>
  </r>
  <r>
    <x v="2094"/>
    <n v="32.892454210021576"/>
    <n v="33.418881565556816"/>
    <n v="32.516431596624344"/>
    <n v="32.864250183105469"/>
    <n v="255200"/>
    <n v="0"/>
    <n v="0"/>
    <s v="AB"/>
  </r>
  <r>
    <x v="2095"/>
    <n v="32.901852971295916"/>
    <n v="33.212072163456483"/>
    <n v="32.413025011114577"/>
    <n v="32.478828430175781"/>
    <n v="178900"/>
    <n v="0"/>
    <n v="0"/>
    <s v="AB"/>
  </r>
  <r>
    <x v="2096"/>
    <n v="32.253213757826629"/>
    <n v="32.441221454252712"/>
    <n v="31.65157693680554"/>
    <n v="31.679780960083008"/>
    <n v="310000"/>
    <n v="0"/>
    <n v="0"/>
    <s v="AB"/>
  </r>
  <r>
    <x v="2097"/>
    <n v="31.754986925862582"/>
    <n v="32.413024696096592"/>
    <n v="31.435368785235625"/>
    <n v="31.548177719116211"/>
    <n v="167500"/>
    <n v="0"/>
    <n v="0"/>
    <s v="AB"/>
  </r>
  <r>
    <x v="2098"/>
    <n v="31.613977249748949"/>
    <n v="31.942994301395782"/>
    <n v="30.626922508791541"/>
    <n v="31.200351715087891"/>
    <n v="317900"/>
    <n v="0"/>
    <n v="0"/>
    <s v="AB"/>
  </r>
  <r>
    <x v="2099"/>
    <n v="31.651145323592214"/>
    <n v="32.47599393864116"/>
    <n v="31.584006823183472"/>
    <n v="32.408855438232422"/>
    <n v="339400"/>
    <n v="0.66"/>
    <n v="0"/>
    <s v="AB"/>
  </r>
  <r>
    <x v="2100"/>
    <n v="32.408852714088084"/>
    <n v="33.243290905296021"/>
    <n v="32.226616520776155"/>
    <n v="33.003509521484375"/>
    <n v="264700"/>
    <n v="0"/>
    <n v="0"/>
    <s v="AB"/>
  </r>
  <r>
    <x v="2101"/>
    <n v="32.830871245739878"/>
    <n v="32.888420103099754"/>
    <n v="32.044388489025209"/>
    <n v="32.504768371582031"/>
    <n v="187000"/>
    <n v="0"/>
    <n v="0"/>
    <s v="AB"/>
  </r>
  <r>
    <x v="2102"/>
    <n v="32.734958366818645"/>
    <n v="33.55980698370302"/>
    <n v="31.756649797405125"/>
    <n v="33.43511962890625"/>
    <n v="466300"/>
    <n v="0"/>
    <n v="0"/>
    <s v="AB"/>
  </r>
  <r>
    <x v="2103"/>
    <n v="33.300841799374979"/>
    <n v="33.646127598669459"/>
    <n v="33.022694498968448"/>
    <n v="33.358386993408203"/>
    <n v="194400"/>
    <n v="0"/>
    <n v="0"/>
    <s v="AB"/>
  </r>
  <r>
    <x v="2104"/>
    <n v="33.339203481761523"/>
    <n v="33.713265530555283"/>
    <n v="32.61026965233448"/>
    <n v="32.773319244384766"/>
    <n v="565100"/>
    <n v="0"/>
    <n v="0"/>
    <s v="AB"/>
  </r>
  <r>
    <x v="2105"/>
    <n v="32.763731579323156"/>
    <n v="33.272066995594159"/>
    <n v="32.523950170323779"/>
    <n v="32.677410125732422"/>
    <n v="210900"/>
    <n v="0"/>
    <n v="0"/>
    <s v="AB"/>
  </r>
  <r>
    <x v="2106"/>
    <n v="32.514358637844133"/>
    <n v="32.773319324821493"/>
    <n v="31.996429946341959"/>
    <n v="32.006019592285156"/>
    <n v="193100"/>
    <n v="0"/>
    <n v="0"/>
    <s v="AB"/>
  </r>
  <r>
    <x v="2107"/>
    <n v="32.360901716343442"/>
    <n v="32.600683133848499"/>
    <n v="32.188258803037868"/>
    <n v="32.504768371582031"/>
    <n v="224400"/>
    <n v="0"/>
    <n v="0"/>
    <s v="AB"/>
  </r>
  <r>
    <x v="2108"/>
    <n v="32.466402319961638"/>
    <n v="33.588581251376773"/>
    <n v="32.466402319961638"/>
    <n v="33.463893890380859"/>
    <n v="245000"/>
    <n v="0"/>
    <n v="0"/>
    <s v="AB"/>
  </r>
  <r>
    <x v="2109"/>
    <n v="33.655719580339408"/>
    <n v="33.828362491967461"/>
    <n v="32.898009430280062"/>
    <n v="33.013103485107422"/>
    <n v="132800"/>
    <n v="0"/>
    <n v="0"/>
    <s v="AB"/>
  </r>
  <r>
    <x v="2110"/>
    <n v="32.850052901832768"/>
    <n v="33.569397125960499"/>
    <n v="32.850052901832768"/>
    <n v="33.252883911132813"/>
    <n v="99400"/>
    <n v="0"/>
    <n v="0"/>
    <s v="AB"/>
  </r>
  <r>
    <x v="2111"/>
    <n v="33.099424260312816"/>
    <n v="34.135281708781264"/>
    <n v="32.696593247313281"/>
    <n v="32.744548797607422"/>
    <n v="217300"/>
    <n v="0"/>
    <n v="0"/>
    <s v="AB"/>
  </r>
  <r>
    <x v="2112"/>
    <n v="32.236214354784067"/>
    <n v="32.85005419819317"/>
    <n v="32.092344040771401"/>
    <n v="32.504768371582031"/>
    <n v="249800"/>
    <n v="0"/>
    <n v="0"/>
    <s v="AB"/>
  </r>
  <r>
    <x v="2113"/>
    <n v="32.869236461715445"/>
    <n v="33.089834922143524"/>
    <n v="31.852561955644575"/>
    <n v="32.044387817382813"/>
    <n v="265800"/>
    <n v="0"/>
    <n v="0"/>
    <s v="AB"/>
  </r>
  <r>
    <x v="2114"/>
    <n v="32.082749713233873"/>
    <n v="33.435116564308515"/>
    <n v="32.034794168484133"/>
    <n v="32.936370849609375"/>
    <n v="213600"/>
    <n v="0"/>
    <n v="0"/>
    <s v="AB"/>
  </r>
  <r>
    <x v="2115"/>
    <n v="33.137788545808682"/>
    <n v="33.387163249198593"/>
    <n v="32.70618129669058"/>
    <n v="33.358386993408203"/>
    <n v="205200"/>
    <n v="0"/>
    <n v="0"/>
    <s v="AB"/>
  </r>
  <r>
    <x v="2116"/>
    <n v="33.252882091250314"/>
    <n v="33.406345696421688"/>
    <n v="32.639042305659721"/>
    <n v="33.348796844482422"/>
    <n v="198000"/>
    <n v="0"/>
    <n v="0"/>
    <s v="AB"/>
  </r>
  <r>
    <x v="2117"/>
    <n v="33.348799022815335"/>
    <n v="33.905089992803411"/>
    <n v="33.281660520554254"/>
    <n v="33.77081298828125"/>
    <n v="145100"/>
    <n v="0"/>
    <n v="0"/>
    <s v="AB"/>
  </r>
  <r>
    <x v="2118"/>
    <n v="34.048957824707031"/>
    <n v="34.375060665717143"/>
    <n v="33.78999348107191"/>
    <n v="34.048957824707031"/>
    <n v="195200"/>
    <n v="0"/>
    <n v="0"/>
    <s v="AB"/>
  </r>
  <r>
    <x v="2119"/>
    <n v="33.924273428905394"/>
    <n v="34.106509645164209"/>
    <n v="33.204929186891775"/>
    <n v="33.329616546630859"/>
    <n v="279400"/>
    <n v="0"/>
    <n v="0"/>
    <s v="AB"/>
  </r>
  <r>
    <x v="2120"/>
    <n v="33.33920784919281"/>
    <n v="33.89550251352442"/>
    <n v="33.281662648588984"/>
    <n v="33.550216674804688"/>
    <n v="194700"/>
    <n v="0"/>
    <n v="0"/>
    <s v="AB"/>
  </r>
  <r>
    <x v="2121"/>
    <n v="33.463892042393226"/>
    <n v="33.61735199407746"/>
    <n v="33.032284784914509"/>
    <n v="33.176155090332031"/>
    <n v="191200"/>
    <n v="0"/>
    <n v="0"/>
    <s v="AB"/>
  </r>
  <r>
    <x v="2122"/>
    <n v="33.204929519789189"/>
    <n v="33.358389479939653"/>
    <n v="32.677411135445354"/>
    <n v="33.272068023681641"/>
    <n v="161200"/>
    <n v="0"/>
    <n v="0"/>
    <s v="AB"/>
  </r>
  <r>
    <x v="2123"/>
    <n v="33.15697362831618"/>
    <n v="33.3392061857596"/>
    <n v="32.821281112295665"/>
    <n v="32.945964813232422"/>
    <n v="121400"/>
    <n v="0"/>
    <n v="0"/>
    <s v="AB"/>
  </r>
  <r>
    <x v="2124"/>
    <n v="32.878823585513068"/>
    <n v="32.917189486671639"/>
    <n v="32.284166752650023"/>
    <n v="32.322532653808594"/>
    <n v="256700"/>
    <n v="0"/>
    <n v="0"/>
    <s v="AB"/>
  </r>
  <r>
    <x v="2125"/>
    <n v="32.370489886246467"/>
    <n v="32.974740055246428"/>
    <n v="32.312941031512317"/>
    <n v="32.734958648681641"/>
    <n v="237600"/>
    <n v="0"/>
    <n v="0"/>
    <s v="AB"/>
  </r>
  <r>
    <x v="2126"/>
    <n v="32.754140595332458"/>
    <n v="33.089833090714244"/>
    <n v="32.389671844079523"/>
    <n v="32.591087341308594"/>
    <n v="160100"/>
    <n v="0"/>
    <n v="0"/>
    <s v="AB"/>
  </r>
  <r>
    <x v="2127"/>
    <n v="32.399263482128141"/>
    <n v="33.003513669739085"/>
    <n v="32.380080529959251"/>
    <n v="32.945964813232422"/>
    <n v="271200"/>
    <n v="0"/>
    <n v="0"/>
    <s v="AB"/>
  </r>
  <r>
    <x v="2128"/>
    <n v="32.802096945582136"/>
    <n v="32.821279897040746"/>
    <n v="31.958065375272579"/>
    <n v="32.092342376708984"/>
    <n v="309200"/>
    <n v="0"/>
    <n v="0"/>
    <s v="AB"/>
  </r>
  <r>
    <x v="2129"/>
    <n v="31.890928341232183"/>
    <n v="31.910111293573028"/>
    <n v="31.277088501421339"/>
    <n v="31.411365509033203"/>
    <n v="495500"/>
    <n v="0"/>
    <n v="0"/>
    <s v="AB"/>
  </r>
  <r>
    <x v="2130"/>
    <n v="31.315453730099936"/>
    <n v="31.420954477536078"/>
    <n v="30.826297602902866"/>
    <n v="31.142810821533203"/>
    <n v="397300"/>
    <n v="0"/>
    <n v="0"/>
    <s v="AB"/>
  </r>
  <r>
    <x v="2131"/>
    <n v="30.960574841319342"/>
    <n v="31.277088062338851"/>
    <n v="30.557743824138875"/>
    <n v="30.730386734008789"/>
    <n v="415100"/>
    <n v="0"/>
    <n v="0"/>
    <s v="AB"/>
  </r>
  <r>
    <x v="2132"/>
    <n v="30.682429178857269"/>
    <n v="30.93180206620427"/>
    <n v="30.260413382624886"/>
    <n v="30.47142219543457"/>
    <n v="378500"/>
    <n v="0"/>
    <n v="0"/>
    <s v="AB"/>
  </r>
  <r>
    <x v="2133"/>
    <n v="30.308369045971244"/>
    <n v="30.941389960387266"/>
    <n v="30.308369045971244"/>
    <n v="30.634471893310547"/>
    <n v="213900"/>
    <n v="0"/>
    <n v="0"/>
    <s v="AB"/>
  </r>
  <r>
    <x v="2134"/>
    <n v="30.711202269723398"/>
    <n v="30.855068915015025"/>
    <n v="30.375507942548865"/>
    <n v="30.481012344360352"/>
    <n v="222800"/>
    <n v="0"/>
    <n v="0"/>
    <s v="AB"/>
  </r>
  <r>
    <x v="2135"/>
    <n v="30.356324970001992"/>
    <n v="30.442646420625589"/>
    <n v="29.905536595157479"/>
    <n v="30.193273544311523"/>
    <n v="524900"/>
    <n v="0"/>
    <n v="0"/>
    <s v="AB"/>
  </r>
  <r>
    <x v="2136"/>
    <n v="30.212457076327077"/>
    <n v="30.596106959037972"/>
    <n v="29.915128645899504"/>
    <n v="30.202865600585938"/>
    <n v="311000"/>
    <n v="0"/>
    <n v="0"/>
    <s v="AB"/>
  </r>
  <r>
    <x v="2137"/>
    <n v="30.404283055650335"/>
    <n v="30.893435514723155"/>
    <n v="30.116544270410319"/>
    <n v="30.845479965209961"/>
    <n v="539300"/>
    <n v="0"/>
    <n v="0"/>
    <s v="AB"/>
  </r>
  <r>
    <x v="2138"/>
    <n v="30.720793289583284"/>
    <n v="31.401775279332924"/>
    <n v="30.672837739008404"/>
    <n v="31.30586051940918"/>
    <n v="160600"/>
    <n v="0"/>
    <n v="0"/>
    <s v="AB"/>
  </r>
  <r>
    <x v="2139"/>
    <n v="30.903029227429215"/>
    <n v="31.296270592661585"/>
    <n v="30.692020416259766"/>
    <n v="30.692020416259766"/>
    <n v="277500"/>
    <n v="0"/>
    <n v="0"/>
    <s v="AB"/>
  </r>
  <r>
    <x v="2140"/>
    <n v="30.365917783161361"/>
    <n v="30.644065098397835"/>
    <n v="29.963084938968979"/>
    <n v="30.279596328735352"/>
    <n v="232700"/>
    <n v="0"/>
    <n v="0"/>
    <s v="AB"/>
  </r>
  <r>
    <x v="2141"/>
    <n v="30.126136615259011"/>
    <n v="30.5961079657163"/>
    <n v="30.126136615259011"/>
    <n v="30.250823974609375"/>
    <n v="206300"/>
    <n v="0"/>
    <n v="0"/>
    <s v="AB"/>
  </r>
  <r>
    <x v="2142"/>
    <n v="30.078181398680918"/>
    <n v="30.5385612781986"/>
    <n v="30.011042894924636"/>
    <n v="30.385101318359375"/>
    <n v="682300"/>
    <n v="0"/>
    <n v="0"/>
    <s v="AB"/>
  </r>
  <r>
    <x v="2143"/>
    <n v="30.490603819923841"/>
    <n v="30.787930415457502"/>
    <n v="30.145318017185822"/>
    <n v="30.481012344360352"/>
    <n v="400000"/>
    <n v="0"/>
    <n v="0"/>
    <s v="AB"/>
  </r>
  <r>
    <x v="2144"/>
    <n v="30.682428473484915"/>
    <n v="31.545641168680056"/>
    <n v="30.653654046203197"/>
    <n v="31.133216857910156"/>
    <n v="295900"/>
    <n v="0"/>
    <n v="0"/>
    <s v="AB"/>
  </r>
  <r>
    <x v="2145"/>
    <n v="31.38259039867793"/>
    <n v="33.118605370707144"/>
    <n v="31.38259039867793"/>
    <n v="32.840461730957031"/>
    <n v="492500"/>
    <n v="0"/>
    <n v="0"/>
    <s v="AB"/>
  </r>
  <r>
    <x v="2146"/>
    <n v="33.281657370184838"/>
    <n v="33.281657370184838"/>
    <n v="31.910107538781073"/>
    <n v="32.245800018310547"/>
    <n v="384000"/>
    <n v="0"/>
    <n v="0"/>
    <s v="AB"/>
  </r>
  <r>
    <x v="2147"/>
    <n v="32.073159277414852"/>
    <n v="32.514359841381548"/>
    <n v="31.718283824000956"/>
    <n v="32.408855438232422"/>
    <n v="222700"/>
    <n v="0"/>
    <n v="0"/>
    <s v="AB"/>
  </r>
  <r>
    <x v="2148"/>
    <n v="32.408853487894596"/>
    <n v="32.926782167399679"/>
    <n v="32.408853487894596"/>
    <n v="32.696590423583984"/>
    <n v="177200"/>
    <n v="0"/>
    <n v="0"/>
    <s v="AB"/>
  </r>
  <r>
    <x v="2149"/>
    <n v="32.898007573309471"/>
    <n v="33.224110425891382"/>
    <n v="32.322533672882017"/>
    <n v="32.533538818359375"/>
    <n v="252700"/>
    <n v="0"/>
    <n v="0"/>
    <s v="AB"/>
  </r>
  <r>
    <x v="2150"/>
    <n v="32.610267786800875"/>
    <n v="32.72536182512124"/>
    <n v="32.341713811128862"/>
    <n v="32.485580444335938"/>
    <n v="117200"/>
    <n v="0"/>
    <n v="0"/>
    <s v="AB"/>
  </r>
  <r>
    <x v="2151"/>
    <n v="32.514360336620697"/>
    <n v="32.619861082602881"/>
    <n v="32.130708620921027"/>
    <n v="32.226619720458984"/>
    <n v="158100"/>
    <n v="0"/>
    <n v="0"/>
    <s v="AB"/>
  </r>
  <r>
    <x v="2152"/>
    <n v="32.22662023436839"/>
    <n v="32.811687463692031"/>
    <n v="32.22662023436839"/>
    <n v="32.619861602783203"/>
    <n v="170200"/>
    <n v="0"/>
    <n v="0"/>
    <s v="AB"/>
  </r>
  <r>
    <x v="2153"/>
    <n v="32.648637365907355"/>
    <n v="33.070651326499409"/>
    <n v="32.475994459580171"/>
    <n v="32.802097320556641"/>
    <n v="181400"/>
    <n v="0"/>
    <n v="0"/>
    <s v="AB"/>
  </r>
  <r>
    <x v="2154"/>
    <n v="32.802097968959572"/>
    <n v="33.013103124039603"/>
    <n v="32.418446245365708"/>
    <n v="32.42803955078125"/>
    <n v="276800"/>
    <n v="0"/>
    <n v="0"/>
    <s v="AB"/>
  </r>
  <r>
    <x v="2155"/>
    <n v="32.792502740086704"/>
    <n v="32.85005159288243"/>
    <n v="31.564823150634766"/>
    <n v="31.564823150634766"/>
    <n v="683200"/>
    <n v="0"/>
    <n v="0"/>
    <s v="AB"/>
  </r>
  <r>
    <x v="2156"/>
    <n v="31.727878221921561"/>
    <n v="31.795016724642849"/>
    <n v="30.931802177120588"/>
    <n v="31.209949493408203"/>
    <n v="480000"/>
    <n v="0"/>
    <n v="0"/>
    <s v="AB"/>
  </r>
  <r>
    <x v="2157"/>
    <n v="30.864662673018593"/>
    <n v="31.823788290803449"/>
    <n v="30.768751574749654"/>
    <n v="30.874252319335938"/>
    <n v="304200"/>
    <n v="0"/>
    <n v="0"/>
    <s v="AB"/>
  </r>
  <r>
    <x v="2158"/>
    <n v="31.075670961293358"/>
    <n v="31.756649260453894"/>
    <n v="31.027711754185137"/>
    <n v="31.727876663208008"/>
    <n v="254000"/>
    <n v="0"/>
    <n v="0"/>
    <s v="AB"/>
  </r>
  <r>
    <x v="2159"/>
    <n v="31.516868915387796"/>
    <n v="31.747057018610615"/>
    <n v="30.864663191633262"/>
    <n v="31.267494201660156"/>
    <n v="298900"/>
    <n v="0"/>
    <n v="0"/>
    <s v="AB"/>
  </r>
  <r>
    <x v="2160"/>
    <n v="31.02771195292738"/>
    <n v="31.277086659901734"/>
    <n v="30.883845307002634"/>
    <n v="31.123626708984375"/>
    <n v="196500"/>
    <n v="0"/>
    <n v="0"/>
    <s v="AB"/>
  </r>
  <r>
    <x v="2161"/>
    <n v="31.05520192844601"/>
    <n v="31.358228529230821"/>
    <n v="30.781501023863402"/>
    <n v="30.879251480102539"/>
    <n v="210900"/>
    <n v="0.61"/>
    <n v="0"/>
    <s v="AB"/>
  </r>
  <r>
    <x v="2162"/>
    <n v="30.937901368551767"/>
    <n v="31.035651825929865"/>
    <n v="30.165676670578087"/>
    <n v="30.34162712097168"/>
    <n v="353300"/>
    <n v="0"/>
    <n v="0"/>
    <s v="AB"/>
  </r>
  <r>
    <x v="2163"/>
    <n v="29.706249631426562"/>
    <n v="30.12657528669763"/>
    <n v="28.484373593747815"/>
    <n v="29.657375335693359"/>
    <n v="573900"/>
    <n v="0"/>
    <n v="0"/>
    <s v="AB"/>
  </r>
  <r>
    <x v="2164"/>
    <n v="29.442327214806525"/>
    <n v="29.706251034439635"/>
    <n v="28.552799702084322"/>
    <n v="28.738525390625"/>
    <n v="529000"/>
    <n v="0"/>
    <n v="0"/>
    <s v="AB"/>
  </r>
  <r>
    <x v="2165"/>
    <n v="29.178401458927805"/>
    <n v="29.432551909875098"/>
    <n v="28.738525319896926"/>
    <n v="28.748300552368164"/>
    <n v="394900"/>
    <n v="0"/>
    <n v="0"/>
    <s v="AB"/>
  </r>
  <r>
    <x v="2166"/>
    <n v="28.562575100334819"/>
    <n v="29.696475974279828"/>
    <n v="28.543026499665743"/>
    <n v="29.45210075378418"/>
    <n v="262200"/>
    <n v="0"/>
    <n v="0"/>
    <s v="AB"/>
  </r>
  <r>
    <x v="2167"/>
    <n v="29.325025954588163"/>
    <n v="29.471650711474116"/>
    <n v="28.816725057244248"/>
    <n v="29.276151657104492"/>
    <n v="360200"/>
    <n v="0"/>
    <n v="0"/>
    <s v="AB"/>
  </r>
  <r>
    <x v="2168"/>
    <n v="29.276151357280519"/>
    <n v="29.276151357280519"/>
    <n v="28.396399096104673"/>
    <n v="28.572349548339844"/>
    <n v="342400"/>
    <n v="0"/>
    <n v="0"/>
    <s v="AB"/>
  </r>
  <r>
    <x v="2169"/>
    <n v="28.455049629976813"/>
    <n v="29.168624785203999"/>
    <n v="28.455049629976813"/>
    <n v="28.934024810791016"/>
    <n v="231100"/>
    <n v="0"/>
    <n v="0"/>
    <s v="AB"/>
  </r>
  <r>
    <x v="2170"/>
    <n v="29.217499055611206"/>
    <n v="29.872424682781254"/>
    <n v="29.090424768743077"/>
    <n v="29.432550430297852"/>
    <n v="394000"/>
    <n v="0"/>
    <n v="0"/>
    <s v="AB"/>
  </r>
  <r>
    <x v="2171"/>
    <n v="29.13930019461452"/>
    <n v="30.341627672688301"/>
    <n v="29.08065066489517"/>
    <n v="30.019050598144531"/>
    <n v="347900"/>
    <n v="0"/>
    <n v="0"/>
    <s v="AB"/>
  </r>
  <r>
    <x v="2172"/>
    <n v="29.852877329434904"/>
    <n v="30.576227746224472"/>
    <n v="29.442326891318128"/>
    <n v="29.520526885986328"/>
    <n v="367500"/>
    <n v="0"/>
    <n v="0"/>
    <s v="AB"/>
  </r>
  <r>
    <x v="2173"/>
    <n v="29.823550557843827"/>
    <n v="29.823550557843827"/>
    <n v="28.748299271567053"/>
    <n v="28.914474487304688"/>
    <n v="375800"/>
    <n v="0"/>
    <n v="0"/>
    <s v="AB"/>
  </r>
  <r>
    <x v="2174"/>
    <n v="28.885148853434433"/>
    <n v="29.891975382065326"/>
    <n v="28.885148853434433"/>
    <n v="29.647600173950195"/>
    <n v="234800"/>
    <n v="0"/>
    <n v="0"/>
    <s v="AB"/>
  </r>
  <r>
    <x v="2175"/>
    <n v="29.608501416084444"/>
    <n v="30.370950880043253"/>
    <n v="29.334800508970957"/>
    <n v="29.364126205444336"/>
    <n v="244200"/>
    <n v="0"/>
    <n v="0"/>
    <s v="AB"/>
  </r>
  <r>
    <x v="2176"/>
    <n v="29.383676111217277"/>
    <n v="30.146127473496438"/>
    <n v="29.383676111217277"/>
    <n v="29.686702728271484"/>
    <n v="195800"/>
    <n v="0"/>
    <n v="0"/>
    <s v="AB"/>
  </r>
  <r>
    <x v="2177"/>
    <n v="29.716025381420828"/>
    <n v="30.713076693010006"/>
    <n v="29.716025381420828"/>
    <n v="30.331851959228516"/>
    <n v="277200"/>
    <n v="0"/>
    <n v="0"/>
    <s v="AB"/>
  </r>
  <r>
    <x v="2178"/>
    <n v="30.556676488585076"/>
    <n v="31.231152590369277"/>
    <n v="30.50780032791382"/>
    <n v="30.849925994873047"/>
    <n v="269200"/>
    <n v="0"/>
    <n v="0"/>
    <s v="AB"/>
  </r>
  <r>
    <x v="2179"/>
    <n v="30.576228080041417"/>
    <n v="31.182277579227783"/>
    <n v="30.429601457057174"/>
    <n v="30.458927154541016"/>
    <n v="242500"/>
    <n v="0"/>
    <n v="0"/>
    <s v="AB"/>
  </r>
  <r>
    <x v="2180"/>
    <n v="30.556677133339569"/>
    <n v="30.752176186845006"/>
    <n v="30.214551459161395"/>
    <n v="30.273200988769531"/>
    <n v="252300"/>
    <n v="0"/>
    <n v="0"/>
    <s v="AB"/>
  </r>
  <r>
    <x v="2181"/>
    <n v="30.370951531632887"/>
    <n v="30.977002887374162"/>
    <n v="30.370951531632887"/>
    <n v="30.507801055908203"/>
    <n v="428800"/>
    <n v="0"/>
    <n v="0"/>
    <s v="AB"/>
  </r>
  <r>
    <x v="2182"/>
    <n v="31.348452165949361"/>
    <n v="31.954501652824348"/>
    <n v="30.429600838905916"/>
    <n v="31.524402618408203"/>
    <n v="672300"/>
    <n v="0"/>
    <n v="0"/>
    <s v="AB"/>
  </r>
  <r>
    <x v="2183"/>
    <n v="31.671029238413855"/>
    <n v="31.925177820371157"/>
    <n v="31.240926475127864"/>
    <n v="31.524402618408203"/>
    <n v="462500"/>
    <n v="0"/>
    <n v="0"/>
    <s v="AB"/>
  </r>
  <r>
    <x v="2184"/>
    <n v="31.49507801843648"/>
    <n v="31.96427797060262"/>
    <n v="31.446199993712497"/>
    <n v="31.866525650024414"/>
    <n v="379400"/>
    <n v="0"/>
    <n v="0"/>
    <s v="AB"/>
  </r>
  <r>
    <x v="2185"/>
    <n v="31.94472848620843"/>
    <n v="31.94472848620843"/>
    <n v="31.133402844875302"/>
    <n v="31.250701904296875"/>
    <n v="351600"/>
    <n v="0"/>
    <n v="0"/>
    <s v="AB"/>
  </r>
  <r>
    <x v="2186"/>
    <n v="31.348452151131369"/>
    <n v="31.876303508258388"/>
    <n v="31.27025215723495"/>
    <n v="31.280027389526367"/>
    <n v="207300"/>
    <n v="0"/>
    <n v="0"/>
    <s v="AB"/>
  </r>
  <r>
    <x v="2187"/>
    <n v="30.996551399860817"/>
    <n v="31.759004606887334"/>
    <n v="30.996551399860817"/>
    <n v="31.504852294921875"/>
    <n v="263100"/>
    <n v="0"/>
    <n v="0"/>
    <s v="AB"/>
  </r>
  <r>
    <x v="2188"/>
    <n v="31.504853038182418"/>
    <n v="31.719904425862076"/>
    <n v="31.162727355957031"/>
    <n v="31.162727355957031"/>
    <n v="230500"/>
    <n v="0"/>
    <n v="0"/>
    <s v="AB"/>
  </r>
  <r>
    <x v="2189"/>
    <n v="31.270251892426465"/>
    <n v="31.661251858597421"/>
    <n v="31.201827131400908"/>
    <n v="31.563503265380859"/>
    <n v="321200"/>
    <n v="0"/>
    <n v="0"/>
    <s v="AB"/>
  </r>
  <r>
    <x v="2190"/>
    <n v="31.602603063762562"/>
    <n v="32.208652523539904"/>
    <n v="31.240925078285244"/>
    <n v="32.198875427246094"/>
    <n v="513200"/>
    <n v="0"/>
    <n v="0"/>
    <s v="AB"/>
  </r>
  <r>
    <x v="2191"/>
    <n v="32.003379249788466"/>
    <n v="32.286851660399492"/>
    <n v="31.182276527841047"/>
    <n v="31.583053588867188"/>
    <n v="360200"/>
    <n v="0"/>
    <n v="0"/>
    <s v="AB"/>
  </r>
  <r>
    <x v="2192"/>
    <n v="31.739454569737749"/>
    <n v="32.052254551085682"/>
    <n v="31.446201324462891"/>
    <n v="31.446201324462891"/>
    <n v="223300"/>
    <n v="0"/>
    <n v="0"/>
    <s v="AB"/>
  </r>
  <r>
    <x v="2193"/>
    <n v="31.543953068089877"/>
    <n v="31.778551185344213"/>
    <n v="31.280027389526367"/>
    <n v="31.280027389526367"/>
    <n v="202200"/>
    <n v="0"/>
    <n v="0"/>
    <s v="AB"/>
  </r>
  <r>
    <x v="2194"/>
    <n v="31.133401800441014"/>
    <n v="31.661251279000162"/>
    <n v="30.849925664884626"/>
    <n v="31.143177032470703"/>
    <n v="224300"/>
    <n v="0"/>
    <n v="0"/>
    <s v="AB"/>
  </r>
  <r>
    <x v="2195"/>
    <n v="31.221377267247515"/>
    <n v="31.475527708692709"/>
    <n v="30.566451631640444"/>
    <n v="30.615325927734375"/>
    <n v="203200"/>
    <n v="0"/>
    <n v="0"/>
    <s v="AB"/>
  </r>
  <r>
    <x v="2196"/>
    <n v="30.400276065927279"/>
    <n v="30.889026478998666"/>
    <n v="30.331851306406865"/>
    <n v="30.664201736450195"/>
    <n v="186700"/>
    <n v="0"/>
    <n v="0"/>
    <s v="AB"/>
  </r>
  <r>
    <x v="2197"/>
    <n v="30.370952130202969"/>
    <n v="30.722853044629193"/>
    <n v="30.14612737462398"/>
    <n v="30.185226440429688"/>
    <n v="222000"/>
    <n v="0"/>
    <n v="0"/>
    <s v="AB"/>
  </r>
  <r>
    <x v="2198"/>
    <n v="30.292750545299153"/>
    <n v="30.331851473488985"/>
    <n v="29.979950577519993"/>
    <n v="30.146125793457031"/>
    <n v="195300"/>
    <n v="0"/>
    <n v="0"/>
    <s v="AB"/>
  </r>
  <r>
    <x v="2199"/>
    <n v="29.911527491964041"/>
    <n v="30.410053167680854"/>
    <n v="29.901752259369399"/>
    <n v="29.93107795715332"/>
    <n v="327200"/>
    <n v="0"/>
    <n v="0"/>
    <s v="AB"/>
  </r>
  <r>
    <x v="2200"/>
    <n v="30.048375223669897"/>
    <n v="30.400276118306778"/>
    <n v="29.637824801405163"/>
    <n v="29.667150497436523"/>
    <n v="305100"/>
    <n v="0"/>
    <n v="0"/>
    <s v="AB"/>
  </r>
  <r>
    <x v="2201"/>
    <n v="29.667152149436639"/>
    <n v="30.097253059672234"/>
    <n v="29.628051219217507"/>
    <n v="29.696475982666016"/>
    <n v="213100"/>
    <n v="0"/>
    <n v="0"/>
    <s v="AB"/>
  </r>
  <r>
    <x v="2202"/>
    <n v="29.989727357535589"/>
    <n v="30.028826423308708"/>
    <n v="29.354352157133896"/>
    <n v="29.45210075378418"/>
    <n v="366100"/>
    <n v="0"/>
    <n v="0"/>
    <s v="AB"/>
  </r>
  <r>
    <x v="2203"/>
    <n v="29.559625039971088"/>
    <n v="30.058150689777634"/>
    <n v="29.237049838853309"/>
    <n v="29.882200241088867"/>
    <n v="186900"/>
    <n v="0"/>
    <n v="0"/>
    <s v="AB"/>
  </r>
  <r>
    <x v="2204"/>
    <n v="29.77467550720662"/>
    <n v="30.351401167761935"/>
    <n v="29.77467550720662"/>
    <n v="30.253652572631836"/>
    <n v="234200"/>
    <n v="0"/>
    <n v="0"/>
    <s v="AB"/>
  </r>
  <r>
    <x v="2205"/>
    <n v="30.00927756639901"/>
    <n v="30.380727078029306"/>
    <n v="29.500976664643904"/>
    <n v="30.224327087402344"/>
    <n v="400900"/>
    <n v="0"/>
    <n v="0"/>
    <s v="AB"/>
  </r>
  <r>
    <x v="2206"/>
    <n v="29.911526644613858"/>
    <n v="30.4784770679973"/>
    <n v="29.696475262493809"/>
    <n v="30.282976150512695"/>
    <n v="325500"/>
    <n v="0"/>
    <n v="0"/>
    <s v="AB"/>
  </r>
  <r>
    <x v="2207"/>
    <n v="30.282976380599258"/>
    <n v="30.546902061878271"/>
    <n v="29.716025952908193"/>
    <n v="29.764902114868164"/>
    <n v="281800"/>
    <n v="0"/>
    <n v="0"/>
    <s v="AB"/>
  </r>
  <r>
    <x v="2208"/>
    <n v="29.804000502359315"/>
    <n v="30.019050016788864"/>
    <n v="29.344575776991007"/>
    <n v="29.852876663208008"/>
    <n v="229900"/>
    <n v="0"/>
    <n v="0"/>
    <s v="AB"/>
  </r>
  <r>
    <x v="2209"/>
    <n v="29.706250767080917"/>
    <n v="29.813776459126455"/>
    <n v="29.178401268130422"/>
    <n v="29.266376495361328"/>
    <n v="213300"/>
    <n v="0"/>
    <n v="0"/>
    <s v="AB"/>
  </r>
  <r>
    <x v="2210"/>
    <n v="29.276151991256437"/>
    <n v="29.491201512848036"/>
    <n v="28.425725408515415"/>
    <n v="28.738525390625"/>
    <n v="265800"/>
    <n v="0"/>
    <n v="0"/>
    <s v="AB"/>
  </r>
  <r>
    <x v="2211"/>
    <n v="28.836275720197676"/>
    <n v="29.32502615613323"/>
    <n v="28.748300492574479"/>
    <n v="29.002450942993164"/>
    <n v="111400"/>
    <n v="0"/>
    <n v="0"/>
    <s v="AB"/>
  </r>
  <r>
    <x v="2212"/>
    <n v="28.914475726160006"/>
    <n v="29.315250934621922"/>
    <n v="28.806950033594873"/>
    <n v="29.246826171875"/>
    <n v="144300"/>
    <n v="0"/>
    <n v="0"/>
    <s v="AB"/>
  </r>
  <r>
    <x v="2213"/>
    <n v="29.1784016745064"/>
    <n v="29.1784016745064"/>
    <n v="28.689651233943263"/>
    <n v="28.718975067138672"/>
    <n v="124000"/>
    <n v="0"/>
    <n v="0"/>
    <s v="AB"/>
  </r>
  <r>
    <x v="2214"/>
    <n v="28.582124174836398"/>
    <n v="28.748299391265938"/>
    <n v="28.083598525547785"/>
    <n v="28.650548934936523"/>
    <n v="394800"/>
    <n v="0"/>
    <n v="0"/>
    <s v="AB"/>
  </r>
  <r>
    <x v="2215"/>
    <n v="28.503924417343903"/>
    <n v="28.503924417343903"/>
    <n v="27.927198771130321"/>
    <n v="28.376850128173828"/>
    <n v="257300"/>
    <n v="0"/>
    <n v="0"/>
    <s v="AB"/>
  </r>
  <r>
    <x v="2216"/>
    <n v="28.591900683846227"/>
    <n v="28.591900683846227"/>
    <n v="27.868550257799065"/>
    <n v="28.239999771118164"/>
    <n v="503100"/>
    <n v="0"/>
    <n v="0"/>
    <s v="AB"/>
  </r>
  <r>
    <x v="2217"/>
    <n v="28.415950227482195"/>
    <n v="28.855826368392275"/>
    <n v="28.064049314754129"/>
    <n v="28.239999771118164"/>
    <n v="318400"/>
    <n v="0"/>
    <n v="0"/>
    <s v="AB"/>
  </r>
  <r>
    <x v="2218"/>
    <n v="28.259550145043661"/>
    <n v="28.582125359192844"/>
    <n v="27.409125427938974"/>
    <n v="27.761024475097656"/>
    <n v="417500"/>
    <n v="0"/>
    <n v="0"/>
    <s v="AB"/>
  </r>
  <r>
    <x v="2219"/>
    <n v="27.692598574097797"/>
    <n v="27.95652424694665"/>
    <n v="26.959472948029799"/>
    <n v="27.907648086547852"/>
    <n v="530100"/>
    <n v="0"/>
    <n v="0"/>
    <s v="AB"/>
  </r>
  <r>
    <x v="2220"/>
    <n v="28.103149255244574"/>
    <n v="29.237050084736172"/>
    <n v="27.770798819245151"/>
    <n v="27.878324508666992"/>
    <n v="536400"/>
    <n v="0"/>
    <n v="0"/>
    <s v="AB"/>
  </r>
  <r>
    <x v="2221"/>
    <n v="27.858775199643482"/>
    <n v="28.513700866633553"/>
    <n v="27.858775199643482"/>
    <n v="27.976076126098633"/>
    <n v="409800"/>
    <n v="0"/>
    <n v="0"/>
    <s v="AB"/>
  </r>
  <r>
    <x v="2222"/>
    <n v="28.103149555122378"/>
    <n v="28.347524768645179"/>
    <n v="27.800124812395879"/>
    <n v="28.083599090576172"/>
    <n v="476500"/>
    <n v="0"/>
    <n v="0"/>
    <s v="AB"/>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63C03F1-0C6D-4848-AD40-8FB0522F36C6}" name="PivotTable1" cacheId="1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K7:L2231" firstHeaderRow="1" firstDataRow="1" firstDataCol="1"/>
  <pivotFields count="12">
    <pivotField axis="axisRow" numFmtId="14" showAll="0">
      <items count="222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t="default"/>
      </items>
    </pivotField>
    <pivotField showAll="0"/>
    <pivotField showAll="0"/>
    <pivotField showAll="0"/>
    <pivotField dataField="1" showAll="0"/>
    <pivotField showAll="0"/>
    <pivotField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12">
        <item sd="0" x="0"/>
        <item sd="0" x="1"/>
        <item sd="0" x="2"/>
        <item sd="0" x="3"/>
        <item sd="0" x="4"/>
        <item sd="0" x="5"/>
        <item sd="0" x="6"/>
        <item sd="0" x="7"/>
        <item sd="0" x="8"/>
        <item sd="0" x="9"/>
        <item sd="0" x="10"/>
        <item t="default"/>
      </items>
    </pivotField>
  </pivotFields>
  <rowFields count="1">
    <field x="0"/>
  </rowFields>
  <rowItems count="222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t="grand">
      <x/>
    </i>
  </rowItems>
  <colItems count="1">
    <i/>
  </colItems>
  <dataFields count="1">
    <dataField name="Average of Close" fld="4" subtotal="average" baseField="11" baseItem="3" numFmtId="4"/>
  </dataFields>
  <chartFormats count="1">
    <chartFormat chart="0" format="0" series="1">
      <pivotArea type="data" outline="0" fieldPosition="0">
        <references count="1">
          <reference field="4294967294" count="1" selected="0">
            <x v="0"/>
          </reference>
        </references>
      </pivotArea>
    </chartFormat>
  </chart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5BEB8-F0CF-418F-AD45-462CF00B3300}">
  <sheetPr codeName="Sheet3"/>
  <dimension ref="B1:G11"/>
  <sheetViews>
    <sheetView showGridLines="0" tabSelected="1" topLeftCell="B1" workbookViewId="0">
      <selection activeCell="E11" sqref="E11"/>
    </sheetView>
  </sheetViews>
  <sheetFormatPr defaultRowHeight="15.75" x14ac:dyDescent="0.25"/>
  <cols>
    <col min="1" max="1" width="3.625" style="3" customWidth="1"/>
    <col min="2" max="2" width="10.625" style="3" customWidth="1"/>
    <col min="3" max="3" width="8.5" style="3" customWidth="1"/>
    <col min="4" max="4" width="1.5" style="3" customWidth="1"/>
    <col min="5" max="5" width="81.875" style="3" customWidth="1"/>
    <col min="6" max="16384" width="9" style="3"/>
  </cols>
  <sheetData>
    <row r="1" spans="2:7" s="14" customFormat="1" ht="27.75" customHeight="1" x14ac:dyDescent="0.45">
      <c r="B1" s="14" t="s">
        <v>15</v>
      </c>
    </row>
    <row r="2" spans="2:7" s="14" customFormat="1" ht="17.25" customHeight="1" x14ac:dyDescent="0.45">
      <c r="B2" s="16" t="str">
        <f>"Updated: "</f>
        <v xml:space="preserve">Updated: </v>
      </c>
      <c r="C2" s="15">
        <f ca="1">TODAY()</f>
        <v>45296</v>
      </c>
      <c r="D2" s="15"/>
    </row>
    <row r="4" spans="2:7" ht="16.5" thickBot="1" x14ac:dyDescent="0.3">
      <c r="G4" s="10"/>
    </row>
    <row r="5" spans="2:7" ht="16.5" thickBot="1" x14ac:dyDescent="0.3">
      <c r="B5" s="17"/>
      <c r="C5" s="18" t="s">
        <v>16</v>
      </c>
      <c r="D5" s="18"/>
      <c r="E5" s="12" t="s">
        <v>48</v>
      </c>
      <c r="F5" s="3" t="s">
        <v>27</v>
      </c>
    </row>
    <row r="6" spans="2:7" x14ac:dyDescent="0.25">
      <c r="B6" s="17"/>
      <c r="C6" s="18"/>
      <c r="D6" s="18"/>
    </row>
    <row r="7" spans="2:7" x14ac:dyDescent="0.25">
      <c r="B7" s="17"/>
      <c r="C7" s="18" t="s">
        <v>21</v>
      </c>
      <c r="D7" s="18"/>
      <c r="E7" s="3" t="str" cm="1">
        <f t="array" ref="E7">return_name(E5)</f>
        <v>AllianceBernstein Holding L.P.</v>
      </c>
    </row>
    <row r="8" spans="2:7" x14ac:dyDescent="0.25">
      <c r="B8" s="17"/>
      <c r="C8" s="18" t="s">
        <v>17</v>
      </c>
      <c r="D8" s="18"/>
      <c r="E8" s="3" t="str" cm="1">
        <f t="array" ref="E8">return_industry(E5)</f>
        <v>Asset Management</v>
      </c>
    </row>
    <row r="9" spans="2:7" x14ac:dyDescent="0.25">
      <c r="B9" s="17"/>
      <c r="C9" s="18" t="s">
        <v>18</v>
      </c>
      <c r="D9" s="18"/>
      <c r="E9" s="4" t="str" cm="1">
        <f t="array" ref="E9">HYPERLINK(return_website(E5))</f>
        <v>https://www.alliancebernstein.com</v>
      </c>
    </row>
    <row r="10" spans="2:7" x14ac:dyDescent="0.25">
      <c r="B10" s="17"/>
      <c r="C10" s="18" t="s">
        <v>20</v>
      </c>
      <c r="D10" s="18"/>
      <c r="E10" s="6" cm="1">
        <f t="array" ref="E10">return_employee_count(E5)</f>
        <v>4436</v>
      </c>
    </row>
    <row r="11" spans="2:7" ht="193.5" customHeight="1" x14ac:dyDescent="0.25">
      <c r="B11" s="18"/>
      <c r="C11" s="18" t="s">
        <v>19</v>
      </c>
      <c r="D11" s="18"/>
      <c r="E11" s="5" t="str" cm="1">
        <f t="array" ref="E11">return_desc(E5)</f>
        <v>AllianceBernstein Holding L.P. is a publicly owned investment manager. The firm is a related adviser The firm manages separate client focused portfolios for its clients. The firm primarily invests in common and preferred stocks, warrants and convertible securities, government and corporate fxed-income securities, commodities, currencies, real estate-related assets and infation-protected securities. The firm employs quantitative analysis along with long-term purchases, short-term purchases, trading, short sales, margin transactions, option strategies including writing covered options, uncovered options and spread strategies to make its investments. The firm obtains external research to complement its in-house research. The firm was formerly known as Alliance Capital Management Holding LP. AllianceBernstein Holding L.P. was founded in 1967 and is based in Nashville,Tennessee.</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21FB4E93-A293-476A-A1D4-CC420FB76F38}">
          <x14:formula1>
            <xm:f>symbols!$A$1:$A$7263</xm:f>
          </x14:formula1>
          <xm:sqref>E5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2382"/>
  <sheetViews>
    <sheetView showGridLines="0" topLeftCell="C1" workbookViewId="0">
      <selection activeCell="K7" sqref="K7"/>
    </sheetView>
  </sheetViews>
  <sheetFormatPr defaultColWidth="11" defaultRowHeight="15.75" x14ac:dyDescent="0.25"/>
  <cols>
    <col min="1" max="1" width="8.75" style="9" customWidth="1"/>
    <col min="2" max="2" width="15.25" style="10" bestFit="1" customWidth="1"/>
    <col min="3" max="9" width="11.125" style="3" bestFit="1" customWidth="1"/>
    <col min="10" max="10" width="11" style="3"/>
    <col min="11" max="11" width="12.125" style="3" bestFit="1" customWidth="1"/>
    <col min="12" max="12" width="14.75" style="3" bestFit="1" customWidth="1"/>
    <col min="13" max="16384" width="11" style="3"/>
  </cols>
  <sheetData>
    <row r="1" spans="1:13" s="8" customFormat="1" ht="32.25" customHeight="1" x14ac:dyDescent="0.45">
      <c r="A1" s="7"/>
      <c r="B1" s="11" t="str">
        <f>user_input_and_overview!E7&amp;" - Historical Stock Data"</f>
        <v>AllianceBernstein Holding L.P. - Historical Stock Data</v>
      </c>
    </row>
    <row r="2" spans="1:13" ht="18" customHeight="1" x14ac:dyDescent="0.25">
      <c r="B2" s="10" t="s">
        <v>24</v>
      </c>
      <c r="C2" s="19">
        <v>42005</v>
      </c>
      <c r="D2" s="3" t="s">
        <v>26</v>
      </c>
    </row>
    <row r="3" spans="1:13" ht="18" customHeight="1" x14ac:dyDescent="0.25">
      <c r="B3" s="10" t="s">
        <v>25</v>
      </c>
      <c r="C3" s="19">
        <v>45231</v>
      </c>
      <c r="D3" s="3" t="s">
        <v>27</v>
      </c>
      <c r="K3" s="20"/>
    </row>
    <row r="4" spans="1:13" ht="18" customHeight="1" x14ac:dyDescent="0.25"/>
    <row r="5" spans="1:13" ht="18" customHeight="1" x14ac:dyDescent="0.25"/>
    <row r="6" spans="1:13" x14ac:dyDescent="0.25">
      <c r="A6" s="9" t="str" cm="1">
        <f t="array" ref="A6:J2229">get_data(user_input_and_overview!E5,C2,C3)</f>
        <v/>
      </c>
      <c r="B6" s="10" t="str">
        <v>Date</v>
      </c>
      <c r="C6" s="3" t="str">
        <v>Open</v>
      </c>
      <c r="D6" s="3" t="str">
        <v>High</v>
      </c>
      <c r="E6" s="3" t="str">
        <v>Low</v>
      </c>
      <c r="F6" s="3" t="str">
        <v>Close</v>
      </c>
      <c r="G6" s="3" t="str">
        <v>Volume</v>
      </c>
      <c r="H6" s="3" t="str">
        <v>Dividends</v>
      </c>
      <c r="I6" s="3" t="str">
        <v>Stock Splits</v>
      </c>
      <c r="J6" s="3" t="str">
        <v>ticker</v>
      </c>
    </row>
    <row r="7" spans="1:13" x14ac:dyDescent="0.25">
      <c r="A7" s="9">
        <v>0</v>
      </c>
      <c r="B7" s="10">
        <v>42006</v>
      </c>
      <c r="C7" s="3">
        <v>12.200800248898439</v>
      </c>
      <c r="D7" s="3">
        <v>12.233459992932582</v>
      </c>
      <c r="E7" s="3">
        <v>11.953518821262051</v>
      </c>
      <c r="F7" s="3">
        <v>12.177472114562988</v>
      </c>
      <c r="G7" s="3">
        <v>135200</v>
      </c>
      <c r="H7" s="3">
        <v>0</v>
      </c>
      <c r="I7" s="3">
        <v>0</v>
      </c>
      <c r="J7" s="3" t="str">
        <v>AB</v>
      </c>
      <c r="K7" s="21" t="s">
        <v>14542</v>
      </c>
      <c r="L7" t="s">
        <v>14544</v>
      </c>
      <c r="M7"/>
    </row>
    <row r="8" spans="1:13" x14ac:dyDescent="0.25">
      <c r="A8" s="9">
        <v>1</v>
      </c>
      <c r="B8" s="10">
        <v>42009</v>
      </c>
      <c r="C8" s="3">
        <v>12.046834989600271</v>
      </c>
      <c r="D8" s="3">
        <v>12.177474885373368</v>
      </c>
      <c r="E8" s="3">
        <v>11.738898918767209</v>
      </c>
      <c r="F8" s="3">
        <v>11.762227058410645</v>
      </c>
      <c r="G8" s="3">
        <v>515900</v>
      </c>
      <c r="H8" s="3">
        <v>0</v>
      </c>
      <c r="I8" s="3">
        <v>0</v>
      </c>
      <c r="J8" s="3" t="str">
        <v>AB</v>
      </c>
      <c r="K8" s="23">
        <v>42006</v>
      </c>
      <c r="L8" s="22">
        <v>12.177472114562988</v>
      </c>
      <c r="M8"/>
    </row>
    <row r="9" spans="1:13" x14ac:dyDescent="0.25">
      <c r="A9" s="9">
        <v>2</v>
      </c>
      <c r="B9" s="10">
        <v>42010</v>
      </c>
      <c r="C9" s="3">
        <v>11.757566718418445</v>
      </c>
      <c r="D9" s="3">
        <v>11.906869006031965</v>
      </c>
      <c r="E9" s="3">
        <v>11.491621017456055</v>
      </c>
      <c r="F9" s="3">
        <v>11.491621017456055</v>
      </c>
      <c r="G9" s="3">
        <v>298800</v>
      </c>
      <c r="H9" s="3">
        <v>0</v>
      </c>
      <c r="I9" s="3">
        <v>0</v>
      </c>
      <c r="J9" s="3" t="str">
        <v>AB</v>
      </c>
      <c r="K9" s="23">
        <v>42009</v>
      </c>
      <c r="L9" s="22">
        <v>11.762227058410645</v>
      </c>
      <c r="M9"/>
    </row>
    <row r="10" spans="1:13" x14ac:dyDescent="0.25">
      <c r="A10" s="9">
        <v>3</v>
      </c>
      <c r="B10" s="10">
        <v>42011</v>
      </c>
      <c r="C10" s="3">
        <v>11.659580786481255</v>
      </c>
      <c r="D10" s="3">
        <v>11.822880416750237</v>
      </c>
      <c r="E10" s="3">
        <v>11.454289797288496</v>
      </c>
      <c r="F10" s="3">
        <v>11.612923622131348</v>
      </c>
      <c r="G10" s="3">
        <v>279200</v>
      </c>
      <c r="H10" s="3">
        <v>0</v>
      </c>
      <c r="I10" s="3">
        <v>0</v>
      </c>
      <c r="J10" s="3" t="str">
        <v>AB</v>
      </c>
      <c r="K10" s="23">
        <v>42010</v>
      </c>
      <c r="L10" s="22">
        <v>11.491621017456055</v>
      </c>
      <c r="M10"/>
    </row>
    <row r="11" spans="1:13" x14ac:dyDescent="0.25">
      <c r="A11" s="9">
        <v>4</v>
      </c>
      <c r="B11" s="10">
        <v>42012</v>
      </c>
      <c r="C11" s="3">
        <v>11.67824493020089</v>
      </c>
      <c r="D11" s="3">
        <v>11.93952382531279</v>
      </c>
      <c r="E11" s="3">
        <v>11.668913318611885</v>
      </c>
      <c r="F11" s="3">
        <v>11.89753246307373</v>
      </c>
      <c r="G11" s="3">
        <v>220000</v>
      </c>
      <c r="H11" s="3">
        <v>0</v>
      </c>
      <c r="I11" s="3">
        <v>0</v>
      </c>
      <c r="J11" s="3" t="str">
        <v>AB</v>
      </c>
      <c r="K11" s="23">
        <v>42011</v>
      </c>
      <c r="L11" s="22">
        <v>11.612923622131348</v>
      </c>
      <c r="M11"/>
    </row>
    <row r="12" spans="1:13" x14ac:dyDescent="0.25">
      <c r="A12" s="9">
        <v>5</v>
      </c>
      <c r="B12" s="10">
        <v>42013</v>
      </c>
      <c r="C12" s="3">
        <v>11.920860565404691</v>
      </c>
      <c r="D12" s="3">
        <v>12.014174901184299</v>
      </c>
      <c r="E12" s="3">
        <v>11.757561812657569</v>
      </c>
      <c r="F12" s="3">
        <v>11.948855400085449</v>
      </c>
      <c r="G12" s="3">
        <v>203400</v>
      </c>
      <c r="H12" s="3">
        <v>0</v>
      </c>
      <c r="I12" s="3">
        <v>0</v>
      </c>
      <c r="J12" s="3" t="str">
        <v>AB</v>
      </c>
      <c r="K12" s="23">
        <v>42012</v>
      </c>
      <c r="L12" s="22">
        <v>11.89753246307373</v>
      </c>
      <c r="M12"/>
    </row>
    <row r="13" spans="1:13" x14ac:dyDescent="0.25">
      <c r="A13" s="9">
        <v>6</v>
      </c>
      <c r="B13" s="10">
        <v>42016</v>
      </c>
      <c r="C13" s="10">
        <v>11.962852750977667</v>
      </c>
      <c r="D13" s="3">
        <v>12.060832899281866</v>
      </c>
      <c r="E13" s="3">
        <v>11.804218903179645</v>
      </c>
      <c r="F13" s="3">
        <v>11.990847587585449</v>
      </c>
      <c r="G13" s="3">
        <v>270300</v>
      </c>
      <c r="H13" s="3">
        <v>0</v>
      </c>
      <c r="I13" s="3">
        <v>0</v>
      </c>
      <c r="J13" s="3" t="str">
        <v>AB</v>
      </c>
      <c r="K13" s="23">
        <v>42013</v>
      </c>
      <c r="L13" s="22">
        <v>11.948855400085449</v>
      </c>
      <c r="M13"/>
    </row>
    <row r="14" spans="1:13" x14ac:dyDescent="0.25">
      <c r="A14" s="9">
        <v>7</v>
      </c>
      <c r="B14" s="10">
        <v>42017</v>
      </c>
      <c r="C14" s="3">
        <v>12.126150691553757</v>
      </c>
      <c r="D14" s="3">
        <v>12.172807856062942</v>
      </c>
      <c r="E14" s="3">
        <v>11.874203427062383</v>
      </c>
      <c r="F14" s="3">
        <v>12.018839836120605</v>
      </c>
      <c r="G14" s="3">
        <v>208600</v>
      </c>
      <c r="H14" s="3">
        <v>0</v>
      </c>
      <c r="I14" s="3">
        <v>0</v>
      </c>
      <c r="J14" s="3" t="str">
        <v>AB</v>
      </c>
      <c r="K14" s="23">
        <v>42016</v>
      </c>
      <c r="L14" s="22">
        <v>11.990847587585449</v>
      </c>
      <c r="M14"/>
    </row>
    <row r="15" spans="1:13" x14ac:dyDescent="0.25">
      <c r="A15" s="9">
        <v>8</v>
      </c>
      <c r="B15" s="10">
        <v>42018</v>
      </c>
      <c r="C15" s="3">
        <v>11.897533285432225</v>
      </c>
      <c r="D15" s="3">
        <v>12.014175768622737</v>
      </c>
      <c r="E15" s="3">
        <v>11.841544501939708</v>
      </c>
      <c r="F15" s="3">
        <v>11.93952465057373</v>
      </c>
      <c r="G15" s="3">
        <v>163500</v>
      </c>
      <c r="H15" s="3">
        <v>0</v>
      </c>
      <c r="I15" s="3">
        <v>0</v>
      </c>
      <c r="J15" s="3" t="str">
        <v>AB</v>
      </c>
      <c r="K15" s="23">
        <v>42017</v>
      </c>
      <c r="L15" s="22">
        <v>12.018839836120605</v>
      </c>
      <c r="M15"/>
    </row>
    <row r="16" spans="1:13" x14ac:dyDescent="0.25">
      <c r="A16" s="9">
        <v>9</v>
      </c>
      <c r="B16" s="10">
        <v>42019</v>
      </c>
      <c r="C16" s="3">
        <v>11.990847245061001</v>
      </c>
      <c r="D16" s="3">
        <v>11.990847245061001</v>
      </c>
      <c r="E16" s="3">
        <v>11.738899062257101</v>
      </c>
      <c r="F16" s="3">
        <v>11.832213401794434</v>
      </c>
      <c r="G16" s="3">
        <v>178100</v>
      </c>
      <c r="H16" s="3">
        <v>0</v>
      </c>
      <c r="I16" s="3">
        <v>0</v>
      </c>
      <c r="J16" s="3" t="str">
        <v>AB</v>
      </c>
      <c r="K16" s="23">
        <v>42018</v>
      </c>
      <c r="L16" s="22">
        <v>11.93952465057373</v>
      </c>
      <c r="M16"/>
    </row>
    <row r="17" spans="1:13" x14ac:dyDescent="0.25">
      <c r="A17" s="9">
        <v>10</v>
      </c>
      <c r="B17" s="10">
        <v>42020</v>
      </c>
      <c r="C17" s="3">
        <v>11.850874733896429</v>
      </c>
      <c r="D17" s="3">
        <v>12.02350598047301</v>
      </c>
      <c r="E17" s="3">
        <v>11.762226207821351</v>
      </c>
      <c r="F17" s="3">
        <v>12.004842758178711</v>
      </c>
      <c r="G17" s="3">
        <v>140800</v>
      </c>
      <c r="H17" s="3">
        <v>0</v>
      </c>
      <c r="I17" s="3">
        <v>0</v>
      </c>
      <c r="J17" s="3" t="str">
        <v>AB</v>
      </c>
      <c r="K17" s="23">
        <v>42019</v>
      </c>
      <c r="L17" s="22">
        <v>11.832213401794434</v>
      </c>
      <c r="M17"/>
    </row>
    <row r="18" spans="1:13" x14ac:dyDescent="0.25">
      <c r="A18" s="9">
        <v>11</v>
      </c>
      <c r="B18" s="10">
        <v>42024</v>
      </c>
      <c r="C18" s="3">
        <v>12.163479942999922</v>
      </c>
      <c r="D18" s="3">
        <v>12.163479942999922</v>
      </c>
      <c r="E18" s="3">
        <v>11.925529132583874</v>
      </c>
      <c r="F18" s="3">
        <v>12.121488571166992</v>
      </c>
      <c r="G18" s="3">
        <v>275500</v>
      </c>
      <c r="H18" s="3">
        <v>0</v>
      </c>
      <c r="I18" s="3">
        <v>0</v>
      </c>
      <c r="J18" s="3" t="str">
        <v>AB</v>
      </c>
      <c r="K18" s="23">
        <v>42020</v>
      </c>
      <c r="L18" s="22">
        <v>12.004842758178711</v>
      </c>
      <c r="M18"/>
    </row>
    <row r="19" spans="1:13" x14ac:dyDescent="0.25">
      <c r="A19" s="9">
        <v>12</v>
      </c>
      <c r="B19" s="10">
        <v>42025</v>
      </c>
      <c r="C19" s="3">
        <v>12.126151135421379</v>
      </c>
      <c r="D19" s="3">
        <v>12.266122634072477</v>
      </c>
      <c r="E19" s="3">
        <v>12.000177053608819</v>
      </c>
      <c r="F19" s="3">
        <v>12.247459411621094</v>
      </c>
      <c r="G19" s="3">
        <v>186700</v>
      </c>
      <c r="H19" s="3">
        <v>0</v>
      </c>
      <c r="I19" s="3">
        <v>0</v>
      </c>
      <c r="J19" s="3" t="str">
        <v>AB</v>
      </c>
      <c r="K19" s="23">
        <v>42024</v>
      </c>
      <c r="L19" s="22">
        <v>12.121488571166992</v>
      </c>
      <c r="M19"/>
    </row>
    <row r="20" spans="1:13" x14ac:dyDescent="0.25">
      <c r="A20" s="9">
        <v>13</v>
      </c>
      <c r="B20" s="10">
        <v>42026</v>
      </c>
      <c r="C20" s="3">
        <v>12.340775681388095</v>
      </c>
      <c r="D20" s="3">
        <v>12.476080505755926</v>
      </c>
      <c r="E20" s="3">
        <v>12.17281021260307</v>
      </c>
      <c r="F20" s="3">
        <v>12.429423332214355</v>
      </c>
      <c r="G20" s="3">
        <v>243300</v>
      </c>
      <c r="H20" s="3">
        <v>0</v>
      </c>
      <c r="I20" s="3">
        <v>0</v>
      </c>
      <c r="J20" s="3" t="str">
        <v>AB</v>
      </c>
      <c r="K20" s="23">
        <v>42025</v>
      </c>
      <c r="L20" s="22">
        <v>12.247459411621094</v>
      </c>
      <c r="M20"/>
    </row>
    <row r="21" spans="1:13" x14ac:dyDescent="0.25">
      <c r="A21" s="9">
        <v>14</v>
      </c>
      <c r="B21" s="10">
        <v>42027</v>
      </c>
      <c r="C21" s="3">
        <v>12.415425901316716</v>
      </c>
      <c r="D21" s="3">
        <v>12.457417265463002</v>
      </c>
      <c r="E21" s="3">
        <v>12.298783420890702</v>
      </c>
      <c r="F21" s="3">
        <v>12.317445755004883</v>
      </c>
      <c r="G21" s="3">
        <v>348300</v>
      </c>
      <c r="H21" s="3">
        <v>0</v>
      </c>
      <c r="I21" s="3">
        <v>0</v>
      </c>
      <c r="J21" s="3" t="str">
        <v>AB</v>
      </c>
      <c r="K21" s="23">
        <v>42026</v>
      </c>
      <c r="L21" s="22">
        <v>12.429423332214355</v>
      </c>
      <c r="M21"/>
    </row>
    <row r="22" spans="1:13" x14ac:dyDescent="0.25">
      <c r="A22" s="9">
        <v>15</v>
      </c>
      <c r="B22" s="10">
        <v>42030</v>
      </c>
      <c r="C22" s="3">
        <v>12.294121831538897</v>
      </c>
      <c r="D22" s="3">
        <v>12.312784172053913</v>
      </c>
      <c r="E22" s="3">
        <v>12.070168405887859</v>
      </c>
      <c r="F22" s="3">
        <v>12.182145118713379</v>
      </c>
      <c r="G22" s="3">
        <v>254700</v>
      </c>
      <c r="H22" s="3">
        <v>0</v>
      </c>
      <c r="I22" s="3">
        <v>0</v>
      </c>
      <c r="J22" s="3" t="str">
        <v>AB</v>
      </c>
      <c r="K22" s="23">
        <v>42027</v>
      </c>
      <c r="L22" s="22">
        <v>12.317445755004883</v>
      </c>
      <c r="M22"/>
    </row>
    <row r="23" spans="1:13" x14ac:dyDescent="0.25">
      <c r="A23" s="9">
        <v>16</v>
      </c>
      <c r="B23" s="10">
        <v>42031</v>
      </c>
      <c r="C23" s="3">
        <v>11.976854290499579</v>
      </c>
      <c r="D23" s="3">
        <v>12.112159154349321</v>
      </c>
      <c r="E23" s="3">
        <v>11.953526141877433</v>
      </c>
      <c r="F23" s="3">
        <v>12.037508010864258</v>
      </c>
      <c r="G23" s="3">
        <v>211900</v>
      </c>
      <c r="H23" s="3">
        <v>0</v>
      </c>
      <c r="I23" s="3">
        <v>0</v>
      </c>
      <c r="J23" s="3" t="str">
        <v>AB</v>
      </c>
      <c r="K23" s="23">
        <v>42030</v>
      </c>
      <c r="L23" s="22">
        <v>12.182145118713379</v>
      </c>
      <c r="M23"/>
    </row>
    <row r="24" spans="1:13" x14ac:dyDescent="0.25">
      <c r="A24" s="9">
        <v>17</v>
      </c>
      <c r="B24" s="10">
        <v>42032</v>
      </c>
      <c r="C24" s="3">
        <v>12.130817498737091</v>
      </c>
      <c r="D24" s="3">
        <v>12.130817498737091</v>
      </c>
      <c r="E24" s="3">
        <v>11.687575734164803</v>
      </c>
      <c r="F24" s="3">
        <v>11.734232902526855</v>
      </c>
      <c r="G24" s="3">
        <v>204100</v>
      </c>
      <c r="H24" s="3">
        <v>0</v>
      </c>
      <c r="I24" s="3">
        <v>0</v>
      </c>
      <c r="J24" s="3" t="str">
        <v>AB</v>
      </c>
      <c r="K24" s="23">
        <v>42031</v>
      </c>
      <c r="L24" s="22">
        <v>12.037508010864258</v>
      </c>
      <c r="M24"/>
    </row>
    <row r="25" spans="1:13" x14ac:dyDescent="0.25">
      <c r="A25" s="9">
        <v>18</v>
      </c>
      <c r="B25" s="10">
        <v>42033</v>
      </c>
      <c r="C25" s="3">
        <v>11.75756501446935</v>
      </c>
      <c r="D25" s="3">
        <v>11.822884533355966</v>
      </c>
      <c r="E25" s="3">
        <v>11.514948387302351</v>
      </c>
      <c r="F25" s="3">
        <v>11.580267906188965</v>
      </c>
      <c r="G25" s="3">
        <v>462100</v>
      </c>
      <c r="H25" s="3">
        <v>0</v>
      </c>
      <c r="I25" s="3">
        <v>0</v>
      </c>
      <c r="J25" s="3" t="str">
        <v>AB</v>
      </c>
      <c r="K25" s="23">
        <v>42032</v>
      </c>
      <c r="L25" s="22">
        <v>11.734232902526855</v>
      </c>
    </row>
    <row r="26" spans="1:13" x14ac:dyDescent="0.25">
      <c r="A26" s="9">
        <v>19</v>
      </c>
      <c r="B26" s="10">
        <v>42034</v>
      </c>
      <c r="C26" s="3">
        <v>11.519613660552</v>
      </c>
      <c r="D26" s="3">
        <v>11.542941804812886</v>
      </c>
      <c r="E26" s="3">
        <v>11.216343335602179</v>
      </c>
      <c r="F26" s="3">
        <v>11.272331237792969</v>
      </c>
      <c r="G26" s="3">
        <v>762300</v>
      </c>
      <c r="H26" s="3">
        <v>0</v>
      </c>
      <c r="I26" s="3">
        <v>0</v>
      </c>
      <c r="J26" s="3" t="str">
        <v>AB</v>
      </c>
      <c r="K26" s="23">
        <v>42033</v>
      </c>
      <c r="L26" s="22">
        <v>11.580267906188965</v>
      </c>
    </row>
    <row r="27" spans="1:13" x14ac:dyDescent="0.25">
      <c r="A27" s="9">
        <v>20</v>
      </c>
      <c r="B27" s="10">
        <v>42037</v>
      </c>
      <c r="C27" s="3">
        <v>11.286327098123476</v>
      </c>
      <c r="D27" s="3">
        <v>11.477620702336456</v>
      </c>
      <c r="E27" s="3">
        <v>11.225672507571144</v>
      </c>
      <c r="F27" s="3">
        <v>11.370309829711914</v>
      </c>
      <c r="G27" s="3">
        <v>576400</v>
      </c>
      <c r="H27" s="3">
        <v>0</v>
      </c>
      <c r="I27" s="3">
        <v>0</v>
      </c>
      <c r="J27" s="3" t="str">
        <v>AB</v>
      </c>
      <c r="K27" s="23">
        <v>42034</v>
      </c>
      <c r="L27" s="22">
        <v>11.272331237792969</v>
      </c>
    </row>
    <row r="28" spans="1:13" x14ac:dyDescent="0.25">
      <c r="A28" s="9">
        <v>21</v>
      </c>
      <c r="B28" s="10">
        <v>42038</v>
      </c>
      <c r="C28" s="3">
        <v>11.407636827349238</v>
      </c>
      <c r="D28" s="3">
        <v>11.430964971326061</v>
      </c>
      <c r="E28" s="3">
        <v>11.244337149776536</v>
      </c>
      <c r="F28" s="3">
        <v>11.314322471618652</v>
      </c>
      <c r="G28" s="3">
        <v>547800</v>
      </c>
      <c r="H28" s="3">
        <v>0</v>
      </c>
      <c r="I28" s="3">
        <v>0</v>
      </c>
      <c r="J28" s="3" t="str">
        <v>AB</v>
      </c>
      <c r="K28" s="23">
        <v>42037</v>
      </c>
      <c r="L28" s="22">
        <v>11.370309829711914</v>
      </c>
    </row>
    <row r="29" spans="1:13" x14ac:dyDescent="0.25">
      <c r="A29" s="9">
        <v>22</v>
      </c>
      <c r="B29" s="10">
        <v>42039</v>
      </c>
      <c r="C29" s="3">
        <v>11.276997194017284</v>
      </c>
      <c r="D29" s="3">
        <v>11.603596557466213</v>
      </c>
      <c r="E29" s="3">
        <v>11.244337435654726</v>
      </c>
      <c r="F29" s="3">
        <v>11.533610343933105</v>
      </c>
      <c r="G29" s="3">
        <v>340200</v>
      </c>
      <c r="H29" s="3">
        <v>0</v>
      </c>
      <c r="I29" s="3">
        <v>0</v>
      </c>
      <c r="J29" s="3" t="str">
        <v>AB</v>
      </c>
      <c r="K29" s="23">
        <v>42038</v>
      </c>
      <c r="L29" s="22">
        <v>11.314322471618652</v>
      </c>
    </row>
    <row r="30" spans="1:13" x14ac:dyDescent="0.25">
      <c r="A30" s="9">
        <v>23</v>
      </c>
      <c r="B30" s="10">
        <v>42040</v>
      </c>
      <c r="C30" s="3">
        <v>11.603594246280624</v>
      </c>
      <c r="D30" s="3">
        <v>11.762227199600837</v>
      </c>
      <c r="E30" s="3">
        <v>11.54760546458823</v>
      </c>
      <c r="F30" s="3">
        <v>11.659582138061523</v>
      </c>
      <c r="G30" s="3">
        <v>226500</v>
      </c>
      <c r="H30" s="3">
        <v>0</v>
      </c>
      <c r="I30" s="3">
        <v>0</v>
      </c>
      <c r="J30" s="3" t="str">
        <v>AB</v>
      </c>
      <c r="K30" s="23">
        <v>42039</v>
      </c>
      <c r="L30" s="22">
        <v>11.533610343933105</v>
      </c>
    </row>
    <row r="31" spans="1:13" x14ac:dyDescent="0.25">
      <c r="A31" s="9">
        <v>24</v>
      </c>
      <c r="B31" s="10">
        <v>42041</v>
      </c>
      <c r="C31" s="3">
        <v>11.664250905632061</v>
      </c>
      <c r="D31" s="3">
        <v>11.878872695138064</v>
      </c>
      <c r="E31" s="3">
        <v>11.664250905632061</v>
      </c>
      <c r="F31" s="3">
        <v>11.790225028991699</v>
      </c>
      <c r="G31" s="3">
        <v>246300</v>
      </c>
      <c r="H31" s="3">
        <v>0</v>
      </c>
      <c r="I31" s="3">
        <v>0</v>
      </c>
      <c r="J31" s="3" t="str">
        <v>AB</v>
      </c>
      <c r="K31" s="23">
        <v>42040</v>
      </c>
      <c r="L31" s="22">
        <v>11.659582138061523</v>
      </c>
    </row>
    <row r="32" spans="1:13" x14ac:dyDescent="0.25">
      <c r="A32" s="9">
        <v>25</v>
      </c>
      <c r="B32" s="10">
        <v>42044</v>
      </c>
      <c r="C32" s="3">
        <v>11.846211261470433</v>
      </c>
      <c r="D32" s="3">
        <v>11.888202629991513</v>
      </c>
      <c r="E32" s="3">
        <v>11.57093490779295</v>
      </c>
      <c r="F32" s="3">
        <v>11.584932327270508</v>
      </c>
      <c r="G32" s="3">
        <v>351500</v>
      </c>
      <c r="H32" s="3">
        <v>0</v>
      </c>
      <c r="I32" s="3">
        <v>0</v>
      </c>
      <c r="J32" s="3" t="str">
        <v>AB</v>
      </c>
      <c r="K32" s="23">
        <v>42041</v>
      </c>
      <c r="L32" s="22">
        <v>11.790225028991699</v>
      </c>
    </row>
    <row r="33" spans="1:12" x14ac:dyDescent="0.25">
      <c r="A33" s="9">
        <v>26</v>
      </c>
      <c r="B33" s="10">
        <v>42045</v>
      </c>
      <c r="C33" s="3">
        <v>11.673580779840696</v>
      </c>
      <c r="D33" s="3">
        <v>11.692243115753756</v>
      </c>
      <c r="E33" s="3">
        <v>11.54760667525909</v>
      </c>
      <c r="F33" s="3">
        <v>11.575600624084473</v>
      </c>
      <c r="G33" s="3">
        <v>159600</v>
      </c>
      <c r="H33" s="3">
        <v>0</v>
      </c>
      <c r="I33" s="3">
        <v>0</v>
      </c>
      <c r="J33" s="3" t="str">
        <v>AB</v>
      </c>
      <c r="K33" s="23">
        <v>42044</v>
      </c>
      <c r="L33" s="22">
        <v>11.584932327270508</v>
      </c>
    </row>
    <row r="34" spans="1:12" x14ac:dyDescent="0.25">
      <c r="A34" s="9">
        <v>27</v>
      </c>
      <c r="B34" s="10">
        <v>42046</v>
      </c>
      <c r="C34" s="3">
        <v>11.570934567081606</v>
      </c>
      <c r="D34" s="3">
        <v>11.668914720716256</v>
      </c>
      <c r="E34" s="3">
        <v>11.477621109713658</v>
      </c>
      <c r="F34" s="3">
        <v>11.598929405212402</v>
      </c>
      <c r="G34" s="3">
        <v>264700</v>
      </c>
      <c r="H34" s="3">
        <v>0</v>
      </c>
      <c r="I34" s="3">
        <v>0</v>
      </c>
      <c r="J34" s="3" t="str">
        <v>AB</v>
      </c>
      <c r="K34" s="23">
        <v>42045</v>
      </c>
      <c r="L34" s="22">
        <v>11.575600624084473</v>
      </c>
    </row>
    <row r="35" spans="1:12" x14ac:dyDescent="0.25">
      <c r="A35" s="9">
        <v>28</v>
      </c>
      <c r="B35" s="10">
        <v>42047</v>
      </c>
      <c r="C35" s="3">
        <v>11.855540035990078</v>
      </c>
      <c r="D35" s="3">
        <v>12.536732492309017</v>
      </c>
      <c r="E35" s="3">
        <v>11.71090362899735</v>
      </c>
      <c r="F35" s="3">
        <v>12.457415580749512</v>
      </c>
      <c r="G35" s="3">
        <v>582900</v>
      </c>
      <c r="H35" s="3">
        <v>0</v>
      </c>
      <c r="I35" s="3">
        <v>0</v>
      </c>
      <c r="J35" s="3" t="str">
        <v>AB</v>
      </c>
      <c r="K35" s="23">
        <v>42046</v>
      </c>
      <c r="L35" s="22">
        <v>11.598929405212402</v>
      </c>
    </row>
    <row r="36" spans="1:12" x14ac:dyDescent="0.25">
      <c r="A36" s="9">
        <v>29</v>
      </c>
      <c r="B36" s="10">
        <v>42048</v>
      </c>
      <c r="C36" s="3">
        <v>12.210133581239617</v>
      </c>
      <c r="D36" s="3">
        <v>12.700031590690619</v>
      </c>
      <c r="E36" s="3">
        <v>12.084159502268307</v>
      </c>
      <c r="F36" s="3">
        <v>12.676703453063965</v>
      </c>
      <c r="G36" s="3">
        <v>796500</v>
      </c>
      <c r="H36" s="3">
        <v>0</v>
      </c>
      <c r="I36" s="3">
        <v>0</v>
      </c>
      <c r="J36" s="3" t="str">
        <v>AB</v>
      </c>
      <c r="K36" s="23">
        <v>42047</v>
      </c>
      <c r="L36" s="22">
        <v>12.457415580749512</v>
      </c>
    </row>
    <row r="37" spans="1:12" x14ac:dyDescent="0.25">
      <c r="A37" s="9">
        <v>30</v>
      </c>
      <c r="B37" s="10">
        <v>42052</v>
      </c>
      <c r="C37" s="3">
        <v>12.695368946478927</v>
      </c>
      <c r="D37" s="3">
        <v>12.872666040271625</v>
      </c>
      <c r="E37" s="3">
        <v>12.690704029721102</v>
      </c>
      <c r="F37" s="3">
        <v>12.714032173156738</v>
      </c>
      <c r="G37" s="3">
        <v>680200</v>
      </c>
      <c r="H37" s="3">
        <v>0</v>
      </c>
      <c r="I37" s="3">
        <v>0</v>
      </c>
      <c r="J37" s="3" t="str">
        <v>AB</v>
      </c>
      <c r="K37" s="23">
        <v>42048</v>
      </c>
      <c r="L37" s="22">
        <v>12.676703453063965</v>
      </c>
    </row>
    <row r="38" spans="1:12" x14ac:dyDescent="0.25">
      <c r="A38" s="9">
        <v>31</v>
      </c>
      <c r="B38" s="10">
        <v>42053</v>
      </c>
      <c r="C38" s="3">
        <v>12.765352242634862</v>
      </c>
      <c r="D38" s="3">
        <v>12.844669158086463</v>
      </c>
      <c r="E38" s="3">
        <v>12.700031854084974</v>
      </c>
      <c r="F38" s="3">
        <v>12.826005935668945</v>
      </c>
      <c r="G38" s="3">
        <v>346100</v>
      </c>
      <c r="H38" s="3">
        <v>0</v>
      </c>
      <c r="I38" s="3">
        <v>0</v>
      </c>
      <c r="J38" s="3" t="str">
        <v>AB</v>
      </c>
      <c r="K38" s="23">
        <v>42052</v>
      </c>
      <c r="L38" s="22">
        <v>12.714032173156738</v>
      </c>
    </row>
    <row r="39" spans="1:12" x14ac:dyDescent="0.25">
      <c r="A39" s="9">
        <v>32</v>
      </c>
      <c r="B39" s="10">
        <v>42054</v>
      </c>
      <c r="C39" s="3">
        <v>12.849830499501776</v>
      </c>
      <c r="D39" s="3">
        <v>12.92129858371697</v>
      </c>
      <c r="E39" s="3">
        <v>12.725953637951061</v>
      </c>
      <c r="F39" s="3">
        <v>12.864124298095703</v>
      </c>
      <c r="G39" s="3">
        <v>336000</v>
      </c>
      <c r="H39" s="3">
        <v>0.56999999999999995</v>
      </c>
      <c r="I39" s="3">
        <v>0</v>
      </c>
      <c r="J39" s="3" t="str">
        <v>AB</v>
      </c>
      <c r="K39" s="23">
        <v>42053</v>
      </c>
      <c r="L39" s="22">
        <v>12.826005935668945</v>
      </c>
    </row>
    <row r="40" spans="1:12" x14ac:dyDescent="0.25">
      <c r="A40" s="9">
        <v>33</v>
      </c>
      <c r="B40" s="10">
        <v>42055</v>
      </c>
      <c r="C40" s="3">
        <v>12.897473824064182</v>
      </c>
      <c r="D40" s="3">
        <v>12.968940989761405</v>
      </c>
      <c r="E40" s="3">
        <v>12.835535856127738</v>
      </c>
      <c r="F40" s="3">
        <v>12.94511890411377</v>
      </c>
      <c r="G40" s="3">
        <v>254900</v>
      </c>
      <c r="H40" s="3">
        <v>0</v>
      </c>
      <c r="I40" s="3">
        <v>0</v>
      </c>
      <c r="J40" s="3" t="str">
        <v>AB</v>
      </c>
      <c r="K40" s="23">
        <v>42054</v>
      </c>
      <c r="L40" s="22">
        <v>12.864124298095703</v>
      </c>
    </row>
    <row r="41" spans="1:12" x14ac:dyDescent="0.25">
      <c r="A41" s="9">
        <v>34</v>
      </c>
      <c r="B41" s="10">
        <v>42058</v>
      </c>
      <c r="C41" s="3">
        <v>12.94512093287903</v>
      </c>
      <c r="D41" s="3">
        <v>13.007058910522423</v>
      </c>
      <c r="E41" s="3">
        <v>12.730718493431793</v>
      </c>
      <c r="F41" s="3">
        <v>12.840302467346191</v>
      </c>
      <c r="G41" s="3">
        <v>266900</v>
      </c>
      <c r="H41" s="3">
        <v>0</v>
      </c>
      <c r="I41" s="3">
        <v>0</v>
      </c>
      <c r="J41" s="3" t="str">
        <v>AB</v>
      </c>
      <c r="K41" s="23">
        <v>42055</v>
      </c>
      <c r="L41" s="22">
        <v>12.94511890411377</v>
      </c>
    </row>
    <row r="42" spans="1:12" x14ac:dyDescent="0.25">
      <c r="A42" s="9">
        <v>35</v>
      </c>
      <c r="B42" s="10">
        <v>42059</v>
      </c>
      <c r="C42" s="3">
        <v>12.845064965518468</v>
      </c>
      <c r="D42" s="3">
        <v>12.992764813980868</v>
      </c>
      <c r="E42" s="3">
        <v>12.797420791180274</v>
      </c>
      <c r="F42" s="3">
        <v>12.959413528442383</v>
      </c>
      <c r="G42" s="3">
        <v>475400</v>
      </c>
      <c r="H42" s="3">
        <v>0</v>
      </c>
      <c r="I42" s="3">
        <v>0</v>
      </c>
      <c r="J42" s="3" t="str">
        <v>AB</v>
      </c>
      <c r="K42" s="23">
        <v>42058</v>
      </c>
      <c r="L42" s="22">
        <v>12.840302467346191</v>
      </c>
    </row>
    <row r="43" spans="1:12" x14ac:dyDescent="0.25">
      <c r="A43" s="9">
        <v>36</v>
      </c>
      <c r="B43" s="10">
        <v>42060</v>
      </c>
      <c r="C43" s="3">
        <v>12.959413205723578</v>
      </c>
      <c r="D43" s="3">
        <v>13.116641339885653</v>
      </c>
      <c r="E43" s="3">
        <v>12.887945128487255</v>
      </c>
      <c r="F43" s="3">
        <v>13.08328914642334</v>
      </c>
      <c r="G43" s="3">
        <v>350800</v>
      </c>
      <c r="H43" s="3">
        <v>0</v>
      </c>
      <c r="I43" s="3">
        <v>0</v>
      </c>
      <c r="J43" s="3" t="str">
        <v>AB</v>
      </c>
      <c r="K43" s="23">
        <v>42059</v>
      </c>
      <c r="L43" s="22">
        <v>12.959413528442383</v>
      </c>
    </row>
    <row r="44" spans="1:12" x14ac:dyDescent="0.25">
      <c r="A44" s="9">
        <v>37</v>
      </c>
      <c r="B44" s="10">
        <v>42061</v>
      </c>
      <c r="C44" s="3">
        <v>13.288163686478951</v>
      </c>
      <c r="D44" s="3">
        <v>13.554975808235609</v>
      </c>
      <c r="E44" s="3">
        <v>13.169051424222941</v>
      </c>
      <c r="F44" s="3">
        <v>13.521623611450195</v>
      </c>
      <c r="G44" s="3">
        <v>837300</v>
      </c>
      <c r="H44" s="3">
        <v>0</v>
      </c>
      <c r="I44" s="3">
        <v>0</v>
      </c>
      <c r="J44" s="3" t="str">
        <v>AB</v>
      </c>
      <c r="K44" s="23">
        <v>42060</v>
      </c>
      <c r="L44" s="22">
        <v>13.08328914642334</v>
      </c>
    </row>
    <row r="45" spans="1:12" x14ac:dyDescent="0.25">
      <c r="A45" s="9">
        <v>38</v>
      </c>
      <c r="B45" s="10">
        <v>42062</v>
      </c>
      <c r="C45" s="3">
        <v>13.512095033818149</v>
      </c>
      <c r="D45" s="3">
        <v>13.655029381984399</v>
      </c>
      <c r="E45" s="3">
        <v>13.483507437181361</v>
      </c>
      <c r="F45" s="3">
        <v>13.645500183105469</v>
      </c>
      <c r="G45" s="3">
        <v>418200</v>
      </c>
      <c r="H45" s="3">
        <v>0</v>
      </c>
      <c r="I45" s="3">
        <v>0</v>
      </c>
      <c r="J45" s="3" t="str">
        <v>AB</v>
      </c>
      <c r="K45" s="23">
        <v>42061</v>
      </c>
      <c r="L45" s="22">
        <v>13.521623611450195</v>
      </c>
    </row>
    <row r="46" spans="1:12" x14ac:dyDescent="0.25">
      <c r="A46" s="9">
        <v>39</v>
      </c>
      <c r="B46" s="10">
        <v>42065</v>
      </c>
      <c r="C46" s="3">
        <v>13.769378102132242</v>
      </c>
      <c r="D46" s="3">
        <v>13.831316990858454</v>
      </c>
      <c r="E46" s="3">
        <v>13.674088832271559</v>
      </c>
      <c r="F46" s="3">
        <v>13.826552391052246</v>
      </c>
      <c r="G46" s="3">
        <v>532200</v>
      </c>
      <c r="H46" s="3">
        <v>0</v>
      </c>
      <c r="I46" s="3">
        <v>0</v>
      </c>
      <c r="J46" s="3" t="str">
        <v>AB</v>
      </c>
      <c r="K46" s="23">
        <v>42062</v>
      </c>
      <c r="L46" s="22">
        <v>13.645500183105469</v>
      </c>
    </row>
    <row r="47" spans="1:12" x14ac:dyDescent="0.25">
      <c r="A47" s="9">
        <v>40</v>
      </c>
      <c r="B47" s="10">
        <v>42066</v>
      </c>
      <c r="C47" s="3">
        <v>13.80272725729089</v>
      </c>
      <c r="D47" s="3">
        <v>13.826550252637466</v>
      </c>
      <c r="E47" s="3">
        <v>13.531151471620403</v>
      </c>
      <c r="F47" s="3">
        <v>13.755083084106445</v>
      </c>
      <c r="G47" s="3">
        <v>321700</v>
      </c>
      <c r="H47" s="3">
        <v>0</v>
      </c>
      <c r="I47" s="3">
        <v>0</v>
      </c>
      <c r="J47" s="3" t="str">
        <v>AB</v>
      </c>
      <c r="K47" s="23">
        <v>42065</v>
      </c>
      <c r="L47" s="22">
        <v>13.826552391052246</v>
      </c>
    </row>
    <row r="48" spans="1:12" x14ac:dyDescent="0.25">
      <c r="A48" s="9">
        <v>41</v>
      </c>
      <c r="B48" s="10">
        <v>42067</v>
      </c>
      <c r="C48" s="3">
        <v>13.688379437703508</v>
      </c>
      <c r="D48" s="3">
        <v>13.736024519056897</v>
      </c>
      <c r="E48" s="3">
        <v>13.559737990675657</v>
      </c>
      <c r="F48" s="3">
        <v>13.57879638671875</v>
      </c>
      <c r="G48" s="3">
        <v>290800</v>
      </c>
      <c r="H48" s="3">
        <v>0</v>
      </c>
      <c r="I48" s="3">
        <v>0</v>
      </c>
      <c r="J48" s="3" t="str">
        <v>AB</v>
      </c>
      <c r="K48" s="23">
        <v>42066</v>
      </c>
      <c r="L48" s="22">
        <v>13.755083084106445</v>
      </c>
    </row>
    <row r="49" spans="1:12" x14ac:dyDescent="0.25">
      <c r="A49" s="9">
        <v>42</v>
      </c>
      <c r="B49" s="10">
        <v>42068</v>
      </c>
      <c r="C49" s="3">
        <v>13.583566312768077</v>
      </c>
      <c r="D49" s="3">
        <v>13.774145804166455</v>
      </c>
      <c r="E49" s="3">
        <v>13.5502150153677</v>
      </c>
      <c r="F49" s="3">
        <v>13.616917610168457</v>
      </c>
      <c r="G49" s="3">
        <v>334600</v>
      </c>
      <c r="H49" s="3">
        <v>0</v>
      </c>
      <c r="I49" s="3">
        <v>0</v>
      </c>
      <c r="J49" s="3" t="str">
        <v>AB</v>
      </c>
      <c r="K49" s="23">
        <v>42067</v>
      </c>
      <c r="L49" s="22">
        <v>13.57879638671875</v>
      </c>
    </row>
    <row r="50" spans="1:12" x14ac:dyDescent="0.25">
      <c r="A50" s="9">
        <v>43</v>
      </c>
      <c r="B50" s="10">
        <v>42069</v>
      </c>
      <c r="C50" s="3">
        <v>13.564500524490089</v>
      </c>
      <c r="D50" s="3">
        <v>13.702671148502997</v>
      </c>
      <c r="E50" s="3">
        <v>13.493033367718056</v>
      </c>
      <c r="F50" s="3">
        <v>13.497797966003418</v>
      </c>
      <c r="G50" s="3">
        <v>246900</v>
      </c>
      <c r="H50" s="3">
        <v>0</v>
      </c>
      <c r="I50" s="3">
        <v>0</v>
      </c>
      <c r="J50" s="3" t="str">
        <v>AB</v>
      </c>
      <c r="K50" s="23">
        <v>42068</v>
      </c>
      <c r="L50" s="22">
        <v>13.616917610168457</v>
      </c>
    </row>
    <row r="51" spans="1:12" x14ac:dyDescent="0.25">
      <c r="A51" s="9">
        <v>44</v>
      </c>
      <c r="B51" s="10">
        <v>42072</v>
      </c>
      <c r="C51" s="3">
        <v>13.564503084161654</v>
      </c>
      <c r="D51" s="3">
        <v>13.626441964805259</v>
      </c>
      <c r="E51" s="3">
        <v>13.283398093559134</v>
      </c>
      <c r="F51" s="3">
        <v>13.43586254119873</v>
      </c>
      <c r="G51" s="3">
        <v>381700</v>
      </c>
      <c r="H51" s="3">
        <v>0</v>
      </c>
      <c r="I51" s="3">
        <v>0</v>
      </c>
      <c r="J51" s="3" t="str">
        <v>AB</v>
      </c>
      <c r="K51" s="23">
        <v>42069</v>
      </c>
      <c r="L51" s="22">
        <v>13.497797966003418</v>
      </c>
    </row>
    <row r="52" spans="1:12" x14ac:dyDescent="0.25">
      <c r="A52" s="9">
        <v>45</v>
      </c>
      <c r="B52" s="10">
        <v>42073</v>
      </c>
      <c r="C52" s="3">
        <v>13.254813972760237</v>
      </c>
      <c r="D52" s="3">
        <v>13.392984649590268</v>
      </c>
      <c r="E52" s="3">
        <v>13.121408804791436</v>
      </c>
      <c r="F52" s="3">
        <v>13.364397048950195</v>
      </c>
      <c r="G52" s="3">
        <v>275300</v>
      </c>
      <c r="H52" s="3">
        <v>0</v>
      </c>
      <c r="I52" s="3">
        <v>0</v>
      </c>
      <c r="J52" s="3" t="str">
        <v>AB</v>
      </c>
      <c r="K52" s="23">
        <v>42072</v>
      </c>
      <c r="L52" s="22">
        <v>13.43586254119873</v>
      </c>
    </row>
    <row r="53" spans="1:12" x14ac:dyDescent="0.25">
      <c r="A53" s="9">
        <v>46</v>
      </c>
      <c r="B53" s="10">
        <v>42074</v>
      </c>
      <c r="C53" s="3">
        <v>13.397745410289323</v>
      </c>
      <c r="D53" s="3">
        <v>13.478741771382538</v>
      </c>
      <c r="E53" s="3">
        <v>13.169049214479235</v>
      </c>
      <c r="F53" s="3">
        <v>13.464447975158691</v>
      </c>
      <c r="G53" s="3">
        <v>262500</v>
      </c>
      <c r="H53" s="3">
        <v>0</v>
      </c>
      <c r="I53" s="3">
        <v>0</v>
      </c>
      <c r="J53" s="3" t="str">
        <v>AB</v>
      </c>
      <c r="K53" s="23">
        <v>42073</v>
      </c>
      <c r="L53" s="22">
        <v>13.364397048950195</v>
      </c>
    </row>
    <row r="54" spans="1:12" x14ac:dyDescent="0.25">
      <c r="A54" s="9">
        <v>47</v>
      </c>
      <c r="B54" s="10">
        <v>42075</v>
      </c>
      <c r="C54" s="3">
        <v>13.659792022258612</v>
      </c>
      <c r="D54" s="3">
        <v>13.750317581115905</v>
      </c>
      <c r="E54" s="3">
        <v>13.383451655684929</v>
      </c>
      <c r="F54" s="3">
        <v>13.459683418273926</v>
      </c>
      <c r="G54" s="3">
        <v>472900</v>
      </c>
      <c r="H54" s="3">
        <v>0</v>
      </c>
      <c r="I54" s="3">
        <v>0</v>
      </c>
      <c r="J54" s="3" t="str">
        <v>AB</v>
      </c>
      <c r="K54" s="23">
        <v>42074</v>
      </c>
      <c r="L54" s="22">
        <v>13.464447975158691</v>
      </c>
    </row>
    <row r="55" spans="1:12" x14ac:dyDescent="0.25">
      <c r="A55" s="9">
        <v>48</v>
      </c>
      <c r="B55" s="10">
        <v>42076</v>
      </c>
      <c r="C55" s="3">
        <v>13.426331008464222</v>
      </c>
      <c r="D55" s="3">
        <v>13.607381202223586</v>
      </c>
      <c r="E55" s="3">
        <v>13.350099252275625</v>
      </c>
      <c r="F55" s="3">
        <v>13.574029922485352</v>
      </c>
      <c r="G55" s="3">
        <v>395200</v>
      </c>
      <c r="H55" s="3">
        <v>0</v>
      </c>
      <c r="I55" s="3">
        <v>0</v>
      </c>
      <c r="J55" s="3" t="str">
        <v>AB</v>
      </c>
      <c r="K55" s="23">
        <v>42075</v>
      </c>
      <c r="L55" s="22">
        <v>13.459683418273926</v>
      </c>
    </row>
    <row r="56" spans="1:12" x14ac:dyDescent="0.25">
      <c r="A56" s="9">
        <v>49</v>
      </c>
      <c r="B56" s="10">
        <v>42079</v>
      </c>
      <c r="C56" s="3">
        <v>13.674089475065013</v>
      </c>
      <c r="D56" s="3">
        <v>14.055248389934299</v>
      </c>
      <c r="E56" s="3">
        <v>13.58832849203079</v>
      </c>
      <c r="F56" s="3">
        <v>14.04095458984375</v>
      </c>
      <c r="G56" s="3">
        <v>404600</v>
      </c>
      <c r="H56" s="3">
        <v>0</v>
      </c>
      <c r="I56" s="3">
        <v>0</v>
      </c>
      <c r="J56" s="3" t="str">
        <v>AB</v>
      </c>
      <c r="K56" s="23">
        <v>42076</v>
      </c>
      <c r="L56" s="22">
        <v>13.574029922485352</v>
      </c>
    </row>
    <row r="57" spans="1:12" x14ac:dyDescent="0.25">
      <c r="A57" s="9">
        <v>50</v>
      </c>
      <c r="B57" s="10">
        <v>42080</v>
      </c>
      <c r="C57" s="3">
        <v>13.874199473481568</v>
      </c>
      <c r="D57" s="3">
        <v>13.96472415654052</v>
      </c>
      <c r="E57" s="3">
        <v>13.821789776838768</v>
      </c>
      <c r="F57" s="3">
        <v>13.912315368652344</v>
      </c>
      <c r="G57" s="3">
        <v>408000</v>
      </c>
      <c r="H57" s="3">
        <v>0</v>
      </c>
      <c r="I57" s="3">
        <v>0</v>
      </c>
      <c r="J57" s="3" t="str">
        <v>AB</v>
      </c>
      <c r="K57" s="23">
        <v>42079</v>
      </c>
      <c r="L57" s="22">
        <v>14.04095458984375</v>
      </c>
    </row>
    <row r="58" spans="1:12" x14ac:dyDescent="0.25">
      <c r="A58" s="9">
        <v>51</v>
      </c>
      <c r="B58" s="10">
        <v>42081</v>
      </c>
      <c r="C58" s="3">
        <v>13.912311692530562</v>
      </c>
      <c r="D58" s="3">
        <v>14.493579167482242</v>
      </c>
      <c r="E58" s="3">
        <v>13.898017894835462</v>
      </c>
      <c r="F58" s="3">
        <v>14.469757080078125</v>
      </c>
      <c r="G58" s="3">
        <v>451300</v>
      </c>
      <c r="H58" s="3">
        <v>0</v>
      </c>
      <c r="I58" s="3">
        <v>0</v>
      </c>
      <c r="J58" s="3" t="str">
        <v>AB</v>
      </c>
      <c r="K58" s="23">
        <v>42080</v>
      </c>
      <c r="L58" s="22">
        <v>13.912315368652344</v>
      </c>
    </row>
    <row r="59" spans="1:12" x14ac:dyDescent="0.25">
      <c r="A59" s="9">
        <v>52</v>
      </c>
      <c r="B59" s="10">
        <v>42082</v>
      </c>
      <c r="C59" s="3">
        <v>14.45070106301154</v>
      </c>
      <c r="D59" s="3">
        <v>14.612693828550116</v>
      </c>
      <c r="E59" s="3">
        <v>14.364940080225878</v>
      </c>
      <c r="F59" s="3">
        <v>14.512639045715332</v>
      </c>
      <c r="G59" s="3">
        <v>302700</v>
      </c>
      <c r="H59" s="3">
        <v>0</v>
      </c>
      <c r="I59" s="3">
        <v>0</v>
      </c>
      <c r="J59" s="3" t="str">
        <v>AB</v>
      </c>
      <c r="K59" s="23">
        <v>42081</v>
      </c>
      <c r="L59" s="22">
        <v>14.469757080078125</v>
      </c>
    </row>
    <row r="60" spans="1:12" x14ac:dyDescent="0.25">
      <c r="A60" s="9">
        <v>53</v>
      </c>
      <c r="B60" s="10">
        <v>42083</v>
      </c>
      <c r="C60" s="3">
        <v>14.646042881958232</v>
      </c>
      <c r="D60" s="3">
        <v>14.769919737191659</v>
      </c>
      <c r="E60" s="3">
        <v>14.626985393559304</v>
      </c>
      <c r="F60" s="3">
        <v>14.736568450927734</v>
      </c>
      <c r="G60" s="3">
        <v>447400</v>
      </c>
      <c r="H60" s="3">
        <v>0</v>
      </c>
      <c r="I60" s="3">
        <v>0</v>
      </c>
      <c r="J60" s="3" t="str">
        <v>AB</v>
      </c>
      <c r="K60" s="23">
        <v>42082</v>
      </c>
      <c r="L60" s="22">
        <v>14.512639045715332</v>
      </c>
    </row>
    <row r="61" spans="1:12" x14ac:dyDescent="0.25">
      <c r="A61" s="9">
        <v>54</v>
      </c>
      <c r="B61" s="10">
        <v>42086</v>
      </c>
      <c r="C61" s="3">
        <v>14.741334116915972</v>
      </c>
      <c r="D61" s="3">
        <v>14.769920805960131</v>
      </c>
      <c r="E61" s="3">
        <v>14.426877811166856</v>
      </c>
      <c r="F61" s="3">
        <v>14.536460876464844</v>
      </c>
      <c r="G61" s="3">
        <v>304700</v>
      </c>
      <c r="H61" s="3">
        <v>0</v>
      </c>
      <c r="I61" s="3">
        <v>0</v>
      </c>
      <c r="J61" s="3" t="str">
        <v>AB</v>
      </c>
      <c r="K61" s="23">
        <v>42083</v>
      </c>
      <c r="L61" s="22">
        <v>14.736568450927734</v>
      </c>
    </row>
    <row r="62" spans="1:12" x14ac:dyDescent="0.25">
      <c r="A62" s="9">
        <v>55</v>
      </c>
      <c r="B62" s="10">
        <v>42087</v>
      </c>
      <c r="C62" s="3">
        <v>14.526930375916095</v>
      </c>
      <c r="D62" s="3">
        <v>14.526930375916095</v>
      </c>
      <c r="E62" s="3">
        <v>14.274412070508292</v>
      </c>
      <c r="F62" s="3">
        <v>14.283941268920898</v>
      </c>
      <c r="G62" s="3">
        <v>213100</v>
      </c>
      <c r="H62" s="3">
        <v>0</v>
      </c>
      <c r="I62" s="3">
        <v>0</v>
      </c>
      <c r="J62" s="3" t="str">
        <v>AB</v>
      </c>
      <c r="K62" s="23">
        <v>42086</v>
      </c>
      <c r="L62" s="22">
        <v>14.536460876464844</v>
      </c>
    </row>
    <row r="63" spans="1:12" x14ac:dyDescent="0.25">
      <c r="A63" s="9">
        <v>56</v>
      </c>
      <c r="B63" s="10">
        <v>42088</v>
      </c>
      <c r="C63" s="3">
        <v>14.336347497608696</v>
      </c>
      <c r="D63" s="3">
        <v>14.507869392696069</v>
      </c>
      <c r="E63" s="3">
        <v>14.226764468526945</v>
      </c>
      <c r="F63" s="3">
        <v>14.345876693725586</v>
      </c>
      <c r="G63" s="3">
        <v>377000</v>
      </c>
      <c r="H63" s="3">
        <v>0</v>
      </c>
      <c r="I63" s="3">
        <v>0</v>
      </c>
      <c r="J63" s="3" t="str">
        <v>AB</v>
      </c>
      <c r="K63" s="23">
        <v>42087</v>
      </c>
      <c r="L63" s="22">
        <v>14.283941268920898</v>
      </c>
    </row>
    <row r="64" spans="1:12" x14ac:dyDescent="0.25">
      <c r="A64" s="9">
        <v>57</v>
      </c>
      <c r="B64" s="10">
        <v>42089</v>
      </c>
      <c r="C64" s="3">
        <v>14.293468630120973</v>
      </c>
      <c r="D64" s="3">
        <v>14.422110065893085</v>
      </c>
      <c r="E64" s="3">
        <v>14.264881947311924</v>
      </c>
      <c r="F64" s="3">
        <v>14.374464988708496</v>
      </c>
      <c r="G64" s="3">
        <v>206300</v>
      </c>
      <c r="H64" s="3">
        <v>0</v>
      </c>
      <c r="I64" s="3">
        <v>0</v>
      </c>
      <c r="J64" s="3" t="str">
        <v>AB</v>
      </c>
      <c r="K64" s="23">
        <v>42088</v>
      </c>
      <c r="L64" s="22">
        <v>14.345876693725586</v>
      </c>
    </row>
    <row r="65" spans="1:12" x14ac:dyDescent="0.25">
      <c r="A65" s="9">
        <v>58</v>
      </c>
      <c r="B65" s="10">
        <v>42090</v>
      </c>
      <c r="C65" s="3">
        <v>14.464988458465861</v>
      </c>
      <c r="D65" s="3">
        <v>14.498339735059156</v>
      </c>
      <c r="E65" s="3">
        <v>14.212470221931561</v>
      </c>
      <c r="F65" s="3">
        <v>14.488810539245605</v>
      </c>
      <c r="G65" s="3">
        <v>212100</v>
      </c>
      <c r="H65" s="3">
        <v>0</v>
      </c>
      <c r="I65" s="3">
        <v>0</v>
      </c>
      <c r="J65" s="3" t="str">
        <v>AB</v>
      </c>
      <c r="K65" s="23">
        <v>42089</v>
      </c>
      <c r="L65" s="22">
        <v>14.374464988708496</v>
      </c>
    </row>
    <row r="66" spans="1:12" x14ac:dyDescent="0.25">
      <c r="A66" s="9">
        <v>59</v>
      </c>
      <c r="B66" s="10">
        <v>42093</v>
      </c>
      <c r="C66" s="3">
        <v>14.493576856390902</v>
      </c>
      <c r="D66" s="3">
        <v>14.731801327463234</v>
      </c>
      <c r="E66" s="3">
        <v>14.388758416270601</v>
      </c>
      <c r="F66" s="3">
        <v>14.703214645385742</v>
      </c>
      <c r="G66" s="3">
        <v>200400</v>
      </c>
      <c r="H66" s="3">
        <v>0</v>
      </c>
      <c r="I66" s="3">
        <v>0</v>
      </c>
      <c r="J66" s="3" t="str">
        <v>AB</v>
      </c>
      <c r="K66" s="23">
        <v>42090</v>
      </c>
      <c r="L66" s="22">
        <v>14.488810539245605</v>
      </c>
    </row>
    <row r="67" spans="1:12" x14ac:dyDescent="0.25">
      <c r="A67" s="9">
        <v>60</v>
      </c>
      <c r="B67" s="10">
        <v>42094</v>
      </c>
      <c r="C67" s="3">
        <v>14.631747484420357</v>
      </c>
      <c r="D67" s="3">
        <v>14.717508444725375</v>
      </c>
      <c r="E67" s="3">
        <v>14.436403478727499</v>
      </c>
      <c r="F67" s="3">
        <v>14.707980155944824</v>
      </c>
      <c r="G67" s="3">
        <v>166600</v>
      </c>
      <c r="H67" s="3">
        <v>0</v>
      </c>
      <c r="I67" s="3">
        <v>0</v>
      </c>
      <c r="J67" s="3" t="str">
        <v>AB</v>
      </c>
      <c r="K67" s="23">
        <v>42093</v>
      </c>
      <c r="L67" s="22">
        <v>14.703214645385742</v>
      </c>
    </row>
    <row r="68" spans="1:12" x14ac:dyDescent="0.25">
      <c r="A68" s="9">
        <v>61</v>
      </c>
      <c r="B68" s="10">
        <v>42095</v>
      </c>
      <c r="C68" s="3">
        <v>14.755625939326665</v>
      </c>
      <c r="D68" s="3">
        <v>14.769919737191659</v>
      </c>
      <c r="E68" s="3">
        <v>14.555517312988732</v>
      </c>
      <c r="F68" s="3">
        <v>14.736568450927734</v>
      </c>
      <c r="G68" s="3">
        <v>198000</v>
      </c>
      <c r="H68" s="3">
        <v>0</v>
      </c>
      <c r="I68" s="3">
        <v>0</v>
      </c>
      <c r="J68" s="3" t="str">
        <v>AB</v>
      </c>
      <c r="K68" s="23">
        <v>42094</v>
      </c>
      <c r="L68" s="22">
        <v>14.707980155944824</v>
      </c>
    </row>
    <row r="69" spans="1:12" x14ac:dyDescent="0.25">
      <c r="A69" s="9">
        <v>62</v>
      </c>
      <c r="B69" s="10">
        <v>42096</v>
      </c>
      <c r="C69" s="3">
        <v>14.746100642573481</v>
      </c>
      <c r="D69" s="3">
        <v>14.865212922695223</v>
      </c>
      <c r="E69" s="3">
        <v>14.646045854718837</v>
      </c>
      <c r="F69" s="3">
        <v>14.722277641296387</v>
      </c>
      <c r="G69" s="3">
        <v>225200</v>
      </c>
      <c r="H69" s="3">
        <v>0</v>
      </c>
      <c r="I69" s="3">
        <v>0</v>
      </c>
      <c r="J69" s="3" t="str">
        <v>AB</v>
      </c>
      <c r="K69" s="23">
        <v>42095</v>
      </c>
      <c r="L69" s="22">
        <v>14.736568450927734</v>
      </c>
    </row>
    <row r="70" spans="1:12" x14ac:dyDescent="0.25">
      <c r="A70" s="9">
        <v>63</v>
      </c>
      <c r="B70" s="10">
        <v>42100</v>
      </c>
      <c r="C70" s="3">
        <v>14.612695397496084</v>
      </c>
      <c r="D70" s="3">
        <v>14.727043083902815</v>
      </c>
      <c r="E70" s="3">
        <v>14.49358311056141</v>
      </c>
      <c r="F70" s="3">
        <v>14.55075740814209</v>
      </c>
      <c r="G70" s="3">
        <v>206100</v>
      </c>
      <c r="H70" s="3">
        <v>0</v>
      </c>
      <c r="I70" s="3">
        <v>0</v>
      </c>
      <c r="J70" s="3" t="str">
        <v>AB</v>
      </c>
      <c r="K70" s="23">
        <v>42096</v>
      </c>
      <c r="L70" s="22">
        <v>14.722277641296387</v>
      </c>
    </row>
    <row r="71" spans="1:12" x14ac:dyDescent="0.25">
      <c r="A71" s="9">
        <v>64</v>
      </c>
      <c r="B71" s="10">
        <v>42101</v>
      </c>
      <c r="C71" s="3">
        <v>14.55075362006882</v>
      </c>
      <c r="D71" s="3">
        <v>14.655572078131732</v>
      </c>
      <c r="E71" s="3">
        <v>14.426876764855708</v>
      </c>
      <c r="F71" s="3">
        <v>14.450698852539063</v>
      </c>
      <c r="G71" s="3">
        <v>106300</v>
      </c>
      <c r="H71" s="3">
        <v>0</v>
      </c>
      <c r="I71" s="3">
        <v>0</v>
      </c>
      <c r="J71" s="3" t="str">
        <v>AB</v>
      </c>
      <c r="K71" s="23">
        <v>42100</v>
      </c>
      <c r="L71" s="22">
        <v>14.55075740814209</v>
      </c>
    </row>
    <row r="72" spans="1:12" x14ac:dyDescent="0.25">
      <c r="A72" s="9">
        <v>65</v>
      </c>
      <c r="B72" s="10">
        <v>42102</v>
      </c>
      <c r="C72" s="3">
        <v>14.488814262345514</v>
      </c>
      <c r="D72" s="3">
        <v>14.707981278604494</v>
      </c>
      <c r="E72" s="3">
        <v>14.360172812068788</v>
      </c>
      <c r="F72" s="3">
        <v>14.688922882080078</v>
      </c>
      <c r="G72" s="3">
        <v>157000</v>
      </c>
      <c r="H72" s="3">
        <v>0</v>
      </c>
      <c r="I72" s="3">
        <v>0</v>
      </c>
      <c r="J72" s="3" t="str">
        <v>AB</v>
      </c>
      <c r="K72" s="23">
        <v>42101</v>
      </c>
      <c r="L72" s="22">
        <v>14.450698852539063</v>
      </c>
    </row>
    <row r="73" spans="1:12" x14ac:dyDescent="0.25">
      <c r="A73" s="9">
        <v>66</v>
      </c>
      <c r="B73" s="10">
        <v>42103</v>
      </c>
      <c r="C73" s="3">
        <v>14.727038656367805</v>
      </c>
      <c r="D73" s="3">
        <v>14.841386308397073</v>
      </c>
      <c r="E73" s="3">
        <v>14.703216569644592</v>
      </c>
      <c r="F73" s="3">
        <v>14.793741226196289</v>
      </c>
      <c r="G73" s="3">
        <v>160400</v>
      </c>
      <c r="H73" s="3">
        <v>0</v>
      </c>
      <c r="I73" s="3">
        <v>0</v>
      </c>
      <c r="J73" s="3" t="str">
        <v>AB</v>
      </c>
      <c r="K73" s="23">
        <v>42102</v>
      </c>
      <c r="L73" s="22">
        <v>14.688922882080078</v>
      </c>
    </row>
    <row r="74" spans="1:12" x14ac:dyDescent="0.25">
      <c r="A74" s="9">
        <v>67</v>
      </c>
      <c r="B74" s="10">
        <v>42104</v>
      </c>
      <c r="C74" s="3">
        <v>14.793744689997718</v>
      </c>
      <c r="D74" s="3">
        <v>14.931915369855785</v>
      </c>
      <c r="E74" s="3">
        <v>14.727042104551517</v>
      </c>
      <c r="F74" s="3">
        <v>14.922386169433594</v>
      </c>
      <c r="G74" s="3">
        <v>120500</v>
      </c>
      <c r="H74" s="3">
        <v>0</v>
      </c>
      <c r="I74" s="3">
        <v>0</v>
      </c>
      <c r="J74" s="3" t="str">
        <v>AB</v>
      </c>
      <c r="K74" s="23">
        <v>42103</v>
      </c>
      <c r="L74" s="22">
        <v>14.793741226196289</v>
      </c>
    </row>
    <row r="75" spans="1:12" x14ac:dyDescent="0.25">
      <c r="A75" s="9">
        <v>68</v>
      </c>
      <c r="B75" s="10">
        <v>42107</v>
      </c>
      <c r="C75" s="3">
        <v>14.869975611337493</v>
      </c>
      <c r="D75" s="3">
        <v>15.07484886473059</v>
      </c>
      <c r="E75" s="3">
        <v>14.865211920157924</v>
      </c>
      <c r="F75" s="3">
        <v>14.912856101989746</v>
      </c>
      <c r="G75" s="3">
        <v>206100</v>
      </c>
      <c r="H75" s="3">
        <v>0</v>
      </c>
      <c r="I75" s="3">
        <v>0</v>
      </c>
      <c r="J75" s="3" t="str">
        <v>AB</v>
      </c>
      <c r="K75" s="23">
        <v>42104</v>
      </c>
      <c r="L75" s="22">
        <v>14.922386169433594</v>
      </c>
    </row>
    <row r="76" spans="1:12" x14ac:dyDescent="0.25">
      <c r="A76" s="9">
        <v>69</v>
      </c>
      <c r="B76" s="10">
        <v>42108</v>
      </c>
      <c r="C76" s="3">
        <v>14.817565687969573</v>
      </c>
      <c r="D76" s="3">
        <v>15.246369652700896</v>
      </c>
      <c r="E76" s="3">
        <v>14.769920601053993</v>
      </c>
      <c r="F76" s="3">
        <v>15.122492790222168</v>
      </c>
      <c r="G76" s="3">
        <v>307900</v>
      </c>
      <c r="H76" s="3">
        <v>0</v>
      </c>
      <c r="I76" s="3">
        <v>0</v>
      </c>
      <c r="J76" s="3" t="str">
        <v>AB</v>
      </c>
      <c r="K76" s="23">
        <v>42107</v>
      </c>
      <c r="L76" s="22">
        <v>14.912856101989746</v>
      </c>
    </row>
    <row r="77" spans="1:12" x14ac:dyDescent="0.25">
      <c r="A77" s="9">
        <v>70</v>
      </c>
      <c r="B77" s="10">
        <v>42109</v>
      </c>
      <c r="C77" s="3">
        <v>15.179667730164242</v>
      </c>
      <c r="D77" s="3">
        <v>15.193960620726495</v>
      </c>
      <c r="E77" s="3">
        <v>15.07008375291154</v>
      </c>
      <c r="F77" s="3">
        <v>15.151080131530762</v>
      </c>
      <c r="G77" s="3">
        <v>339000</v>
      </c>
      <c r="H77" s="3">
        <v>0</v>
      </c>
      <c r="I77" s="3">
        <v>0</v>
      </c>
      <c r="J77" s="3" t="str">
        <v>AB</v>
      </c>
      <c r="K77" s="23">
        <v>42108</v>
      </c>
      <c r="L77" s="22">
        <v>15.122492790222168</v>
      </c>
    </row>
    <row r="78" spans="1:12" x14ac:dyDescent="0.25">
      <c r="A78" s="9">
        <v>71</v>
      </c>
      <c r="B78" s="10">
        <v>42110</v>
      </c>
      <c r="C78" s="3">
        <v>15.146311384652186</v>
      </c>
      <c r="D78" s="3">
        <v>15.222543138052892</v>
      </c>
      <c r="E78" s="3">
        <v>15.089137115224567</v>
      </c>
      <c r="F78" s="3">
        <v>15.184427261352539</v>
      </c>
      <c r="G78" s="3">
        <v>185900</v>
      </c>
      <c r="H78" s="3">
        <v>0</v>
      </c>
      <c r="I78" s="3">
        <v>0</v>
      </c>
      <c r="J78" s="3" t="str">
        <v>AB</v>
      </c>
      <c r="K78" s="23">
        <v>42109</v>
      </c>
      <c r="L78" s="22">
        <v>15.151080131530762</v>
      </c>
    </row>
    <row r="79" spans="1:12" x14ac:dyDescent="0.25">
      <c r="A79" s="9">
        <v>72</v>
      </c>
      <c r="B79" s="10">
        <v>42111</v>
      </c>
      <c r="C79" s="3">
        <v>14.998615122306463</v>
      </c>
      <c r="D79" s="3">
        <v>15.189194550980076</v>
      </c>
      <c r="E79" s="3">
        <v>14.855680777989853</v>
      </c>
      <c r="F79" s="3">
        <v>14.917618751525879</v>
      </c>
      <c r="G79" s="3">
        <v>261500</v>
      </c>
      <c r="H79" s="3">
        <v>0</v>
      </c>
      <c r="I79" s="3">
        <v>0</v>
      </c>
      <c r="J79" s="3" t="str">
        <v>AB</v>
      </c>
      <c r="K79" s="23">
        <v>42110</v>
      </c>
      <c r="L79" s="22">
        <v>15.184427261352539</v>
      </c>
    </row>
    <row r="80" spans="1:12" x14ac:dyDescent="0.25">
      <c r="A80" s="9">
        <v>73</v>
      </c>
      <c r="B80" s="10">
        <v>42114</v>
      </c>
      <c r="C80" s="3">
        <v>15.003377452451067</v>
      </c>
      <c r="D80" s="3">
        <v>15.174899366692905</v>
      </c>
      <c r="E80" s="3">
        <v>15.003377452451067</v>
      </c>
      <c r="F80" s="3">
        <v>15.051022529602051</v>
      </c>
      <c r="G80" s="3">
        <v>132300</v>
      </c>
      <c r="H80" s="3">
        <v>0</v>
      </c>
      <c r="I80" s="3">
        <v>0</v>
      </c>
      <c r="J80" s="3" t="str">
        <v>AB</v>
      </c>
      <c r="K80" s="23">
        <v>42111</v>
      </c>
      <c r="L80" s="22">
        <v>14.917618751525879</v>
      </c>
    </row>
    <row r="81" spans="1:12" x14ac:dyDescent="0.25">
      <c r="A81" s="9">
        <v>74</v>
      </c>
      <c r="B81" s="10">
        <v>42115</v>
      </c>
      <c r="C81" s="3">
        <v>15.10343857437349</v>
      </c>
      <c r="D81" s="3">
        <v>15.112966866818301</v>
      </c>
      <c r="E81" s="3">
        <v>14.85568479571549</v>
      </c>
      <c r="F81" s="3">
        <v>14.898565292358398</v>
      </c>
      <c r="G81" s="3">
        <v>158600</v>
      </c>
      <c r="H81" s="3">
        <v>0</v>
      </c>
      <c r="I81" s="3">
        <v>0</v>
      </c>
      <c r="J81" s="3" t="str">
        <v>AB</v>
      </c>
      <c r="K81" s="23">
        <v>42114</v>
      </c>
      <c r="L81" s="22">
        <v>15.051022529602051</v>
      </c>
    </row>
    <row r="82" spans="1:12" x14ac:dyDescent="0.25">
      <c r="A82" s="9">
        <v>75</v>
      </c>
      <c r="B82" s="10">
        <v>42116</v>
      </c>
      <c r="C82" s="3">
        <v>14.908090120734045</v>
      </c>
      <c r="D82" s="3">
        <v>15.08437574744287</v>
      </c>
      <c r="E82" s="3">
        <v>14.812799954199171</v>
      </c>
      <c r="F82" s="3">
        <v>14.950969696044922</v>
      </c>
      <c r="G82" s="3">
        <v>151200</v>
      </c>
      <c r="H82" s="3">
        <v>0</v>
      </c>
      <c r="I82" s="3">
        <v>0</v>
      </c>
      <c r="J82" s="3" t="str">
        <v>AB</v>
      </c>
      <c r="K82" s="23">
        <v>42115</v>
      </c>
      <c r="L82" s="22">
        <v>14.898565292358398</v>
      </c>
    </row>
    <row r="83" spans="1:12" x14ac:dyDescent="0.25">
      <c r="A83" s="9">
        <v>76</v>
      </c>
      <c r="B83" s="10">
        <v>42117</v>
      </c>
      <c r="C83" s="3">
        <v>14.874739065264711</v>
      </c>
      <c r="D83" s="3">
        <v>15.170137877137748</v>
      </c>
      <c r="E83" s="3">
        <v>14.874739065264711</v>
      </c>
      <c r="F83" s="3">
        <v>15.122492790222168</v>
      </c>
      <c r="G83" s="3">
        <v>262900</v>
      </c>
      <c r="H83" s="3">
        <v>0</v>
      </c>
      <c r="I83" s="3">
        <v>0</v>
      </c>
      <c r="J83" s="3" t="str">
        <v>AB</v>
      </c>
      <c r="K83" s="23">
        <v>42116</v>
      </c>
      <c r="L83" s="22">
        <v>14.950969696044922</v>
      </c>
    </row>
    <row r="84" spans="1:12" x14ac:dyDescent="0.25">
      <c r="A84" s="9">
        <v>77</v>
      </c>
      <c r="B84" s="10">
        <v>42118</v>
      </c>
      <c r="C84" s="3">
        <v>15.136783979660908</v>
      </c>
      <c r="D84" s="3">
        <v>15.19872194584625</v>
      </c>
      <c r="E84" s="3">
        <v>15.036729223510076</v>
      </c>
      <c r="F84" s="3">
        <v>15.098668098449707</v>
      </c>
      <c r="G84" s="3">
        <v>217200</v>
      </c>
      <c r="H84" s="3">
        <v>0</v>
      </c>
      <c r="I84" s="3">
        <v>0</v>
      </c>
      <c r="J84" s="3" t="str">
        <v>AB</v>
      </c>
      <c r="K84" s="23">
        <v>42117</v>
      </c>
      <c r="L84" s="22">
        <v>15.122492790222168</v>
      </c>
    </row>
    <row r="85" spans="1:12" x14ac:dyDescent="0.25">
      <c r="A85" s="9">
        <v>78</v>
      </c>
      <c r="B85" s="10">
        <v>42121</v>
      </c>
      <c r="C85" s="3">
        <v>15.098668090031779</v>
      </c>
      <c r="D85" s="3">
        <v>15.174899852411679</v>
      </c>
      <c r="E85" s="3">
        <v>14.865208204149051</v>
      </c>
      <c r="F85" s="3">
        <v>14.908088684082031</v>
      </c>
      <c r="G85" s="3">
        <v>180800</v>
      </c>
      <c r="H85" s="3">
        <v>0</v>
      </c>
      <c r="I85" s="3">
        <v>0</v>
      </c>
      <c r="J85" s="3" t="str">
        <v>AB</v>
      </c>
      <c r="K85" s="23">
        <v>42118</v>
      </c>
      <c r="L85" s="22">
        <v>15.098668098449707</v>
      </c>
    </row>
    <row r="86" spans="1:12" x14ac:dyDescent="0.25">
      <c r="A86" s="9">
        <v>79</v>
      </c>
      <c r="B86" s="10">
        <v>42122</v>
      </c>
      <c r="C86" s="3">
        <v>14.908086484880817</v>
      </c>
      <c r="D86" s="3">
        <v>15.055785389109438</v>
      </c>
      <c r="E86" s="3">
        <v>14.812796341585747</v>
      </c>
      <c r="F86" s="3">
        <v>14.936673164367676</v>
      </c>
      <c r="G86" s="3">
        <v>167100</v>
      </c>
      <c r="H86" s="3">
        <v>0</v>
      </c>
      <c r="I86" s="3">
        <v>0</v>
      </c>
      <c r="J86" s="3" t="str">
        <v>AB</v>
      </c>
      <c r="K86" s="23">
        <v>42121</v>
      </c>
      <c r="L86" s="22">
        <v>14.908088684082031</v>
      </c>
    </row>
    <row r="87" spans="1:12" x14ac:dyDescent="0.25">
      <c r="A87" s="9">
        <v>80</v>
      </c>
      <c r="B87" s="10">
        <v>42123</v>
      </c>
      <c r="C87" s="3">
        <v>14.893791943231124</v>
      </c>
      <c r="D87" s="3">
        <v>14.979552886141459</v>
      </c>
      <c r="E87" s="3">
        <v>14.727034655211485</v>
      </c>
      <c r="F87" s="3">
        <v>14.817560195922852</v>
      </c>
      <c r="G87" s="3">
        <v>225700</v>
      </c>
      <c r="H87" s="3">
        <v>0</v>
      </c>
      <c r="I87" s="3">
        <v>0</v>
      </c>
      <c r="J87" s="3" t="str">
        <v>AB</v>
      </c>
      <c r="K87" s="23">
        <v>42122</v>
      </c>
      <c r="L87" s="22">
        <v>14.936673164367676</v>
      </c>
    </row>
    <row r="88" spans="1:12" x14ac:dyDescent="0.25">
      <c r="A88" s="9">
        <v>81</v>
      </c>
      <c r="B88" s="10">
        <v>42124</v>
      </c>
      <c r="C88" s="3">
        <v>14.817560939625915</v>
      </c>
      <c r="D88" s="3">
        <v>15.389299073133875</v>
      </c>
      <c r="E88" s="3">
        <v>14.760386671898042</v>
      </c>
      <c r="F88" s="3">
        <v>14.936673164367676</v>
      </c>
      <c r="G88" s="3">
        <v>535500</v>
      </c>
      <c r="H88" s="3">
        <v>0</v>
      </c>
      <c r="I88" s="3">
        <v>0</v>
      </c>
      <c r="J88" s="3" t="str">
        <v>AB</v>
      </c>
      <c r="K88" s="23">
        <v>42123</v>
      </c>
      <c r="L88" s="22">
        <v>14.817560195922852</v>
      </c>
    </row>
    <row r="89" spans="1:12" x14ac:dyDescent="0.25">
      <c r="A89" s="9">
        <v>82</v>
      </c>
      <c r="B89" s="10">
        <v>42125</v>
      </c>
      <c r="C89" s="3">
        <v>14.993854534623575</v>
      </c>
      <c r="D89" s="3">
        <v>15.360721509701984</v>
      </c>
      <c r="E89" s="3">
        <v>14.879506846825512</v>
      </c>
      <c r="F89" s="3">
        <v>15.270195007324219</v>
      </c>
      <c r="G89" s="3">
        <v>421200</v>
      </c>
      <c r="H89" s="3">
        <v>0</v>
      </c>
      <c r="I89" s="3">
        <v>0</v>
      </c>
      <c r="J89" s="3" t="str">
        <v>AB</v>
      </c>
      <c r="K89" s="23">
        <v>42124</v>
      </c>
      <c r="L89" s="22">
        <v>14.936673164367676</v>
      </c>
    </row>
    <row r="90" spans="1:12" x14ac:dyDescent="0.25">
      <c r="A90" s="9">
        <v>83</v>
      </c>
      <c r="B90" s="10">
        <v>42128</v>
      </c>
      <c r="C90" s="3">
        <v>15.432184221681471</v>
      </c>
      <c r="D90" s="3">
        <v>15.598942477341744</v>
      </c>
      <c r="E90" s="3">
        <v>15.27019147425916</v>
      </c>
      <c r="F90" s="3">
        <v>15.436949729919434</v>
      </c>
      <c r="G90" s="3">
        <v>638200</v>
      </c>
      <c r="H90" s="3">
        <v>0</v>
      </c>
      <c r="I90" s="3">
        <v>0</v>
      </c>
      <c r="J90" s="3" t="str">
        <v>AB</v>
      </c>
      <c r="K90" s="23">
        <v>42125</v>
      </c>
      <c r="L90" s="22">
        <v>15.270195007324219</v>
      </c>
    </row>
    <row r="91" spans="1:12" x14ac:dyDescent="0.25">
      <c r="A91" s="9">
        <v>84</v>
      </c>
      <c r="B91" s="10">
        <v>42129</v>
      </c>
      <c r="C91" s="3">
        <v>15.441714356356407</v>
      </c>
      <c r="D91" s="3">
        <v>15.48459484555214</v>
      </c>
      <c r="E91" s="3">
        <v>15.103435951317268</v>
      </c>
      <c r="F91" s="3">
        <v>15.151080131530762</v>
      </c>
      <c r="G91" s="3">
        <v>360400</v>
      </c>
      <c r="H91" s="3">
        <v>0</v>
      </c>
      <c r="I91" s="3">
        <v>0</v>
      </c>
      <c r="J91" s="3" t="str">
        <v>AB</v>
      </c>
      <c r="K91" s="23">
        <v>42128</v>
      </c>
      <c r="L91" s="22">
        <v>15.436949729919434</v>
      </c>
    </row>
    <row r="92" spans="1:12" x14ac:dyDescent="0.25">
      <c r="A92" s="9">
        <v>85</v>
      </c>
      <c r="B92" s="10">
        <v>42130</v>
      </c>
      <c r="C92" s="3">
        <v>15.274952480291345</v>
      </c>
      <c r="D92" s="3">
        <v>15.327360332899969</v>
      </c>
      <c r="E92" s="3">
        <v>14.836618544547299</v>
      </c>
      <c r="F92" s="3">
        <v>15.022434234619141</v>
      </c>
      <c r="G92" s="3">
        <v>247900</v>
      </c>
      <c r="H92" s="3">
        <v>0</v>
      </c>
      <c r="I92" s="3">
        <v>0</v>
      </c>
      <c r="J92" s="3" t="str">
        <v>AB</v>
      </c>
      <c r="K92" s="23">
        <v>42129</v>
      </c>
      <c r="L92" s="22">
        <v>15.151080131530762</v>
      </c>
    </row>
    <row r="93" spans="1:12" x14ac:dyDescent="0.25">
      <c r="A93" s="9">
        <v>86</v>
      </c>
      <c r="B93" s="10">
        <v>42131</v>
      </c>
      <c r="C93" s="3">
        <v>15.104607502595133</v>
      </c>
      <c r="D93" s="3">
        <v>15.220610777585614</v>
      </c>
      <c r="E93" s="3">
        <v>14.78076468086301</v>
      </c>
      <c r="F93" s="3">
        <v>15.143275260925293</v>
      </c>
      <c r="G93" s="3">
        <v>308300</v>
      </c>
      <c r="H93" s="3">
        <v>0.45</v>
      </c>
      <c r="I93" s="3">
        <v>0</v>
      </c>
      <c r="J93" s="3" t="str">
        <v>AB</v>
      </c>
      <c r="K93" s="23">
        <v>42130</v>
      </c>
      <c r="L93" s="22">
        <v>15.022434234619141</v>
      </c>
    </row>
    <row r="94" spans="1:12" x14ac:dyDescent="0.25">
      <c r="A94" s="9">
        <v>87</v>
      </c>
      <c r="B94" s="10">
        <v>42132</v>
      </c>
      <c r="C94" s="3">
        <v>15.331782570349679</v>
      </c>
      <c r="D94" s="3">
        <v>15.355950498815789</v>
      </c>
      <c r="E94" s="3">
        <v>15.061108224914689</v>
      </c>
      <c r="F94" s="3">
        <v>15.06594181060791</v>
      </c>
      <c r="G94" s="3">
        <v>155100</v>
      </c>
      <c r="H94" s="3">
        <v>0</v>
      </c>
      <c r="I94" s="3">
        <v>0</v>
      </c>
      <c r="J94" s="3" t="str">
        <v>AB</v>
      </c>
      <c r="K94" s="23">
        <v>42131</v>
      </c>
      <c r="L94" s="22">
        <v>15.143275260925293</v>
      </c>
    </row>
    <row r="95" spans="1:12" x14ac:dyDescent="0.25">
      <c r="A95" s="9">
        <v>88</v>
      </c>
      <c r="B95" s="10">
        <v>42135</v>
      </c>
      <c r="C95" s="3">
        <v>15.046603065020557</v>
      </c>
      <c r="D95" s="3">
        <v>15.186774243371628</v>
      </c>
      <c r="E95" s="3">
        <v>14.669592710389001</v>
      </c>
      <c r="F95" s="3">
        <v>14.746928215026855</v>
      </c>
      <c r="G95" s="3">
        <v>264700</v>
      </c>
      <c r="H95" s="3">
        <v>0</v>
      </c>
      <c r="I95" s="3">
        <v>0</v>
      </c>
      <c r="J95" s="3" t="str">
        <v>AB</v>
      </c>
      <c r="K95" s="23">
        <v>42132</v>
      </c>
      <c r="L95" s="22">
        <v>15.06594181060791</v>
      </c>
    </row>
    <row r="96" spans="1:12" x14ac:dyDescent="0.25">
      <c r="A96" s="9">
        <v>89</v>
      </c>
      <c r="B96" s="10">
        <v>42136</v>
      </c>
      <c r="C96" s="3">
        <v>14.896767259031495</v>
      </c>
      <c r="D96" s="3">
        <v>14.940268600357085</v>
      </c>
      <c r="E96" s="3">
        <v>14.53909028073045</v>
      </c>
      <c r="F96" s="3">
        <v>14.775930404663086</v>
      </c>
      <c r="G96" s="3">
        <v>247100</v>
      </c>
      <c r="H96" s="3">
        <v>0</v>
      </c>
      <c r="I96" s="3">
        <v>0</v>
      </c>
      <c r="J96" s="3" t="str">
        <v>AB</v>
      </c>
      <c r="K96" s="23">
        <v>42135</v>
      </c>
      <c r="L96" s="22">
        <v>14.746928215026855</v>
      </c>
    </row>
    <row r="97" spans="1:12" x14ac:dyDescent="0.25">
      <c r="A97" s="9">
        <v>90</v>
      </c>
      <c r="B97" s="10">
        <v>42137</v>
      </c>
      <c r="C97" s="3">
        <v>14.742094684943137</v>
      </c>
      <c r="D97" s="3">
        <v>14.795263190294097</v>
      </c>
      <c r="E97" s="3">
        <v>14.500421001583414</v>
      </c>
      <c r="F97" s="3">
        <v>14.645424842834473</v>
      </c>
      <c r="G97" s="3">
        <v>271800</v>
      </c>
      <c r="H97" s="3">
        <v>0</v>
      </c>
      <c r="I97" s="3">
        <v>0</v>
      </c>
      <c r="J97" s="3" t="str">
        <v>AB</v>
      </c>
      <c r="K97" s="23">
        <v>42136</v>
      </c>
      <c r="L97" s="22">
        <v>14.775930404663086</v>
      </c>
    </row>
    <row r="98" spans="1:12" x14ac:dyDescent="0.25">
      <c r="A98" s="9">
        <v>91</v>
      </c>
      <c r="B98" s="10">
        <v>42138</v>
      </c>
      <c r="C98" s="3">
        <v>14.693758907555861</v>
      </c>
      <c r="D98" s="3">
        <v>14.930598992816227</v>
      </c>
      <c r="E98" s="3">
        <v>14.514920908562795</v>
      </c>
      <c r="F98" s="3">
        <v>14.858097076416016</v>
      </c>
      <c r="G98" s="3">
        <v>185200</v>
      </c>
      <c r="H98" s="3">
        <v>0</v>
      </c>
      <c r="I98" s="3">
        <v>0</v>
      </c>
      <c r="J98" s="3" t="str">
        <v>AB</v>
      </c>
      <c r="K98" s="23">
        <v>42137</v>
      </c>
      <c r="L98" s="22">
        <v>14.645424842834473</v>
      </c>
    </row>
    <row r="99" spans="1:12" x14ac:dyDescent="0.25">
      <c r="A99" s="9">
        <v>92</v>
      </c>
      <c r="B99" s="10">
        <v>42139</v>
      </c>
      <c r="C99" s="3">
        <v>14.848432404392154</v>
      </c>
      <c r="D99" s="3">
        <v>15.01760418570484</v>
      </c>
      <c r="E99" s="3">
        <v>14.766263306149536</v>
      </c>
      <c r="F99" s="3">
        <v>14.862933158874512</v>
      </c>
      <c r="G99" s="3">
        <v>160600</v>
      </c>
      <c r="H99" s="3">
        <v>0</v>
      </c>
      <c r="I99" s="3">
        <v>0</v>
      </c>
      <c r="J99" s="3" t="str">
        <v>AB</v>
      </c>
      <c r="K99" s="23">
        <v>42138</v>
      </c>
      <c r="L99" s="22">
        <v>14.858097076416016</v>
      </c>
    </row>
    <row r="100" spans="1:12" x14ac:dyDescent="0.25">
      <c r="A100" s="9">
        <v>93</v>
      </c>
      <c r="B100" s="10">
        <v>42142</v>
      </c>
      <c r="C100" s="3">
        <v>14.887101166452037</v>
      </c>
      <c r="D100" s="3">
        <v>15.268946096399111</v>
      </c>
      <c r="E100" s="3">
        <v>14.882268503210266</v>
      </c>
      <c r="F100" s="3">
        <v>15.075607299804688</v>
      </c>
      <c r="G100" s="3">
        <v>358000</v>
      </c>
      <c r="H100" s="3">
        <v>0</v>
      </c>
      <c r="I100" s="3">
        <v>0</v>
      </c>
      <c r="J100" s="3" t="str">
        <v>AB</v>
      </c>
      <c r="K100" s="23">
        <v>42139</v>
      </c>
      <c r="L100" s="22">
        <v>14.862933158874512</v>
      </c>
    </row>
    <row r="101" spans="1:12" x14ac:dyDescent="0.25">
      <c r="A101" s="9">
        <v>94</v>
      </c>
      <c r="B101" s="10">
        <v>42143</v>
      </c>
      <c r="C101" s="3">
        <v>15.128775357932264</v>
      </c>
      <c r="D101" s="3">
        <v>15.409116852093618</v>
      </c>
      <c r="E101" s="3">
        <v>15.041773588223263</v>
      </c>
      <c r="F101" s="3">
        <v>15.307614326477051</v>
      </c>
      <c r="G101" s="3">
        <v>259600</v>
      </c>
      <c r="H101" s="3">
        <v>0</v>
      </c>
      <c r="I101" s="3">
        <v>0</v>
      </c>
      <c r="J101" s="3" t="str">
        <v>AB</v>
      </c>
      <c r="K101" s="23">
        <v>42142</v>
      </c>
      <c r="L101" s="22">
        <v>15.075607299804688</v>
      </c>
    </row>
    <row r="102" spans="1:12" x14ac:dyDescent="0.25">
      <c r="A102" s="9">
        <v>95</v>
      </c>
      <c r="B102" s="10">
        <v>42144</v>
      </c>
      <c r="C102" s="3">
        <v>15.288276672363281</v>
      </c>
      <c r="D102" s="3">
        <v>15.404280850661939</v>
      </c>
      <c r="E102" s="3">
        <v>15.114272248739157</v>
      </c>
      <c r="F102" s="3">
        <v>15.288276672363281</v>
      </c>
      <c r="G102" s="3">
        <v>188000</v>
      </c>
      <c r="H102" s="3">
        <v>0</v>
      </c>
      <c r="I102" s="3">
        <v>0</v>
      </c>
      <c r="J102" s="3" t="str">
        <v>AB</v>
      </c>
      <c r="K102" s="23">
        <v>42143</v>
      </c>
      <c r="L102" s="22">
        <v>15.307614326477051</v>
      </c>
    </row>
    <row r="103" spans="1:12" x14ac:dyDescent="0.25">
      <c r="A103" s="9">
        <v>96</v>
      </c>
      <c r="B103" s="10">
        <v>42145</v>
      </c>
      <c r="C103" s="3">
        <v>15.331778753871527</v>
      </c>
      <c r="D103" s="3">
        <v>15.389780845839757</v>
      </c>
      <c r="E103" s="3">
        <v>15.19644207579895</v>
      </c>
      <c r="F103" s="3">
        <v>15.341445922851563</v>
      </c>
      <c r="G103" s="3">
        <v>180200</v>
      </c>
      <c r="H103" s="3">
        <v>0</v>
      </c>
      <c r="I103" s="3">
        <v>0</v>
      </c>
      <c r="J103" s="3" t="str">
        <v>AB</v>
      </c>
      <c r="K103" s="23">
        <v>42144</v>
      </c>
      <c r="L103" s="22">
        <v>15.288276672363281</v>
      </c>
    </row>
    <row r="104" spans="1:12" x14ac:dyDescent="0.25">
      <c r="A104" s="9">
        <v>97</v>
      </c>
      <c r="B104" s="10">
        <v>42146</v>
      </c>
      <c r="C104" s="3">
        <v>15.331781530964268</v>
      </c>
      <c r="D104" s="3">
        <v>15.471951818916336</v>
      </c>
      <c r="E104" s="3">
        <v>15.230279004024371</v>
      </c>
      <c r="F104" s="3">
        <v>15.38011646270752</v>
      </c>
      <c r="G104" s="3">
        <v>167900</v>
      </c>
      <c r="H104" s="3">
        <v>0</v>
      </c>
      <c r="I104" s="3">
        <v>0</v>
      </c>
      <c r="J104" s="3" t="str">
        <v>AB</v>
      </c>
      <c r="K104" s="23">
        <v>42145</v>
      </c>
      <c r="L104" s="22">
        <v>15.341445922851563</v>
      </c>
    </row>
    <row r="105" spans="1:12" x14ac:dyDescent="0.25">
      <c r="A105" s="9">
        <v>98</v>
      </c>
      <c r="B105" s="10">
        <v>42150</v>
      </c>
      <c r="C105" s="3">
        <v>15.612120045339658</v>
      </c>
      <c r="D105" s="3">
        <v>15.703957227822885</v>
      </c>
      <c r="E105" s="3">
        <v>15.230276093552998</v>
      </c>
      <c r="F105" s="3">
        <v>15.293110847473145</v>
      </c>
      <c r="G105" s="3">
        <v>408200</v>
      </c>
      <c r="H105" s="3">
        <v>0</v>
      </c>
      <c r="I105" s="3">
        <v>0</v>
      </c>
      <c r="J105" s="3" t="str">
        <v>AB</v>
      </c>
      <c r="K105" s="23">
        <v>42146</v>
      </c>
      <c r="L105" s="22">
        <v>15.38011646270752</v>
      </c>
    </row>
    <row r="106" spans="1:12" x14ac:dyDescent="0.25">
      <c r="A106" s="9">
        <v>99</v>
      </c>
      <c r="B106" s="10">
        <v>42151</v>
      </c>
      <c r="C106" s="3">
        <v>15.370443547297677</v>
      </c>
      <c r="D106" s="3">
        <v>15.413944877416835</v>
      </c>
      <c r="E106" s="3">
        <v>15.109436488494525</v>
      </c>
      <c r="F106" s="3">
        <v>15.254440307617188</v>
      </c>
      <c r="G106" s="3">
        <v>260400</v>
      </c>
      <c r="H106" s="3">
        <v>0</v>
      </c>
      <c r="I106" s="3">
        <v>0</v>
      </c>
      <c r="J106" s="3" t="str">
        <v>AB</v>
      </c>
      <c r="K106" s="23">
        <v>42150</v>
      </c>
      <c r="L106" s="22">
        <v>15.293110847473145</v>
      </c>
    </row>
    <row r="107" spans="1:12" x14ac:dyDescent="0.25">
      <c r="A107" s="9">
        <v>100</v>
      </c>
      <c r="B107" s="10">
        <v>42152</v>
      </c>
      <c r="C107" s="3">
        <v>15.201273342713156</v>
      </c>
      <c r="D107" s="3">
        <v>15.399445667030761</v>
      </c>
      <c r="E107" s="3">
        <v>15.128770508328607</v>
      </c>
      <c r="F107" s="3">
        <v>15.384944915771484</v>
      </c>
      <c r="G107" s="3">
        <v>100400</v>
      </c>
      <c r="H107" s="3">
        <v>0</v>
      </c>
      <c r="I107" s="3">
        <v>0</v>
      </c>
      <c r="J107" s="3" t="str">
        <v>AB</v>
      </c>
      <c r="K107" s="23">
        <v>42151</v>
      </c>
      <c r="L107" s="22">
        <v>15.254440307617188</v>
      </c>
    </row>
    <row r="108" spans="1:12" x14ac:dyDescent="0.25">
      <c r="A108" s="9">
        <v>101</v>
      </c>
      <c r="B108" s="10">
        <v>42153</v>
      </c>
      <c r="C108" s="3">
        <v>15.370447119787453</v>
      </c>
      <c r="D108" s="3">
        <v>15.389781458517236</v>
      </c>
      <c r="E108" s="3">
        <v>15.114273585001937</v>
      </c>
      <c r="F108" s="3">
        <v>15.157774925231934</v>
      </c>
      <c r="G108" s="3">
        <v>128800</v>
      </c>
      <c r="H108" s="3">
        <v>0</v>
      </c>
      <c r="I108" s="3">
        <v>0</v>
      </c>
      <c r="J108" s="3" t="str">
        <v>AB</v>
      </c>
      <c r="K108" s="23">
        <v>42152</v>
      </c>
      <c r="L108" s="22">
        <v>15.384944915771484</v>
      </c>
    </row>
    <row r="109" spans="1:12" x14ac:dyDescent="0.25">
      <c r="A109" s="9">
        <v>102</v>
      </c>
      <c r="B109" s="10">
        <v>42156</v>
      </c>
      <c r="C109" s="3">
        <v>15.322110170804956</v>
      </c>
      <c r="D109" s="3">
        <v>15.467113995750381</v>
      </c>
      <c r="E109" s="3">
        <v>15.322110170804956</v>
      </c>
      <c r="F109" s="3">
        <v>15.384944915771484</v>
      </c>
      <c r="G109" s="3">
        <v>240100</v>
      </c>
      <c r="H109" s="3">
        <v>0</v>
      </c>
      <c r="I109" s="3">
        <v>0</v>
      </c>
      <c r="J109" s="3" t="str">
        <v>AB</v>
      </c>
      <c r="K109" s="23">
        <v>42153</v>
      </c>
      <c r="L109" s="22">
        <v>15.157774925231934</v>
      </c>
    </row>
    <row r="110" spans="1:12" x14ac:dyDescent="0.25">
      <c r="A110" s="9">
        <v>103</v>
      </c>
      <c r="B110" s="10">
        <v>42157</v>
      </c>
      <c r="C110" s="3">
        <v>15.375283064840136</v>
      </c>
      <c r="D110" s="3">
        <v>15.375283064840136</v>
      </c>
      <c r="E110" s="3">
        <v>15.128775739664386</v>
      </c>
      <c r="F110" s="3">
        <v>15.17711067199707</v>
      </c>
      <c r="G110" s="3">
        <v>192900</v>
      </c>
      <c r="H110" s="3">
        <v>0</v>
      </c>
      <c r="I110" s="3">
        <v>0</v>
      </c>
      <c r="J110" s="3" t="str">
        <v>AB</v>
      </c>
      <c r="K110" s="23">
        <v>42156</v>
      </c>
      <c r="L110" s="22">
        <v>15.384944915771484</v>
      </c>
    </row>
    <row r="111" spans="1:12" x14ac:dyDescent="0.25">
      <c r="A111" s="9">
        <v>104</v>
      </c>
      <c r="B111" s="10">
        <v>42158</v>
      </c>
      <c r="C111" s="3">
        <v>15.13844200154371</v>
      </c>
      <c r="D111" s="3">
        <v>15.326947212219238</v>
      </c>
      <c r="E111" s="3">
        <v>15.03693947946061</v>
      </c>
      <c r="F111" s="3">
        <v>15.326947212219238</v>
      </c>
      <c r="G111" s="3">
        <v>226300</v>
      </c>
      <c r="H111" s="3">
        <v>0</v>
      </c>
      <c r="I111" s="3">
        <v>0</v>
      </c>
      <c r="J111" s="3" t="str">
        <v>AB</v>
      </c>
      <c r="K111" s="23">
        <v>42157</v>
      </c>
      <c r="L111" s="22">
        <v>15.17711067199707</v>
      </c>
    </row>
    <row r="112" spans="1:12" x14ac:dyDescent="0.25">
      <c r="A112" s="9">
        <v>105</v>
      </c>
      <c r="B112" s="10">
        <v>42159</v>
      </c>
      <c r="C112" s="3">
        <v>15.317283105372226</v>
      </c>
      <c r="D112" s="3">
        <v>15.583124793451095</v>
      </c>
      <c r="E112" s="3">
        <v>14.988606645587284</v>
      </c>
      <c r="F112" s="3">
        <v>15.123944282531738</v>
      </c>
      <c r="G112" s="3">
        <v>183100</v>
      </c>
      <c r="H112" s="3">
        <v>0</v>
      </c>
      <c r="I112" s="3">
        <v>0</v>
      </c>
      <c r="J112" s="3" t="str">
        <v>AB</v>
      </c>
      <c r="K112" s="23">
        <v>42158</v>
      </c>
      <c r="L112" s="22">
        <v>15.326947212219238</v>
      </c>
    </row>
    <row r="113" spans="1:12" x14ac:dyDescent="0.25">
      <c r="A113" s="9">
        <v>106</v>
      </c>
      <c r="B113" s="10">
        <v>42160</v>
      </c>
      <c r="C113" s="3">
        <v>15.143270651495694</v>
      </c>
      <c r="D113" s="3">
        <v>15.360777302091485</v>
      </c>
      <c r="E113" s="3">
        <v>14.983766081696047</v>
      </c>
      <c r="F113" s="3">
        <v>15.254440307617188</v>
      </c>
      <c r="G113" s="3">
        <v>283600</v>
      </c>
      <c r="H113" s="3">
        <v>0</v>
      </c>
      <c r="I113" s="3">
        <v>0</v>
      </c>
      <c r="J113" s="3" t="str">
        <v>AB</v>
      </c>
      <c r="K113" s="23">
        <v>42159</v>
      </c>
      <c r="L113" s="22">
        <v>15.123944282531738</v>
      </c>
    </row>
    <row r="114" spans="1:12" x14ac:dyDescent="0.25">
      <c r="A114" s="9">
        <v>107</v>
      </c>
      <c r="B114" s="10">
        <v>42163</v>
      </c>
      <c r="C114" s="3">
        <v>15.167439458804866</v>
      </c>
      <c r="D114" s="3">
        <v>15.235108714800644</v>
      </c>
      <c r="E114" s="3">
        <v>14.645424356943236</v>
      </c>
      <c r="F114" s="3">
        <v>14.79042911529541</v>
      </c>
      <c r="G114" s="3">
        <v>221300</v>
      </c>
      <c r="H114" s="3">
        <v>0</v>
      </c>
      <c r="I114" s="3">
        <v>0</v>
      </c>
      <c r="J114" s="3" t="str">
        <v>AB</v>
      </c>
      <c r="K114" s="23">
        <v>42160</v>
      </c>
      <c r="L114" s="22">
        <v>15.254440307617188</v>
      </c>
    </row>
    <row r="115" spans="1:12" x14ac:dyDescent="0.25">
      <c r="A115" s="9">
        <v>108</v>
      </c>
      <c r="B115" s="10">
        <v>42164</v>
      </c>
      <c r="C115" s="3">
        <v>14.72275899387429</v>
      </c>
      <c r="D115" s="3">
        <v>14.814595243241207</v>
      </c>
      <c r="E115" s="3">
        <v>14.307080923620802</v>
      </c>
      <c r="F115" s="3">
        <v>14.336081504821777</v>
      </c>
      <c r="G115" s="3">
        <v>359900</v>
      </c>
      <c r="H115" s="3">
        <v>0</v>
      </c>
      <c r="I115" s="3">
        <v>0</v>
      </c>
      <c r="J115" s="3" t="str">
        <v>AB</v>
      </c>
      <c r="K115" s="23">
        <v>42163</v>
      </c>
      <c r="L115" s="22">
        <v>14.79042911529541</v>
      </c>
    </row>
    <row r="116" spans="1:12" x14ac:dyDescent="0.25">
      <c r="A116" s="9">
        <v>109</v>
      </c>
      <c r="B116" s="10">
        <v>42165</v>
      </c>
      <c r="C116" s="3">
        <v>14.408587223502117</v>
      </c>
      <c r="D116" s="3">
        <v>14.630927529852237</v>
      </c>
      <c r="E116" s="3">
        <v>14.355419630912905</v>
      </c>
      <c r="F116" s="3">
        <v>14.58742618560791</v>
      </c>
      <c r="G116" s="3">
        <v>375500</v>
      </c>
      <c r="H116" s="3">
        <v>0</v>
      </c>
      <c r="I116" s="3">
        <v>0</v>
      </c>
      <c r="J116" s="3" t="str">
        <v>AB</v>
      </c>
      <c r="K116" s="23">
        <v>42164</v>
      </c>
      <c r="L116" s="22">
        <v>14.336081504821777</v>
      </c>
    </row>
    <row r="117" spans="1:12" x14ac:dyDescent="0.25">
      <c r="A117" s="9">
        <v>110</v>
      </c>
      <c r="B117" s="10">
        <v>42166</v>
      </c>
      <c r="C117" s="3">
        <v>14.669592278579184</v>
      </c>
      <c r="D117" s="3">
        <v>15.061103374522908</v>
      </c>
      <c r="E117" s="3">
        <v>14.553589025037041</v>
      </c>
      <c r="F117" s="3">
        <v>14.978934288024902</v>
      </c>
      <c r="G117" s="3">
        <v>251800</v>
      </c>
      <c r="H117" s="3">
        <v>0</v>
      </c>
      <c r="I117" s="3">
        <v>0</v>
      </c>
      <c r="J117" s="3" t="str">
        <v>AB</v>
      </c>
      <c r="K117" s="23">
        <v>42165</v>
      </c>
      <c r="L117" s="22">
        <v>14.58742618560791</v>
      </c>
    </row>
    <row r="118" spans="1:12" x14ac:dyDescent="0.25">
      <c r="A118" s="9">
        <v>111</v>
      </c>
      <c r="B118" s="10">
        <v>42167</v>
      </c>
      <c r="C118" s="3">
        <v>14.978932313425942</v>
      </c>
      <c r="D118" s="3">
        <v>15.186771794340791</v>
      </c>
      <c r="E118" s="3">
        <v>14.785593583009263</v>
      </c>
      <c r="F118" s="3">
        <v>15.017600059509277</v>
      </c>
      <c r="G118" s="3">
        <v>187600</v>
      </c>
      <c r="H118" s="3">
        <v>0</v>
      </c>
      <c r="I118" s="3">
        <v>0</v>
      </c>
      <c r="J118" s="3" t="str">
        <v>AB</v>
      </c>
      <c r="K118" s="23">
        <v>42166</v>
      </c>
      <c r="L118" s="22">
        <v>14.978934288024902</v>
      </c>
    </row>
    <row r="119" spans="1:12" x14ac:dyDescent="0.25">
      <c r="A119" s="9">
        <v>112</v>
      </c>
      <c r="B119" s="10">
        <v>42170</v>
      </c>
      <c r="C119" s="3">
        <v>14.94026690236684</v>
      </c>
      <c r="D119" s="3">
        <v>14.94026690236684</v>
      </c>
      <c r="E119" s="3">
        <v>14.548755796844562</v>
      </c>
      <c r="F119" s="3">
        <v>14.785595893859863</v>
      </c>
      <c r="G119" s="3">
        <v>266300</v>
      </c>
      <c r="H119" s="3">
        <v>0</v>
      </c>
      <c r="I119" s="3">
        <v>0</v>
      </c>
      <c r="J119" s="3" t="str">
        <v>AB</v>
      </c>
      <c r="K119" s="23">
        <v>42167</v>
      </c>
      <c r="L119" s="22">
        <v>15.017600059509277</v>
      </c>
    </row>
    <row r="120" spans="1:12" x14ac:dyDescent="0.25">
      <c r="A120" s="9">
        <v>113</v>
      </c>
      <c r="B120" s="10">
        <v>42171</v>
      </c>
      <c r="C120" s="3">
        <v>14.785596115278519</v>
      </c>
      <c r="D120" s="3">
        <v>15.056270384219157</v>
      </c>
      <c r="E120" s="3">
        <v>14.785596115278519</v>
      </c>
      <c r="F120" s="3">
        <v>14.983768463134766</v>
      </c>
      <c r="G120" s="3">
        <v>199900</v>
      </c>
      <c r="H120" s="3">
        <v>0</v>
      </c>
      <c r="I120" s="3">
        <v>0</v>
      </c>
      <c r="J120" s="3" t="str">
        <v>AB</v>
      </c>
      <c r="K120" s="23">
        <v>42170</v>
      </c>
      <c r="L120" s="22">
        <v>14.785595893859863</v>
      </c>
    </row>
    <row r="121" spans="1:12" x14ac:dyDescent="0.25">
      <c r="A121" s="9">
        <v>114</v>
      </c>
      <c r="B121" s="10">
        <v>42172</v>
      </c>
      <c r="C121" s="3">
        <v>15.003104582015945</v>
      </c>
      <c r="D121" s="3">
        <v>15.022437999708659</v>
      </c>
      <c r="E121" s="3">
        <v>14.77593070122019</v>
      </c>
      <c r="F121" s="3">
        <v>14.872600555419922</v>
      </c>
      <c r="G121" s="3">
        <v>138600</v>
      </c>
      <c r="H121" s="3">
        <v>0</v>
      </c>
      <c r="I121" s="3">
        <v>0</v>
      </c>
      <c r="J121" s="3" t="str">
        <v>AB</v>
      </c>
      <c r="K121" s="23">
        <v>42171</v>
      </c>
      <c r="L121" s="22">
        <v>14.983768463134766</v>
      </c>
    </row>
    <row r="122" spans="1:12" x14ac:dyDescent="0.25">
      <c r="A122" s="9">
        <v>115</v>
      </c>
      <c r="B122" s="10">
        <v>42173</v>
      </c>
      <c r="C122" s="3">
        <v>14.887102995512832</v>
      </c>
      <c r="D122" s="3">
        <v>15.056274809034795</v>
      </c>
      <c r="E122" s="3">
        <v>14.790434046294722</v>
      </c>
      <c r="F122" s="3">
        <v>14.92577075958252</v>
      </c>
      <c r="G122" s="3">
        <v>124000</v>
      </c>
      <c r="H122" s="3">
        <v>0</v>
      </c>
      <c r="I122" s="3">
        <v>0</v>
      </c>
      <c r="J122" s="3" t="str">
        <v>AB</v>
      </c>
      <c r="K122" s="23">
        <v>42172</v>
      </c>
      <c r="L122" s="22">
        <v>14.872600555419922</v>
      </c>
    </row>
    <row r="123" spans="1:12" x14ac:dyDescent="0.25">
      <c r="A123" s="9">
        <v>116</v>
      </c>
      <c r="B123" s="10">
        <v>42174</v>
      </c>
      <c r="C123" s="3">
        <v>14.925765480688005</v>
      </c>
      <c r="D123" s="3">
        <v>14.935432648764429</v>
      </c>
      <c r="E123" s="3">
        <v>14.7807616471892</v>
      </c>
      <c r="F123" s="3">
        <v>14.819429397583008</v>
      </c>
      <c r="G123" s="3">
        <v>120200</v>
      </c>
      <c r="H123" s="3">
        <v>0</v>
      </c>
      <c r="I123" s="3">
        <v>0</v>
      </c>
      <c r="J123" s="3" t="str">
        <v>AB</v>
      </c>
      <c r="K123" s="23">
        <v>42173</v>
      </c>
      <c r="L123" s="22">
        <v>14.92577075958252</v>
      </c>
    </row>
    <row r="124" spans="1:12" x14ac:dyDescent="0.25">
      <c r="A124" s="9">
        <v>117</v>
      </c>
      <c r="B124" s="10">
        <v>42177</v>
      </c>
      <c r="C124" s="3">
        <v>14.983768757867736</v>
      </c>
      <c r="D124" s="3">
        <v>14.983768757867736</v>
      </c>
      <c r="E124" s="3">
        <v>14.674426730136487</v>
      </c>
      <c r="F124" s="3">
        <v>14.703427314758301</v>
      </c>
      <c r="G124" s="3">
        <v>170600</v>
      </c>
      <c r="H124" s="3">
        <v>0</v>
      </c>
      <c r="I124" s="3">
        <v>0</v>
      </c>
      <c r="J124" s="3" t="str">
        <v>AB</v>
      </c>
      <c r="K124" s="23">
        <v>42174</v>
      </c>
      <c r="L124" s="22">
        <v>14.819429397583008</v>
      </c>
    </row>
    <row r="125" spans="1:12" x14ac:dyDescent="0.25">
      <c r="A125" s="9">
        <v>118</v>
      </c>
      <c r="B125" s="10">
        <v>42178</v>
      </c>
      <c r="C125" s="3">
        <v>14.669593292877471</v>
      </c>
      <c r="D125" s="3">
        <v>14.669593292877471</v>
      </c>
      <c r="E125" s="3">
        <v>14.456920185722751</v>
      </c>
      <c r="F125" s="3">
        <v>14.500421524047852</v>
      </c>
      <c r="G125" s="3">
        <v>214600</v>
      </c>
      <c r="H125" s="3">
        <v>0</v>
      </c>
      <c r="I125" s="3">
        <v>0</v>
      </c>
      <c r="J125" s="3" t="str">
        <v>AB</v>
      </c>
      <c r="K125" s="23">
        <v>42177</v>
      </c>
      <c r="L125" s="22">
        <v>14.703427314758301</v>
      </c>
    </row>
    <row r="126" spans="1:12" x14ac:dyDescent="0.25">
      <c r="A126" s="9">
        <v>119</v>
      </c>
      <c r="B126" s="10">
        <v>42179</v>
      </c>
      <c r="C126" s="3">
        <v>14.490755099013702</v>
      </c>
      <c r="D126" s="3">
        <v>14.577757780130334</v>
      </c>
      <c r="E126" s="3">
        <v>14.307083489254603</v>
      </c>
      <c r="F126" s="3">
        <v>14.427920341491699</v>
      </c>
      <c r="G126" s="3">
        <v>205300</v>
      </c>
      <c r="H126" s="3">
        <v>0</v>
      </c>
      <c r="I126" s="3">
        <v>0</v>
      </c>
      <c r="J126" s="3" t="str">
        <v>AB</v>
      </c>
      <c r="K126" s="23">
        <v>42178</v>
      </c>
      <c r="L126" s="22">
        <v>14.500421524047852</v>
      </c>
    </row>
    <row r="127" spans="1:12" x14ac:dyDescent="0.25">
      <c r="A127" s="9">
        <v>120</v>
      </c>
      <c r="B127" s="10">
        <v>42180</v>
      </c>
      <c r="C127" s="3">
        <v>14.437587383195725</v>
      </c>
      <c r="D127" s="3">
        <v>14.582591235832536</v>
      </c>
      <c r="E127" s="3">
        <v>13.915572223026379</v>
      </c>
      <c r="F127" s="3">
        <v>14.065409660339355</v>
      </c>
      <c r="G127" s="3">
        <v>501400</v>
      </c>
      <c r="H127" s="3">
        <v>0</v>
      </c>
      <c r="I127" s="3">
        <v>0</v>
      </c>
      <c r="J127" s="3" t="str">
        <v>AB</v>
      </c>
      <c r="K127" s="23">
        <v>42179</v>
      </c>
      <c r="L127" s="22">
        <v>14.427920341491699</v>
      </c>
    </row>
    <row r="128" spans="1:12" x14ac:dyDescent="0.25">
      <c r="A128" s="9">
        <v>121</v>
      </c>
      <c r="B128" s="10">
        <v>42181</v>
      </c>
      <c r="C128" s="3">
        <v>14.07507580771529</v>
      </c>
      <c r="D128" s="3">
        <v>14.543922424316406</v>
      </c>
      <c r="E128" s="3">
        <v>14.070242223390089</v>
      </c>
      <c r="F128" s="3">
        <v>14.543922424316406</v>
      </c>
      <c r="G128" s="3">
        <v>234900</v>
      </c>
      <c r="H128" s="3">
        <v>0</v>
      </c>
      <c r="I128" s="3">
        <v>0</v>
      </c>
      <c r="J128" s="3" t="str">
        <v>AB</v>
      </c>
      <c r="K128" s="23">
        <v>42180</v>
      </c>
      <c r="L128" s="22">
        <v>14.065409660339355</v>
      </c>
    </row>
    <row r="129" spans="1:12" x14ac:dyDescent="0.25">
      <c r="A129" s="9">
        <v>122</v>
      </c>
      <c r="B129" s="10">
        <v>42184</v>
      </c>
      <c r="C129" s="3">
        <v>14.374749384588249</v>
      </c>
      <c r="D129" s="3">
        <v>14.437585053326218</v>
      </c>
      <c r="E129" s="3">
        <v>14.031573225169003</v>
      </c>
      <c r="F129" s="3">
        <v>14.07024097442627</v>
      </c>
      <c r="G129" s="3">
        <v>163900</v>
      </c>
      <c r="H129" s="3">
        <v>0</v>
      </c>
      <c r="I129" s="3">
        <v>0</v>
      </c>
      <c r="J129" s="3" t="str">
        <v>AB</v>
      </c>
      <c r="K129" s="23">
        <v>42181</v>
      </c>
      <c r="L129" s="22">
        <v>14.543922424316406</v>
      </c>
    </row>
    <row r="130" spans="1:12" x14ac:dyDescent="0.25">
      <c r="A130" s="9">
        <v>123</v>
      </c>
      <c r="B130" s="10">
        <v>42185</v>
      </c>
      <c r="C130" s="3">
        <v>14.191083372541142</v>
      </c>
      <c r="D130" s="3">
        <v>14.46659130930602</v>
      </c>
      <c r="E130" s="3">
        <v>14.142748436532235</v>
      </c>
      <c r="F130" s="3">
        <v>14.273252487182617</v>
      </c>
      <c r="G130" s="3">
        <v>137800</v>
      </c>
      <c r="H130" s="3">
        <v>0</v>
      </c>
      <c r="I130" s="3">
        <v>0</v>
      </c>
      <c r="J130" s="3" t="str">
        <v>AB</v>
      </c>
      <c r="K130" s="23">
        <v>42184</v>
      </c>
      <c r="L130" s="22">
        <v>14.07024097442627</v>
      </c>
    </row>
    <row r="131" spans="1:12" x14ac:dyDescent="0.25">
      <c r="A131" s="9">
        <v>124</v>
      </c>
      <c r="B131" s="10">
        <v>42186</v>
      </c>
      <c r="C131" s="3">
        <v>14.452086887537234</v>
      </c>
      <c r="D131" s="3">
        <v>14.539089565910897</v>
      </c>
      <c r="E131" s="3">
        <v>14.239413776169615</v>
      </c>
      <c r="F131" s="3">
        <v>14.282915115356445</v>
      </c>
      <c r="G131" s="3">
        <v>140400</v>
      </c>
      <c r="H131" s="3">
        <v>0</v>
      </c>
      <c r="I131" s="3">
        <v>0</v>
      </c>
      <c r="J131" s="3" t="str">
        <v>AB</v>
      </c>
      <c r="K131" s="23">
        <v>42185</v>
      </c>
      <c r="L131" s="22">
        <v>14.273252487182617</v>
      </c>
    </row>
    <row r="132" spans="1:12" x14ac:dyDescent="0.25">
      <c r="A132" s="9">
        <v>125</v>
      </c>
      <c r="B132" s="10">
        <v>42187</v>
      </c>
      <c r="C132" s="3">
        <v>14.307079780972252</v>
      </c>
      <c r="D132" s="3">
        <v>14.326413192924868</v>
      </c>
      <c r="E132" s="3">
        <v>14.041238221807465</v>
      </c>
      <c r="F132" s="3">
        <v>14.162075042724609</v>
      </c>
      <c r="G132" s="3">
        <v>118800</v>
      </c>
      <c r="H132" s="3">
        <v>0</v>
      </c>
      <c r="I132" s="3">
        <v>0</v>
      </c>
      <c r="J132" s="3" t="str">
        <v>AB</v>
      </c>
      <c r="K132" s="23">
        <v>42186</v>
      </c>
      <c r="L132" s="22">
        <v>14.282915115356445</v>
      </c>
    </row>
    <row r="133" spans="1:12" x14ac:dyDescent="0.25">
      <c r="A133" s="9">
        <v>126</v>
      </c>
      <c r="B133" s="10">
        <v>42191</v>
      </c>
      <c r="C133" s="3">
        <v>14.017073504746817</v>
      </c>
      <c r="D133" s="3">
        <v>14.244246433107866</v>
      </c>
      <c r="E133" s="3">
        <v>13.963904999889408</v>
      </c>
      <c r="F133" s="3">
        <v>14.157244682312012</v>
      </c>
      <c r="G133" s="3">
        <v>143600</v>
      </c>
      <c r="H133" s="3">
        <v>0</v>
      </c>
      <c r="I133" s="3">
        <v>0</v>
      </c>
      <c r="J133" s="3" t="str">
        <v>AB</v>
      </c>
      <c r="K133" s="23">
        <v>42187</v>
      </c>
      <c r="L133" s="22">
        <v>14.162075042724609</v>
      </c>
    </row>
    <row r="134" spans="1:12" x14ac:dyDescent="0.25">
      <c r="A134" s="9">
        <v>127</v>
      </c>
      <c r="B134" s="10">
        <v>42192</v>
      </c>
      <c r="C134" s="3">
        <v>14.166915701702456</v>
      </c>
      <c r="D134" s="3">
        <v>14.186250045223181</v>
      </c>
      <c r="E134" s="3">
        <v>13.988077633696955</v>
      </c>
      <c r="F134" s="3">
        <v>14.094413757324219</v>
      </c>
      <c r="G134" s="3">
        <v>153800</v>
      </c>
      <c r="H134" s="3">
        <v>0</v>
      </c>
      <c r="I134" s="3">
        <v>0</v>
      </c>
      <c r="J134" s="3" t="str">
        <v>AB</v>
      </c>
      <c r="K134" s="23">
        <v>42191</v>
      </c>
      <c r="L134" s="22">
        <v>14.157244682312012</v>
      </c>
    </row>
    <row r="135" spans="1:12" x14ac:dyDescent="0.25">
      <c r="A135" s="9">
        <v>128</v>
      </c>
      <c r="B135" s="10">
        <v>42193</v>
      </c>
      <c r="C135" s="3">
        <v>14.026743820977973</v>
      </c>
      <c r="D135" s="3">
        <v>14.157247859325933</v>
      </c>
      <c r="E135" s="3">
        <v>13.87690544128418</v>
      </c>
      <c r="F135" s="3">
        <v>13.87690544128418</v>
      </c>
      <c r="G135" s="3">
        <v>137300</v>
      </c>
      <c r="H135" s="3">
        <v>0</v>
      </c>
      <c r="I135" s="3">
        <v>0</v>
      </c>
      <c r="J135" s="3" t="str">
        <v>AB</v>
      </c>
      <c r="K135" s="23">
        <v>42192</v>
      </c>
      <c r="L135" s="22">
        <v>14.094413757324219</v>
      </c>
    </row>
    <row r="136" spans="1:12" x14ac:dyDescent="0.25">
      <c r="A136" s="9">
        <v>129</v>
      </c>
      <c r="B136" s="10">
        <v>42194</v>
      </c>
      <c r="C136" s="3">
        <v>14.012242697646606</v>
      </c>
      <c r="D136" s="3">
        <v>14.055744042622234</v>
      </c>
      <c r="E136" s="3">
        <v>13.823737484026966</v>
      </c>
      <c r="F136" s="3">
        <v>13.881738662719727</v>
      </c>
      <c r="G136" s="3">
        <v>99700</v>
      </c>
      <c r="H136" s="3">
        <v>0</v>
      </c>
      <c r="I136" s="3">
        <v>0</v>
      </c>
      <c r="J136" s="3" t="str">
        <v>AB</v>
      </c>
      <c r="K136" s="23">
        <v>42193</v>
      </c>
      <c r="L136" s="22">
        <v>13.87690544128418</v>
      </c>
    </row>
    <row r="137" spans="1:12" x14ac:dyDescent="0.25">
      <c r="A137" s="9">
        <v>130</v>
      </c>
      <c r="B137" s="10">
        <v>42195</v>
      </c>
      <c r="C137" s="3">
        <v>13.954238362789692</v>
      </c>
      <c r="D137" s="3">
        <v>14.094408614520304</v>
      </c>
      <c r="E137" s="3">
        <v>13.876901938837745</v>
      </c>
      <c r="F137" s="3">
        <v>13.97357177734375</v>
      </c>
      <c r="G137" s="3">
        <v>107600</v>
      </c>
      <c r="H137" s="3">
        <v>0</v>
      </c>
      <c r="I137" s="3">
        <v>0</v>
      </c>
      <c r="J137" s="3" t="str">
        <v>AB</v>
      </c>
      <c r="K137" s="23">
        <v>42194</v>
      </c>
      <c r="L137" s="22">
        <v>13.881738662719727</v>
      </c>
    </row>
    <row r="138" spans="1:12" x14ac:dyDescent="0.25">
      <c r="A138" s="9">
        <v>131</v>
      </c>
      <c r="B138" s="10">
        <v>42198</v>
      </c>
      <c r="C138" s="3">
        <v>14.128241520430869</v>
      </c>
      <c r="D138" s="3">
        <v>14.147575855171178</v>
      </c>
      <c r="E138" s="3">
        <v>13.896235035018101</v>
      </c>
      <c r="F138" s="3">
        <v>13.939736366271973</v>
      </c>
      <c r="G138" s="3">
        <v>121900</v>
      </c>
      <c r="H138" s="3">
        <v>0</v>
      </c>
      <c r="I138" s="3">
        <v>0</v>
      </c>
      <c r="J138" s="3" t="str">
        <v>AB</v>
      </c>
      <c r="K138" s="23">
        <v>42195</v>
      </c>
      <c r="L138" s="22">
        <v>13.97357177734375</v>
      </c>
    </row>
    <row r="139" spans="1:12" x14ac:dyDescent="0.25">
      <c r="A139" s="9">
        <v>132</v>
      </c>
      <c r="B139" s="10">
        <v>42199</v>
      </c>
      <c r="C139" s="3">
        <v>13.872070369068831</v>
      </c>
      <c r="D139" s="3">
        <v>14.017074216335093</v>
      </c>
      <c r="E139" s="3">
        <v>13.548227583056335</v>
      </c>
      <c r="F139" s="3">
        <v>13.644896507263184</v>
      </c>
      <c r="G139" s="3">
        <v>428700</v>
      </c>
      <c r="H139" s="3">
        <v>0</v>
      </c>
      <c r="I139" s="3">
        <v>0</v>
      </c>
      <c r="J139" s="3" t="str">
        <v>AB</v>
      </c>
      <c r="K139" s="23">
        <v>42198</v>
      </c>
      <c r="L139" s="22">
        <v>13.939736366271973</v>
      </c>
    </row>
    <row r="140" spans="1:12" x14ac:dyDescent="0.25">
      <c r="A140" s="9">
        <v>133</v>
      </c>
      <c r="B140" s="10">
        <v>42200</v>
      </c>
      <c r="C140" s="3">
        <v>13.630398695378739</v>
      </c>
      <c r="D140" s="3">
        <v>13.654565699533421</v>
      </c>
      <c r="E140" s="3">
        <v>13.142217651774816</v>
      </c>
      <c r="F140" s="3">
        <v>13.354889869689941</v>
      </c>
      <c r="G140" s="3">
        <v>1120000</v>
      </c>
      <c r="H140" s="3">
        <v>0</v>
      </c>
      <c r="I140" s="3">
        <v>0</v>
      </c>
      <c r="J140" s="3" t="str">
        <v>AB</v>
      </c>
      <c r="K140" s="23">
        <v>42199</v>
      </c>
      <c r="L140" s="22">
        <v>13.644896507263184</v>
      </c>
    </row>
    <row r="141" spans="1:12" x14ac:dyDescent="0.25">
      <c r="A141" s="9">
        <v>134</v>
      </c>
      <c r="B141" s="10">
        <v>42201</v>
      </c>
      <c r="C141" s="3">
        <v>13.287219478629662</v>
      </c>
      <c r="D141" s="3">
        <v>13.751233446772115</v>
      </c>
      <c r="E141" s="3">
        <v>13.287219478629662</v>
      </c>
      <c r="F141" s="3">
        <v>13.683564186096191</v>
      </c>
      <c r="G141" s="3">
        <v>387400</v>
      </c>
      <c r="H141" s="3">
        <v>0</v>
      </c>
      <c r="I141" s="3">
        <v>0</v>
      </c>
      <c r="J141" s="3" t="str">
        <v>AB</v>
      </c>
      <c r="K141" s="23">
        <v>42200</v>
      </c>
      <c r="L141" s="22">
        <v>13.354889869689941</v>
      </c>
    </row>
    <row r="142" spans="1:12" x14ac:dyDescent="0.25">
      <c r="A142" s="9">
        <v>135</v>
      </c>
      <c r="B142" s="10">
        <v>42202</v>
      </c>
      <c r="C142" s="3">
        <v>13.73189692299613</v>
      </c>
      <c r="D142" s="3">
        <v>13.862400917191337</v>
      </c>
      <c r="E142" s="3">
        <v>13.533724600808663</v>
      </c>
      <c r="F142" s="3">
        <v>13.775398254394531</v>
      </c>
      <c r="G142" s="3">
        <v>212900</v>
      </c>
      <c r="H142" s="3">
        <v>0</v>
      </c>
      <c r="I142" s="3">
        <v>0</v>
      </c>
      <c r="J142" s="3" t="str">
        <v>AB</v>
      </c>
      <c r="K142" s="23">
        <v>42201</v>
      </c>
      <c r="L142" s="22">
        <v>13.683564186096191</v>
      </c>
    </row>
    <row r="143" spans="1:12" x14ac:dyDescent="0.25">
      <c r="A143" s="9">
        <v>136</v>
      </c>
      <c r="B143" s="10">
        <v>42205</v>
      </c>
      <c r="C143" s="3">
        <v>13.85757215693981</v>
      </c>
      <c r="D143" s="3">
        <v>13.92040692310203</v>
      </c>
      <c r="E143" s="3">
        <v>13.601397663083052</v>
      </c>
      <c r="F143" s="3">
        <v>13.712568283081055</v>
      </c>
      <c r="G143" s="3">
        <v>111900</v>
      </c>
      <c r="H143" s="3">
        <v>0</v>
      </c>
      <c r="I143" s="3">
        <v>0</v>
      </c>
      <c r="J143" s="3" t="str">
        <v>AB</v>
      </c>
      <c r="K143" s="23">
        <v>42202</v>
      </c>
      <c r="L143" s="22">
        <v>13.775398254394531</v>
      </c>
    </row>
    <row r="144" spans="1:12" x14ac:dyDescent="0.25">
      <c r="A144" s="9">
        <v>137</v>
      </c>
      <c r="B144" s="10">
        <v>42206</v>
      </c>
      <c r="C144" s="3">
        <v>13.68356200789659</v>
      </c>
      <c r="D144" s="3">
        <v>13.804398834689525</v>
      </c>
      <c r="E144" s="3">
        <v>13.644894260199324</v>
      </c>
      <c r="F144" s="3">
        <v>13.775398254394531</v>
      </c>
      <c r="G144" s="3">
        <v>106400</v>
      </c>
      <c r="H144" s="3">
        <v>0</v>
      </c>
      <c r="I144" s="3">
        <v>0</v>
      </c>
      <c r="J144" s="3" t="str">
        <v>AB</v>
      </c>
      <c r="K144" s="23">
        <v>42205</v>
      </c>
      <c r="L144" s="22">
        <v>13.712568283081055</v>
      </c>
    </row>
    <row r="145" spans="1:12" x14ac:dyDescent="0.25">
      <c r="A145" s="9">
        <v>138</v>
      </c>
      <c r="B145" s="10">
        <v>42207</v>
      </c>
      <c r="C145" s="3">
        <v>13.746399135516649</v>
      </c>
      <c r="D145" s="3">
        <v>13.751232719731657</v>
      </c>
      <c r="E145" s="3">
        <v>13.470891288644662</v>
      </c>
      <c r="F145" s="3">
        <v>13.504725456237793</v>
      </c>
      <c r="G145" s="3">
        <v>134500</v>
      </c>
      <c r="H145" s="3">
        <v>0</v>
      </c>
      <c r="I145" s="3">
        <v>0</v>
      </c>
      <c r="J145" s="3" t="str">
        <v>AB</v>
      </c>
      <c r="K145" s="23">
        <v>42206</v>
      </c>
      <c r="L145" s="22">
        <v>13.775398254394531</v>
      </c>
    </row>
    <row r="146" spans="1:12" x14ac:dyDescent="0.25">
      <c r="A146" s="9">
        <v>139</v>
      </c>
      <c r="B146" s="10">
        <v>42208</v>
      </c>
      <c r="C146" s="3">
        <v>13.533724471379106</v>
      </c>
      <c r="D146" s="3">
        <v>13.557891467741841</v>
      </c>
      <c r="E146" s="3">
        <v>13.253383072777012</v>
      </c>
      <c r="F146" s="3">
        <v>13.311385154724121</v>
      </c>
      <c r="G146" s="3">
        <v>164000</v>
      </c>
      <c r="H146" s="3">
        <v>0</v>
      </c>
      <c r="I146" s="3">
        <v>0</v>
      </c>
      <c r="J146" s="3" t="str">
        <v>AB</v>
      </c>
      <c r="K146" s="23">
        <v>42207</v>
      </c>
      <c r="L146" s="22">
        <v>13.504725456237793</v>
      </c>
    </row>
    <row r="147" spans="1:12" x14ac:dyDescent="0.25">
      <c r="A147" s="9">
        <v>140</v>
      </c>
      <c r="B147" s="10">
        <v>42209</v>
      </c>
      <c r="C147" s="3">
        <v>13.272715160271538</v>
      </c>
      <c r="D147" s="3">
        <v>13.311383825649953</v>
      </c>
      <c r="E147" s="3">
        <v>12.673364675581988</v>
      </c>
      <c r="F147" s="3">
        <v>12.79903507232666</v>
      </c>
      <c r="G147" s="3">
        <v>477200</v>
      </c>
      <c r="H147" s="3">
        <v>0</v>
      </c>
      <c r="I147" s="3">
        <v>0</v>
      </c>
      <c r="J147" s="3" t="str">
        <v>AB</v>
      </c>
      <c r="K147" s="23">
        <v>42208</v>
      </c>
      <c r="L147" s="22">
        <v>13.311385154724121</v>
      </c>
    </row>
    <row r="148" spans="1:12" x14ac:dyDescent="0.25">
      <c r="A148" s="9">
        <v>141</v>
      </c>
      <c r="B148" s="10">
        <v>42212</v>
      </c>
      <c r="C148" s="3">
        <v>12.692702433616075</v>
      </c>
      <c r="D148" s="3">
        <v>12.929542541503906</v>
      </c>
      <c r="E148" s="3">
        <v>12.349525311064175</v>
      </c>
      <c r="F148" s="3">
        <v>12.929542541503906</v>
      </c>
      <c r="G148" s="3">
        <v>307700</v>
      </c>
      <c r="H148" s="3">
        <v>0</v>
      </c>
      <c r="I148" s="3">
        <v>0</v>
      </c>
      <c r="J148" s="3" t="str">
        <v>AB</v>
      </c>
      <c r="K148" s="23">
        <v>42209</v>
      </c>
      <c r="L148" s="22">
        <v>12.79903507232666</v>
      </c>
    </row>
    <row r="149" spans="1:12" x14ac:dyDescent="0.25">
      <c r="A149" s="9">
        <v>142</v>
      </c>
      <c r="B149" s="10">
        <v>42213</v>
      </c>
      <c r="C149" s="3">
        <v>13.031046356722431</v>
      </c>
      <c r="D149" s="3">
        <v>13.20505172768854</v>
      </c>
      <c r="E149" s="3">
        <v>12.832873982860839</v>
      </c>
      <c r="F149" s="3">
        <v>13.176051139831543</v>
      </c>
      <c r="G149" s="3">
        <v>141000</v>
      </c>
      <c r="H149" s="3">
        <v>0</v>
      </c>
      <c r="I149" s="3">
        <v>0</v>
      </c>
      <c r="J149" s="3" t="str">
        <v>AB</v>
      </c>
      <c r="K149" s="23">
        <v>42212</v>
      </c>
      <c r="L149" s="22">
        <v>12.929542541503906</v>
      </c>
    </row>
    <row r="150" spans="1:12" x14ac:dyDescent="0.25">
      <c r="A150" s="9">
        <v>143</v>
      </c>
      <c r="B150" s="10">
        <v>42214</v>
      </c>
      <c r="C150" s="3">
        <v>13.127717000363106</v>
      </c>
      <c r="D150" s="3">
        <v>13.335556556627143</v>
      </c>
      <c r="E150" s="3">
        <v>13.098716410764812</v>
      </c>
      <c r="F150" s="3">
        <v>13.253387451171875</v>
      </c>
      <c r="G150" s="3">
        <v>265400</v>
      </c>
      <c r="H150" s="3">
        <v>0</v>
      </c>
      <c r="I150" s="3">
        <v>0</v>
      </c>
      <c r="J150" s="3" t="str">
        <v>AB</v>
      </c>
      <c r="K150" s="23">
        <v>42213</v>
      </c>
      <c r="L150" s="22">
        <v>13.176051139831543</v>
      </c>
    </row>
    <row r="151" spans="1:12" x14ac:dyDescent="0.25">
      <c r="A151" s="9">
        <v>144</v>
      </c>
      <c r="B151" s="10">
        <v>42215</v>
      </c>
      <c r="C151" s="3">
        <v>13.369386127007918</v>
      </c>
      <c r="D151" s="3">
        <v>13.47572220018718</v>
      </c>
      <c r="E151" s="3">
        <v>13.098711899516827</v>
      </c>
      <c r="F151" s="3">
        <v>13.13737964630127</v>
      </c>
      <c r="G151" s="3">
        <v>146700</v>
      </c>
      <c r="H151" s="3">
        <v>0</v>
      </c>
      <c r="I151" s="3">
        <v>0</v>
      </c>
      <c r="J151" s="3" t="str">
        <v>AB</v>
      </c>
      <c r="K151" s="23">
        <v>42214</v>
      </c>
      <c r="L151" s="22">
        <v>13.253387451171875</v>
      </c>
    </row>
    <row r="152" spans="1:12" x14ac:dyDescent="0.25">
      <c r="A152" s="9">
        <v>145</v>
      </c>
      <c r="B152" s="10">
        <v>42216</v>
      </c>
      <c r="C152" s="3">
        <v>13.171214617623111</v>
      </c>
      <c r="D152" s="3">
        <v>13.364553363407683</v>
      </c>
      <c r="E152" s="3">
        <v>13.016543620995453</v>
      </c>
      <c r="F152" s="3">
        <v>13.27755069732666</v>
      </c>
      <c r="G152" s="3">
        <v>184400</v>
      </c>
      <c r="H152" s="3">
        <v>0</v>
      </c>
      <c r="I152" s="3">
        <v>0</v>
      </c>
      <c r="J152" s="3" t="str">
        <v>AB</v>
      </c>
      <c r="K152" s="23">
        <v>42215</v>
      </c>
      <c r="L152" s="22">
        <v>13.13737964630127</v>
      </c>
    </row>
    <row r="153" spans="1:12" x14ac:dyDescent="0.25">
      <c r="A153" s="9">
        <v>146</v>
      </c>
      <c r="B153" s="10">
        <v>42219</v>
      </c>
      <c r="C153" s="3">
        <v>13.292055293745568</v>
      </c>
      <c r="D153" s="3">
        <v>13.615898132324219</v>
      </c>
      <c r="E153" s="3">
        <v>13.18571918328397</v>
      </c>
      <c r="F153" s="3">
        <v>13.615898132324219</v>
      </c>
      <c r="G153" s="3">
        <v>270800</v>
      </c>
      <c r="H153" s="3">
        <v>0</v>
      </c>
      <c r="I153" s="3">
        <v>0</v>
      </c>
      <c r="J153" s="3" t="str">
        <v>AB</v>
      </c>
      <c r="K153" s="23">
        <v>42216</v>
      </c>
      <c r="L153" s="22">
        <v>13.27755069732666</v>
      </c>
    </row>
    <row r="154" spans="1:12" x14ac:dyDescent="0.25">
      <c r="A154" s="9">
        <v>147</v>
      </c>
      <c r="B154" s="10">
        <v>42220</v>
      </c>
      <c r="C154" s="3">
        <v>13.62556459671066</v>
      </c>
      <c r="D154" s="3">
        <v>14.118578285037501</v>
      </c>
      <c r="E154" s="3">
        <v>13.62556459671066</v>
      </c>
      <c r="F154" s="3">
        <v>14.026742935180664</v>
      </c>
      <c r="G154" s="3">
        <v>313200</v>
      </c>
      <c r="H154" s="3">
        <v>0</v>
      </c>
      <c r="I154" s="3">
        <v>0</v>
      </c>
      <c r="J154" s="3" t="str">
        <v>AB</v>
      </c>
      <c r="K154" s="23">
        <v>42219</v>
      </c>
      <c r="L154" s="22">
        <v>13.615898132324219</v>
      </c>
    </row>
    <row r="155" spans="1:12" x14ac:dyDescent="0.25">
      <c r="A155" s="9">
        <v>148</v>
      </c>
      <c r="B155" s="10">
        <v>42221</v>
      </c>
      <c r="C155" s="3">
        <v>14.089574399235277</v>
      </c>
      <c r="D155" s="3">
        <v>14.253912564186511</v>
      </c>
      <c r="E155" s="3">
        <v>13.70773049025696</v>
      </c>
      <c r="F155" s="3">
        <v>13.71739673614502</v>
      </c>
      <c r="G155" s="3">
        <v>560500</v>
      </c>
      <c r="H155" s="3">
        <v>0</v>
      </c>
      <c r="I155" s="3">
        <v>0</v>
      </c>
      <c r="J155" s="3" t="str">
        <v>AB</v>
      </c>
      <c r="K155" s="23">
        <v>42220</v>
      </c>
      <c r="L155" s="22">
        <v>14.026742935180664</v>
      </c>
    </row>
    <row r="156" spans="1:12" x14ac:dyDescent="0.25">
      <c r="A156" s="9">
        <v>149</v>
      </c>
      <c r="B156" s="10">
        <v>42222</v>
      </c>
      <c r="C156" s="3">
        <v>13.712481243285264</v>
      </c>
      <c r="D156" s="3">
        <v>13.800980736384021</v>
      </c>
      <c r="E156" s="3">
        <v>13.397817212509937</v>
      </c>
      <c r="F156" s="3">
        <v>13.545315742492676</v>
      </c>
      <c r="G156" s="3">
        <v>261300</v>
      </c>
      <c r="H156" s="3">
        <v>0.48</v>
      </c>
      <c r="I156" s="3">
        <v>0</v>
      </c>
      <c r="J156" s="3" t="str">
        <v>AB</v>
      </c>
      <c r="K156" s="23">
        <v>42221</v>
      </c>
      <c r="L156" s="22">
        <v>13.71739673614502</v>
      </c>
    </row>
    <row r="157" spans="1:12" x14ac:dyDescent="0.25">
      <c r="A157" s="9">
        <v>150</v>
      </c>
      <c r="B157" s="10">
        <v>42223</v>
      </c>
      <c r="C157" s="3">
        <v>13.564983090034344</v>
      </c>
      <c r="D157" s="3">
        <v>13.889480615226665</v>
      </c>
      <c r="E157" s="3">
        <v>13.520733342256046</v>
      </c>
      <c r="F157" s="3">
        <v>13.796064376831055</v>
      </c>
      <c r="G157" s="3">
        <v>233100</v>
      </c>
      <c r="H157" s="3">
        <v>0</v>
      </c>
      <c r="I157" s="3">
        <v>0</v>
      </c>
      <c r="J157" s="3" t="str">
        <v>AB</v>
      </c>
      <c r="K157" s="23">
        <v>42222</v>
      </c>
      <c r="L157" s="22">
        <v>13.545315742492676</v>
      </c>
    </row>
    <row r="158" spans="1:12" x14ac:dyDescent="0.25">
      <c r="A158" s="9">
        <v>151</v>
      </c>
      <c r="B158" s="10">
        <v>42226</v>
      </c>
      <c r="C158" s="3">
        <v>13.933730561894755</v>
      </c>
      <c r="D158" s="3">
        <v>14.302477840128866</v>
      </c>
      <c r="E158" s="3">
        <v>13.830480836347336</v>
      </c>
      <c r="F158" s="3">
        <v>14.150062561035156</v>
      </c>
      <c r="G158" s="3">
        <v>425900</v>
      </c>
      <c r="H158" s="3">
        <v>0</v>
      </c>
      <c r="I158" s="3">
        <v>0</v>
      </c>
      <c r="J158" s="3" t="str">
        <v>AB</v>
      </c>
      <c r="K158" s="23">
        <v>42223</v>
      </c>
      <c r="L158" s="22">
        <v>13.796064376831055</v>
      </c>
    </row>
    <row r="159" spans="1:12" x14ac:dyDescent="0.25">
      <c r="A159" s="9">
        <v>152</v>
      </c>
      <c r="B159" s="10">
        <v>42227</v>
      </c>
      <c r="C159" s="3">
        <v>13.928813784408661</v>
      </c>
      <c r="D159" s="3">
        <v>14.282810833036427</v>
      </c>
      <c r="E159" s="3">
        <v>13.923897041511673</v>
      </c>
      <c r="F159" s="3">
        <v>13.938647270202637</v>
      </c>
      <c r="G159" s="3">
        <v>281800</v>
      </c>
      <c r="H159" s="3">
        <v>0</v>
      </c>
      <c r="I159" s="3">
        <v>0</v>
      </c>
      <c r="J159" s="3" t="str">
        <v>AB</v>
      </c>
      <c r="K159" s="23">
        <v>42226</v>
      </c>
      <c r="L159" s="22">
        <v>14.150062561035156</v>
      </c>
    </row>
    <row r="160" spans="1:12" x14ac:dyDescent="0.25">
      <c r="A160" s="9">
        <v>153</v>
      </c>
      <c r="B160" s="10">
        <v>42228</v>
      </c>
      <c r="C160" s="3">
        <v>13.805896221180262</v>
      </c>
      <c r="D160" s="3">
        <v>13.810812963434742</v>
      </c>
      <c r="E160" s="3">
        <v>13.407649476294372</v>
      </c>
      <c r="F160" s="3">
        <v>13.71739673614502</v>
      </c>
      <c r="G160" s="3">
        <v>362500</v>
      </c>
      <c r="H160" s="3">
        <v>0</v>
      </c>
      <c r="I160" s="3">
        <v>0</v>
      </c>
      <c r="J160" s="3" t="str">
        <v>AB</v>
      </c>
      <c r="K160" s="23">
        <v>42227</v>
      </c>
      <c r="L160" s="22">
        <v>13.938647270202637</v>
      </c>
    </row>
    <row r="161" spans="1:12" x14ac:dyDescent="0.25">
      <c r="A161" s="9">
        <v>154</v>
      </c>
      <c r="B161" s="10">
        <v>42229</v>
      </c>
      <c r="C161" s="3">
        <v>13.761648552502541</v>
      </c>
      <c r="D161" s="3">
        <v>14.002563332641015</v>
      </c>
      <c r="E161" s="3">
        <v>13.614150013731342</v>
      </c>
      <c r="F161" s="3">
        <v>13.859981536865234</v>
      </c>
      <c r="G161" s="3">
        <v>300200</v>
      </c>
      <c r="H161" s="3">
        <v>0</v>
      </c>
      <c r="I161" s="3">
        <v>0</v>
      </c>
      <c r="J161" s="3" t="str">
        <v>AB</v>
      </c>
      <c r="K161" s="23">
        <v>42228</v>
      </c>
      <c r="L161" s="22">
        <v>13.71739673614502</v>
      </c>
    </row>
    <row r="162" spans="1:12" x14ac:dyDescent="0.25">
      <c r="A162" s="9">
        <v>155</v>
      </c>
      <c r="B162" s="10">
        <v>42230</v>
      </c>
      <c r="C162" s="3">
        <v>13.914062126037154</v>
      </c>
      <c r="D162" s="3">
        <v>14.145144329587625</v>
      </c>
      <c r="E162" s="3">
        <v>13.835396123313975</v>
      </c>
      <c r="F162" s="3">
        <v>14.061561584472656</v>
      </c>
      <c r="G162" s="3">
        <v>235200</v>
      </c>
      <c r="H162" s="3">
        <v>0</v>
      </c>
      <c r="I162" s="3">
        <v>0</v>
      </c>
      <c r="J162" s="3" t="str">
        <v>AB</v>
      </c>
      <c r="K162" s="23">
        <v>42229</v>
      </c>
      <c r="L162" s="22">
        <v>13.859981536865234</v>
      </c>
    </row>
    <row r="163" spans="1:12" x14ac:dyDescent="0.25">
      <c r="A163" s="9">
        <v>156</v>
      </c>
      <c r="B163" s="10">
        <v>42233</v>
      </c>
      <c r="C163" s="3">
        <v>14.046815455199249</v>
      </c>
      <c r="D163" s="3">
        <v>14.272980982337595</v>
      </c>
      <c r="E163" s="3">
        <v>13.909150379158778</v>
      </c>
      <c r="F163" s="3">
        <v>14.194314956665039</v>
      </c>
      <c r="G163" s="3">
        <v>192700</v>
      </c>
      <c r="H163" s="3">
        <v>0</v>
      </c>
      <c r="I163" s="3">
        <v>0</v>
      </c>
      <c r="J163" s="3" t="str">
        <v>AB</v>
      </c>
      <c r="K163" s="23">
        <v>42230</v>
      </c>
      <c r="L163" s="22">
        <v>14.061561584472656</v>
      </c>
    </row>
    <row r="164" spans="1:12" x14ac:dyDescent="0.25">
      <c r="A164" s="9">
        <v>157</v>
      </c>
      <c r="B164" s="10">
        <v>42234</v>
      </c>
      <c r="C164" s="3">
        <v>14.056646589212441</v>
      </c>
      <c r="D164" s="3">
        <v>14.159895378954861</v>
      </c>
      <c r="E164" s="3">
        <v>13.869814106193529</v>
      </c>
      <c r="F164" s="3">
        <v>13.918980598449707</v>
      </c>
      <c r="G164" s="3">
        <v>270700</v>
      </c>
      <c r="H164" s="3">
        <v>0</v>
      </c>
      <c r="I164" s="3">
        <v>0</v>
      </c>
      <c r="J164" s="3" t="str">
        <v>AB</v>
      </c>
      <c r="K164" s="23">
        <v>42233</v>
      </c>
      <c r="L164" s="22">
        <v>14.194314956665039</v>
      </c>
    </row>
    <row r="165" spans="1:12" x14ac:dyDescent="0.25">
      <c r="A165" s="9">
        <v>158</v>
      </c>
      <c r="B165" s="10">
        <v>42235</v>
      </c>
      <c r="C165" s="3">
        <v>13.909151602471635</v>
      </c>
      <c r="D165" s="3">
        <v>14.036983202102606</v>
      </c>
      <c r="E165" s="3">
        <v>13.712485583220431</v>
      </c>
      <c r="F165" s="3">
        <v>13.786235809326172</v>
      </c>
      <c r="G165" s="3">
        <v>262000</v>
      </c>
      <c r="H165" s="3">
        <v>0</v>
      </c>
      <c r="I165" s="3">
        <v>0</v>
      </c>
      <c r="J165" s="3" t="str">
        <v>AB</v>
      </c>
      <c r="K165" s="23">
        <v>42234</v>
      </c>
      <c r="L165" s="22">
        <v>13.918980598449707</v>
      </c>
    </row>
    <row r="166" spans="1:12" x14ac:dyDescent="0.25">
      <c r="A166" s="9">
        <v>159</v>
      </c>
      <c r="B166" s="10">
        <v>42236</v>
      </c>
      <c r="C166" s="3">
        <v>13.692817088717115</v>
      </c>
      <c r="D166" s="3">
        <v>13.727233354583014</v>
      </c>
      <c r="E166" s="3">
        <v>13.35848604126625</v>
      </c>
      <c r="F166" s="3">
        <v>13.427318572998047</v>
      </c>
      <c r="G166" s="3">
        <v>300400</v>
      </c>
      <c r="H166" s="3">
        <v>0</v>
      </c>
      <c r="I166" s="3">
        <v>0</v>
      </c>
      <c r="J166" s="3" t="str">
        <v>AB</v>
      </c>
      <c r="K166" s="23">
        <v>42235</v>
      </c>
      <c r="L166" s="22">
        <v>13.786235809326172</v>
      </c>
    </row>
    <row r="167" spans="1:12" x14ac:dyDescent="0.25">
      <c r="A167" s="9">
        <v>160</v>
      </c>
      <c r="B167" s="10">
        <v>42237</v>
      </c>
      <c r="C167" s="3">
        <v>13.304403535757434</v>
      </c>
      <c r="D167" s="3">
        <v>13.304403535757434</v>
      </c>
      <c r="E167" s="3">
        <v>12.793074387395412</v>
      </c>
      <c r="F167" s="3">
        <v>12.837324142456055</v>
      </c>
      <c r="G167" s="3">
        <v>326300</v>
      </c>
      <c r="H167" s="3">
        <v>0</v>
      </c>
      <c r="I167" s="3">
        <v>0</v>
      </c>
      <c r="J167" s="3" t="str">
        <v>AB</v>
      </c>
      <c r="K167" s="23">
        <v>42236</v>
      </c>
      <c r="L167" s="22">
        <v>13.427318572998047</v>
      </c>
    </row>
    <row r="168" spans="1:12" x14ac:dyDescent="0.25">
      <c r="A168" s="9">
        <v>161</v>
      </c>
      <c r="B168" s="10">
        <v>42240</v>
      </c>
      <c r="C168" s="3">
        <v>12.183408549892881</v>
      </c>
      <c r="D168" s="3">
        <v>12.404656320382326</v>
      </c>
      <c r="E168" s="3">
        <v>10.81658517637142</v>
      </c>
      <c r="F168" s="3">
        <v>12.380073547363281</v>
      </c>
      <c r="G168" s="3">
        <v>716800</v>
      </c>
      <c r="H168" s="3">
        <v>0</v>
      </c>
      <c r="I168" s="3">
        <v>0</v>
      </c>
      <c r="J168" s="3" t="str">
        <v>AB</v>
      </c>
      <c r="K168" s="23">
        <v>42237</v>
      </c>
      <c r="L168" s="22">
        <v>12.837324142456055</v>
      </c>
    </row>
    <row r="169" spans="1:12" x14ac:dyDescent="0.25">
      <c r="A169" s="9">
        <v>162</v>
      </c>
      <c r="B169" s="10">
        <v>42241</v>
      </c>
      <c r="C169" s="3">
        <v>12.704572076719677</v>
      </c>
      <c r="D169" s="3">
        <v>12.950403578300516</v>
      </c>
      <c r="E169" s="3">
        <v>12.399740602139421</v>
      </c>
      <c r="F169" s="3">
        <v>12.498073577880859</v>
      </c>
      <c r="G169" s="3">
        <v>251200</v>
      </c>
      <c r="H169" s="3">
        <v>0</v>
      </c>
      <c r="I169" s="3">
        <v>0</v>
      </c>
      <c r="J169" s="3" t="str">
        <v>AB</v>
      </c>
      <c r="K169" s="23">
        <v>42240</v>
      </c>
      <c r="L169" s="22">
        <v>12.380073547363281</v>
      </c>
    </row>
    <row r="170" spans="1:12" x14ac:dyDescent="0.25">
      <c r="A170" s="9">
        <v>163</v>
      </c>
      <c r="B170" s="10">
        <v>42242</v>
      </c>
      <c r="C170" s="3">
        <v>12.743901801563515</v>
      </c>
      <c r="D170" s="3">
        <v>13.083149449062518</v>
      </c>
      <c r="E170" s="3">
        <v>12.547236838438195</v>
      </c>
      <c r="F170" s="3">
        <v>13.019232749938965</v>
      </c>
      <c r="G170" s="3">
        <v>233300</v>
      </c>
      <c r="H170" s="3">
        <v>0</v>
      </c>
      <c r="I170" s="3">
        <v>0</v>
      </c>
      <c r="J170" s="3" t="str">
        <v>AB</v>
      </c>
      <c r="K170" s="23">
        <v>42241</v>
      </c>
      <c r="L170" s="22">
        <v>12.498073577880859</v>
      </c>
    </row>
    <row r="171" spans="1:12" x14ac:dyDescent="0.25">
      <c r="A171" s="9">
        <v>164</v>
      </c>
      <c r="B171" s="10">
        <v>42243</v>
      </c>
      <c r="C171" s="3">
        <v>13.319151326710548</v>
      </c>
      <c r="D171" s="3">
        <v>13.545315866456935</v>
      </c>
      <c r="E171" s="3">
        <v>13.048737040009817</v>
      </c>
      <c r="F171" s="3">
        <v>13.324068069458008</v>
      </c>
      <c r="G171" s="3">
        <v>348600</v>
      </c>
      <c r="H171" s="3">
        <v>0</v>
      </c>
      <c r="I171" s="3">
        <v>0</v>
      </c>
      <c r="J171" s="3" t="str">
        <v>AB</v>
      </c>
      <c r="K171" s="23">
        <v>42242</v>
      </c>
      <c r="L171" s="22">
        <v>13.019232749938965</v>
      </c>
    </row>
    <row r="172" spans="1:12" x14ac:dyDescent="0.25">
      <c r="A172" s="9">
        <v>165</v>
      </c>
      <c r="B172" s="10">
        <v>42244</v>
      </c>
      <c r="C172" s="3">
        <v>13.284733390339856</v>
      </c>
      <c r="D172" s="3">
        <v>13.628896899315485</v>
      </c>
      <c r="E172" s="3">
        <v>13.274899906084721</v>
      </c>
      <c r="F172" s="3">
        <v>13.432231903076172</v>
      </c>
      <c r="G172" s="3">
        <v>195000</v>
      </c>
      <c r="H172" s="3">
        <v>0</v>
      </c>
      <c r="I172" s="3">
        <v>0</v>
      </c>
      <c r="J172" s="3" t="str">
        <v>AB</v>
      </c>
      <c r="K172" s="23">
        <v>42243</v>
      </c>
      <c r="L172" s="22">
        <v>13.324068069458008</v>
      </c>
    </row>
    <row r="173" spans="1:12" x14ac:dyDescent="0.25">
      <c r="A173" s="9">
        <v>166</v>
      </c>
      <c r="B173" s="10">
        <v>42247</v>
      </c>
      <c r="C173" s="3">
        <v>13.304400218125718</v>
      </c>
      <c r="D173" s="3">
        <v>13.589564714199703</v>
      </c>
      <c r="E173" s="3">
        <v>13.274900701365715</v>
      </c>
      <c r="F173" s="3">
        <v>13.442066192626953</v>
      </c>
      <c r="G173" s="3">
        <v>232400</v>
      </c>
      <c r="H173" s="3">
        <v>0</v>
      </c>
      <c r="I173" s="3">
        <v>0</v>
      </c>
      <c r="J173" s="3" t="str">
        <v>AB</v>
      </c>
      <c r="K173" s="23">
        <v>42244</v>
      </c>
      <c r="L173" s="22">
        <v>13.432231903076172</v>
      </c>
    </row>
    <row r="174" spans="1:12" x14ac:dyDescent="0.25">
      <c r="A174" s="9">
        <v>167</v>
      </c>
      <c r="B174" s="10">
        <v>42248</v>
      </c>
      <c r="C174" s="3">
        <v>13.235570361322486</v>
      </c>
      <c r="D174" s="3">
        <v>13.294570344479618</v>
      </c>
      <c r="E174" s="3">
        <v>12.876656532287598</v>
      </c>
      <c r="F174" s="3">
        <v>12.876656532287598</v>
      </c>
      <c r="G174" s="3">
        <v>268800</v>
      </c>
      <c r="H174" s="3">
        <v>0</v>
      </c>
      <c r="I174" s="3">
        <v>0</v>
      </c>
      <c r="J174" s="3" t="str">
        <v>AB</v>
      </c>
      <c r="K174" s="23">
        <v>42247</v>
      </c>
      <c r="L174" s="22">
        <v>13.442066192626953</v>
      </c>
    </row>
    <row r="175" spans="1:12" x14ac:dyDescent="0.25">
      <c r="A175" s="9">
        <v>168</v>
      </c>
      <c r="B175" s="10">
        <v>42249</v>
      </c>
      <c r="C175" s="3">
        <v>12.979905451036737</v>
      </c>
      <c r="D175" s="3">
        <v>13.102821224129459</v>
      </c>
      <c r="E175" s="3">
        <v>12.655407885093789</v>
      </c>
      <c r="F175" s="3">
        <v>12.807823181152344</v>
      </c>
      <c r="G175" s="3">
        <v>221900</v>
      </c>
      <c r="H175" s="3">
        <v>0</v>
      </c>
      <c r="I175" s="3">
        <v>0</v>
      </c>
      <c r="J175" s="3" t="str">
        <v>AB</v>
      </c>
      <c r="K175" s="23">
        <v>42248</v>
      </c>
      <c r="L175" s="22">
        <v>12.876656532287598</v>
      </c>
    </row>
    <row r="176" spans="1:12" x14ac:dyDescent="0.25">
      <c r="A176" s="9">
        <v>169</v>
      </c>
      <c r="B176" s="10">
        <v>42250</v>
      </c>
      <c r="C176" s="3">
        <v>12.807820624234687</v>
      </c>
      <c r="D176" s="3">
        <v>12.852070368736005</v>
      </c>
      <c r="E176" s="3">
        <v>12.611155614102575</v>
      </c>
      <c r="F176" s="3">
        <v>12.635739326477051</v>
      </c>
      <c r="G176" s="3">
        <v>246400</v>
      </c>
      <c r="H176" s="3">
        <v>0</v>
      </c>
      <c r="I176" s="3">
        <v>0</v>
      </c>
      <c r="J176" s="3" t="str">
        <v>AB</v>
      </c>
      <c r="K176" s="23">
        <v>42249</v>
      </c>
      <c r="L176" s="22">
        <v>12.807823181152344</v>
      </c>
    </row>
    <row r="177" spans="1:12" x14ac:dyDescent="0.25">
      <c r="A177" s="9">
        <v>170</v>
      </c>
      <c r="B177" s="10">
        <v>42251</v>
      </c>
      <c r="C177" s="3">
        <v>12.537405278011493</v>
      </c>
      <c r="D177" s="3">
        <v>12.783236754050934</v>
      </c>
      <c r="E177" s="3">
        <v>12.389906767496891</v>
      </c>
      <c r="F177" s="3">
        <v>12.458739280700684</v>
      </c>
      <c r="G177" s="3">
        <v>273200</v>
      </c>
      <c r="H177" s="3">
        <v>0</v>
      </c>
      <c r="I177" s="3">
        <v>0</v>
      </c>
      <c r="J177" s="3" t="str">
        <v>AB</v>
      </c>
      <c r="K177" s="23">
        <v>42250</v>
      </c>
      <c r="L177" s="22">
        <v>12.635739326477051</v>
      </c>
    </row>
    <row r="178" spans="1:12" x14ac:dyDescent="0.25">
      <c r="A178" s="9">
        <v>171</v>
      </c>
      <c r="B178" s="10">
        <v>42255</v>
      </c>
      <c r="C178" s="3">
        <v>12.606240247359953</v>
      </c>
      <c r="D178" s="3">
        <v>13.0634870319249</v>
      </c>
      <c r="E178" s="3">
        <v>12.542324463756596</v>
      </c>
      <c r="F178" s="3">
        <v>13.004487991333008</v>
      </c>
      <c r="G178" s="3">
        <v>260400</v>
      </c>
      <c r="H178" s="3">
        <v>0</v>
      </c>
      <c r="I178" s="3">
        <v>0</v>
      </c>
      <c r="J178" s="3" t="str">
        <v>AB</v>
      </c>
      <c r="K178" s="23">
        <v>42251</v>
      </c>
      <c r="L178" s="22">
        <v>12.458739280700684</v>
      </c>
    </row>
    <row r="179" spans="1:12" x14ac:dyDescent="0.25">
      <c r="A179" s="9">
        <v>172</v>
      </c>
      <c r="B179" s="10">
        <v>42256</v>
      </c>
      <c r="C179" s="3">
        <v>13.176564869047482</v>
      </c>
      <c r="D179" s="3">
        <v>13.289648044670869</v>
      </c>
      <c r="E179" s="3">
        <v>12.901233917566787</v>
      </c>
      <c r="F179" s="3">
        <v>13.0093994140625</v>
      </c>
      <c r="G179" s="3">
        <v>179700</v>
      </c>
      <c r="H179" s="3">
        <v>0</v>
      </c>
      <c r="I179" s="3">
        <v>0</v>
      </c>
      <c r="J179" s="3" t="str">
        <v>AB</v>
      </c>
      <c r="K179" s="23">
        <v>42255</v>
      </c>
      <c r="L179" s="22">
        <v>13.004487991333008</v>
      </c>
    </row>
    <row r="180" spans="1:12" x14ac:dyDescent="0.25">
      <c r="A180" s="9">
        <v>173</v>
      </c>
      <c r="B180" s="10">
        <v>42257</v>
      </c>
      <c r="C180" s="3">
        <v>12.970067483049823</v>
      </c>
      <c r="D180" s="3">
        <v>13.20606639855918</v>
      </c>
      <c r="E180" s="3">
        <v>12.911068457501935</v>
      </c>
      <c r="F180" s="3">
        <v>12.940567970275879</v>
      </c>
      <c r="G180" s="3">
        <v>244200</v>
      </c>
      <c r="H180" s="3">
        <v>0</v>
      </c>
      <c r="I180" s="3">
        <v>0</v>
      </c>
      <c r="J180" s="3" t="str">
        <v>AB</v>
      </c>
      <c r="K180" s="23">
        <v>42256</v>
      </c>
      <c r="L180" s="22">
        <v>13.0093994140625</v>
      </c>
    </row>
    <row r="181" spans="1:12" x14ac:dyDescent="0.25">
      <c r="A181" s="9">
        <v>174</v>
      </c>
      <c r="B181" s="10">
        <v>42258</v>
      </c>
      <c r="C181" s="3">
        <v>12.788155406265147</v>
      </c>
      <c r="D181" s="3">
        <v>12.960237652751132</v>
      </c>
      <c r="E181" s="3">
        <v>12.719322882779874</v>
      </c>
      <c r="F181" s="3">
        <v>12.950404167175293</v>
      </c>
      <c r="G181" s="3">
        <v>203500</v>
      </c>
      <c r="H181" s="3">
        <v>0</v>
      </c>
      <c r="I181" s="3">
        <v>0</v>
      </c>
      <c r="J181" s="3" t="str">
        <v>AB</v>
      </c>
      <c r="K181" s="23">
        <v>42257</v>
      </c>
      <c r="L181" s="22">
        <v>12.940567970275879</v>
      </c>
    </row>
    <row r="182" spans="1:12" x14ac:dyDescent="0.25">
      <c r="A182" s="9">
        <v>175</v>
      </c>
      <c r="B182" s="10">
        <v>42261</v>
      </c>
      <c r="C182" s="3">
        <v>12.925820434155799</v>
      </c>
      <c r="D182" s="3">
        <v>13.260150479029861</v>
      </c>
      <c r="E182" s="3">
        <v>12.881570690112975</v>
      </c>
      <c r="F182" s="3">
        <v>13.196234703063965</v>
      </c>
      <c r="G182" s="3">
        <v>186700</v>
      </c>
      <c r="H182" s="3">
        <v>0</v>
      </c>
      <c r="I182" s="3">
        <v>0</v>
      </c>
      <c r="J182" s="3" t="str">
        <v>AB</v>
      </c>
      <c r="K182" s="23">
        <v>42258</v>
      </c>
      <c r="L182" s="22">
        <v>12.950404167175293</v>
      </c>
    </row>
    <row r="183" spans="1:12" x14ac:dyDescent="0.25">
      <c r="A183" s="9">
        <v>176</v>
      </c>
      <c r="B183" s="10">
        <v>42262</v>
      </c>
      <c r="C183" s="3">
        <v>13.201152671558335</v>
      </c>
      <c r="D183" s="3">
        <v>13.540400428137055</v>
      </c>
      <c r="E183" s="3">
        <v>13.053653198458848</v>
      </c>
      <c r="F183" s="3">
        <v>13.42240047454834</v>
      </c>
      <c r="G183" s="3">
        <v>192500</v>
      </c>
      <c r="H183" s="3">
        <v>0</v>
      </c>
      <c r="I183" s="3">
        <v>0</v>
      </c>
      <c r="J183" s="3" t="str">
        <v>AB</v>
      </c>
      <c r="K183" s="23">
        <v>42261</v>
      </c>
      <c r="L183" s="22">
        <v>13.196234703063965</v>
      </c>
    </row>
    <row r="184" spans="1:12" x14ac:dyDescent="0.25">
      <c r="A184" s="9">
        <v>177</v>
      </c>
      <c r="B184" s="10">
        <v>42263</v>
      </c>
      <c r="C184" s="3">
        <v>13.402733400518995</v>
      </c>
      <c r="D184" s="3">
        <v>13.486316147456085</v>
      </c>
      <c r="E184" s="3">
        <v>13.009402440555679</v>
      </c>
      <c r="F184" s="3">
        <v>13.39781665802002</v>
      </c>
      <c r="G184" s="3">
        <v>251100</v>
      </c>
      <c r="H184" s="3">
        <v>0</v>
      </c>
      <c r="I184" s="3">
        <v>0</v>
      </c>
      <c r="J184" s="3" t="str">
        <v>AB</v>
      </c>
      <c r="K184" s="23">
        <v>42262</v>
      </c>
      <c r="L184" s="22">
        <v>13.42240047454834</v>
      </c>
    </row>
    <row r="185" spans="1:12" x14ac:dyDescent="0.25">
      <c r="A185" s="9">
        <v>178</v>
      </c>
      <c r="B185" s="10">
        <v>42264</v>
      </c>
      <c r="C185" s="3">
        <v>13.348650489796777</v>
      </c>
      <c r="D185" s="3">
        <v>13.727231231310142</v>
      </c>
      <c r="E185" s="3">
        <v>13.348650489796777</v>
      </c>
      <c r="F185" s="3">
        <v>13.530566215515137</v>
      </c>
      <c r="G185" s="3">
        <v>112500</v>
      </c>
      <c r="H185" s="3">
        <v>0</v>
      </c>
      <c r="I185" s="3">
        <v>0</v>
      </c>
      <c r="J185" s="3" t="str">
        <v>AB</v>
      </c>
      <c r="K185" s="23">
        <v>42263</v>
      </c>
      <c r="L185" s="22">
        <v>13.39781665802002</v>
      </c>
    </row>
    <row r="186" spans="1:12" x14ac:dyDescent="0.25">
      <c r="A186" s="9">
        <v>179</v>
      </c>
      <c r="B186" s="10">
        <v>42265</v>
      </c>
      <c r="C186" s="3">
        <v>13.265068011321629</v>
      </c>
      <c r="D186" s="3">
        <v>13.397817251354647</v>
      </c>
      <c r="E186" s="3">
        <v>12.935653751483832</v>
      </c>
      <c r="F186" s="3">
        <v>13.053652763366699</v>
      </c>
      <c r="G186" s="3">
        <v>273200</v>
      </c>
      <c r="H186" s="3">
        <v>0</v>
      </c>
      <c r="I186" s="3">
        <v>0</v>
      </c>
      <c r="J186" s="3" t="str">
        <v>AB</v>
      </c>
      <c r="K186" s="23">
        <v>42264</v>
      </c>
      <c r="L186" s="22">
        <v>13.530566215515137</v>
      </c>
    </row>
    <row r="187" spans="1:12" x14ac:dyDescent="0.25">
      <c r="A187" s="9">
        <v>180</v>
      </c>
      <c r="B187" s="10">
        <v>42268</v>
      </c>
      <c r="C187" s="3">
        <v>13.112651293120855</v>
      </c>
      <c r="D187" s="3">
        <v>13.338815806528796</v>
      </c>
      <c r="E187" s="3">
        <v>13.112651293120855</v>
      </c>
      <c r="F187" s="3">
        <v>13.269983291625977</v>
      </c>
      <c r="G187" s="3">
        <v>75300</v>
      </c>
      <c r="H187" s="3">
        <v>0</v>
      </c>
      <c r="I187" s="3">
        <v>0</v>
      </c>
      <c r="J187" s="3" t="str">
        <v>AB</v>
      </c>
      <c r="K187" s="23">
        <v>42265</v>
      </c>
      <c r="L187" s="22">
        <v>13.053652763366699</v>
      </c>
    </row>
    <row r="188" spans="1:12" x14ac:dyDescent="0.25">
      <c r="A188" s="9">
        <v>181</v>
      </c>
      <c r="B188" s="10">
        <v>42269</v>
      </c>
      <c r="C188" s="3">
        <v>13.029069838392939</v>
      </c>
      <c r="D188" s="3">
        <v>13.274901344777712</v>
      </c>
      <c r="E188" s="3">
        <v>12.945487088711205</v>
      </c>
      <c r="F188" s="3">
        <v>13.063486099243164</v>
      </c>
      <c r="G188" s="3">
        <v>185700</v>
      </c>
      <c r="H188" s="3">
        <v>0</v>
      </c>
      <c r="I188" s="3">
        <v>0</v>
      </c>
      <c r="J188" s="3" t="str">
        <v>AB</v>
      </c>
      <c r="K188" s="23">
        <v>42268</v>
      </c>
      <c r="L188" s="22">
        <v>13.269983291625977</v>
      </c>
    </row>
    <row r="189" spans="1:12" x14ac:dyDescent="0.25">
      <c r="A189" s="9">
        <v>182</v>
      </c>
      <c r="B189" s="10">
        <v>42270</v>
      </c>
      <c r="C189" s="3">
        <v>13.112654570177392</v>
      </c>
      <c r="D189" s="3">
        <v>13.171654553248169</v>
      </c>
      <c r="E189" s="3">
        <v>13.024155064457688</v>
      </c>
      <c r="F189" s="3">
        <v>13.029071807861328</v>
      </c>
      <c r="G189" s="3">
        <v>101600</v>
      </c>
      <c r="H189" s="3">
        <v>0</v>
      </c>
      <c r="I189" s="3">
        <v>0</v>
      </c>
      <c r="J189" s="3" t="str">
        <v>AB</v>
      </c>
      <c r="K189" s="23">
        <v>42269</v>
      </c>
      <c r="L189" s="22">
        <v>13.063486099243164</v>
      </c>
    </row>
    <row r="190" spans="1:12" x14ac:dyDescent="0.25">
      <c r="A190" s="9">
        <v>183</v>
      </c>
      <c r="B190" s="10">
        <v>42271</v>
      </c>
      <c r="C190" s="3">
        <v>12.955321929745809</v>
      </c>
      <c r="D190" s="3">
        <v>12.999571680547419</v>
      </c>
      <c r="E190" s="3">
        <v>12.797989899239138</v>
      </c>
      <c r="F190" s="3">
        <v>12.915988922119141</v>
      </c>
      <c r="G190" s="3">
        <v>183800</v>
      </c>
      <c r="H190" s="3">
        <v>0</v>
      </c>
      <c r="I190" s="3">
        <v>0</v>
      </c>
      <c r="J190" s="3" t="str">
        <v>AB</v>
      </c>
      <c r="K190" s="23">
        <v>42270</v>
      </c>
      <c r="L190" s="22">
        <v>13.029071807861328</v>
      </c>
    </row>
    <row r="191" spans="1:12" x14ac:dyDescent="0.25">
      <c r="A191" s="9">
        <v>184</v>
      </c>
      <c r="B191" s="10">
        <v>42272</v>
      </c>
      <c r="C191" s="3">
        <v>13.07824179192062</v>
      </c>
      <c r="D191" s="3">
        <v>13.186407362328314</v>
      </c>
      <c r="E191" s="3">
        <v>12.90615947799275</v>
      </c>
      <c r="F191" s="3">
        <v>12.930742263793945</v>
      </c>
      <c r="G191" s="3">
        <v>160700</v>
      </c>
      <c r="H191" s="3">
        <v>0</v>
      </c>
      <c r="I191" s="3">
        <v>0</v>
      </c>
      <c r="J191" s="3" t="str">
        <v>AB</v>
      </c>
      <c r="K191" s="23">
        <v>42271</v>
      </c>
      <c r="L191" s="22">
        <v>12.915988922119141</v>
      </c>
    </row>
    <row r="192" spans="1:12" x14ac:dyDescent="0.25">
      <c r="A192" s="9">
        <v>185</v>
      </c>
      <c r="B192" s="10">
        <v>42275</v>
      </c>
      <c r="C192" s="3">
        <v>12.911068693832521</v>
      </c>
      <c r="D192" s="3">
        <v>12.930734723450925</v>
      </c>
      <c r="E192" s="3">
        <v>12.537404753356629</v>
      </c>
      <c r="F192" s="3">
        <v>12.616070747375488</v>
      </c>
      <c r="G192" s="3">
        <v>282200</v>
      </c>
      <c r="H192" s="3">
        <v>0</v>
      </c>
      <c r="I192" s="3">
        <v>0</v>
      </c>
      <c r="J192" s="3" t="str">
        <v>AB</v>
      </c>
      <c r="K192" s="23">
        <v>42272</v>
      </c>
      <c r="L192" s="22">
        <v>12.930742263793945</v>
      </c>
    </row>
    <row r="193" spans="1:12" x14ac:dyDescent="0.25">
      <c r="A193" s="9">
        <v>186</v>
      </c>
      <c r="B193" s="10">
        <v>42276</v>
      </c>
      <c r="C193" s="3">
        <v>12.635741518882343</v>
      </c>
      <c r="D193" s="3">
        <v>12.950405589690533</v>
      </c>
      <c r="E193" s="3">
        <v>12.576741536719355</v>
      </c>
      <c r="F193" s="3">
        <v>12.768489837646484</v>
      </c>
      <c r="G193" s="3">
        <v>186800</v>
      </c>
      <c r="H193" s="3">
        <v>0</v>
      </c>
      <c r="I193" s="3">
        <v>0</v>
      </c>
      <c r="J193" s="3" t="str">
        <v>AB</v>
      </c>
      <c r="K193" s="23">
        <v>42275</v>
      </c>
      <c r="L193" s="22">
        <v>12.616070747375488</v>
      </c>
    </row>
    <row r="194" spans="1:12" x14ac:dyDescent="0.25">
      <c r="A194" s="9">
        <v>187</v>
      </c>
      <c r="B194" s="10">
        <v>42277</v>
      </c>
      <c r="C194" s="3">
        <v>12.891403166229889</v>
      </c>
      <c r="D194" s="3">
        <v>13.196234630427821</v>
      </c>
      <c r="E194" s="3">
        <v>12.842237617806466</v>
      </c>
      <c r="F194" s="3">
        <v>13.078235626220703</v>
      </c>
      <c r="G194" s="3">
        <v>180300</v>
      </c>
      <c r="H194" s="3">
        <v>0</v>
      </c>
      <c r="I194" s="3">
        <v>0</v>
      </c>
      <c r="J194" s="3" t="str">
        <v>AB</v>
      </c>
      <c r="K194" s="23">
        <v>42276</v>
      </c>
      <c r="L194" s="22">
        <v>12.768489837646484</v>
      </c>
    </row>
    <row r="195" spans="1:12" x14ac:dyDescent="0.25">
      <c r="A195" s="9">
        <v>188</v>
      </c>
      <c r="B195" s="10">
        <v>42278</v>
      </c>
      <c r="C195" s="3">
        <v>13.127405261754287</v>
      </c>
      <c r="D195" s="3">
        <v>13.265070330802844</v>
      </c>
      <c r="E195" s="3">
        <v>12.473493370454793</v>
      </c>
      <c r="F195" s="3">
        <v>12.576742172241211</v>
      </c>
      <c r="G195" s="3">
        <v>364800</v>
      </c>
      <c r="H195" s="3">
        <v>0</v>
      </c>
      <c r="I195" s="3">
        <v>0</v>
      </c>
      <c r="J195" s="3" t="str">
        <v>AB</v>
      </c>
      <c r="K195" s="23">
        <v>42277</v>
      </c>
      <c r="L195" s="22">
        <v>13.078235626220703</v>
      </c>
    </row>
    <row r="196" spans="1:12" x14ac:dyDescent="0.25">
      <c r="A196" s="9">
        <v>189</v>
      </c>
      <c r="B196" s="10">
        <v>42279</v>
      </c>
      <c r="C196" s="3">
        <v>12.404656549384093</v>
      </c>
      <c r="D196" s="3">
        <v>12.847153036304567</v>
      </c>
      <c r="E196" s="3">
        <v>12.168658548062867</v>
      </c>
      <c r="F196" s="3">
        <v>12.734070777893066</v>
      </c>
      <c r="G196" s="3">
        <v>284800</v>
      </c>
      <c r="H196" s="3">
        <v>0</v>
      </c>
      <c r="I196" s="3">
        <v>0</v>
      </c>
      <c r="J196" s="3" t="str">
        <v>AB</v>
      </c>
      <c r="K196" s="23">
        <v>42278</v>
      </c>
      <c r="L196" s="22">
        <v>12.576742172241211</v>
      </c>
    </row>
    <row r="197" spans="1:12" x14ac:dyDescent="0.25">
      <c r="A197" s="9">
        <v>190</v>
      </c>
      <c r="B197" s="10">
        <v>42282</v>
      </c>
      <c r="C197" s="3">
        <v>12.817650453841235</v>
      </c>
      <c r="D197" s="3">
        <v>13.097898130579932</v>
      </c>
      <c r="E197" s="3">
        <v>12.79798442732276</v>
      </c>
      <c r="F197" s="3">
        <v>13.058565139770508</v>
      </c>
      <c r="G197" s="3">
        <v>245700</v>
      </c>
      <c r="H197" s="3">
        <v>0</v>
      </c>
      <c r="I197" s="3">
        <v>0</v>
      </c>
      <c r="J197" s="3" t="str">
        <v>AB</v>
      </c>
      <c r="K197" s="23">
        <v>42279</v>
      </c>
      <c r="L197" s="22">
        <v>12.734070777893066</v>
      </c>
    </row>
    <row r="198" spans="1:12" x14ac:dyDescent="0.25">
      <c r="A198" s="9">
        <v>191</v>
      </c>
      <c r="B198" s="10">
        <v>42283</v>
      </c>
      <c r="C198" s="3">
        <v>13.058569058255573</v>
      </c>
      <c r="D198" s="3">
        <v>13.245401523992507</v>
      </c>
      <c r="E198" s="3">
        <v>13.009402570547289</v>
      </c>
      <c r="F198" s="3">
        <v>13.083152770996094</v>
      </c>
      <c r="G198" s="3">
        <v>218300</v>
      </c>
      <c r="H198" s="3">
        <v>0</v>
      </c>
      <c r="I198" s="3">
        <v>0</v>
      </c>
      <c r="J198" s="3" t="str">
        <v>AB</v>
      </c>
      <c r="K198" s="23">
        <v>42282</v>
      </c>
      <c r="L198" s="22">
        <v>13.058565139770508</v>
      </c>
    </row>
    <row r="199" spans="1:12" x14ac:dyDescent="0.25">
      <c r="A199" s="9">
        <v>192</v>
      </c>
      <c r="B199" s="10">
        <v>42284</v>
      </c>
      <c r="C199" s="3">
        <v>12.960239570093661</v>
      </c>
      <c r="D199" s="3">
        <v>13.338819443042709</v>
      </c>
      <c r="E199" s="3">
        <v>12.960239570093661</v>
      </c>
      <c r="F199" s="3">
        <v>13.161821365356445</v>
      </c>
      <c r="G199" s="3">
        <v>187200</v>
      </c>
      <c r="H199" s="3">
        <v>0</v>
      </c>
      <c r="I199" s="3">
        <v>0</v>
      </c>
      <c r="J199" s="3" t="str">
        <v>AB</v>
      </c>
      <c r="K199" s="23">
        <v>42283</v>
      </c>
      <c r="L199" s="22">
        <v>13.083152770996094</v>
      </c>
    </row>
    <row r="200" spans="1:12" x14ac:dyDescent="0.25">
      <c r="A200" s="9">
        <v>193</v>
      </c>
      <c r="B200" s="10">
        <v>42285</v>
      </c>
      <c r="C200" s="3">
        <v>13.225737961324814</v>
      </c>
      <c r="D200" s="3">
        <v>13.314237474446497</v>
      </c>
      <c r="E200" s="3">
        <v>13.029072897594961</v>
      </c>
      <c r="F200" s="3">
        <v>13.171655654907227</v>
      </c>
      <c r="G200" s="3">
        <v>182600</v>
      </c>
      <c r="H200" s="3">
        <v>0</v>
      </c>
      <c r="I200" s="3">
        <v>0</v>
      </c>
      <c r="J200" s="3" t="str">
        <v>AB</v>
      </c>
      <c r="K200" s="23">
        <v>42284</v>
      </c>
      <c r="L200" s="22">
        <v>13.161821365356445</v>
      </c>
    </row>
    <row r="201" spans="1:12" x14ac:dyDescent="0.25">
      <c r="A201" s="9">
        <v>194</v>
      </c>
      <c r="B201" s="10">
        <v>42286</v>
      </c>
      <c r="C201" s="3">
        <v>13.171652840830475</v>
      </c>
      <c r="D201" s="3">
        <v>13.314234629907654</v>
      </c>
      <c r="E201" s="3">
        <v>13.088070089380821</v>
      </c>
      <c r="F201" s="3">
        <v>13.137235641479492</v>
      </c>
      <c r="G201" s="3">
        <v>147100</v>
      </c>
      <c r="H201" s="3">
        <v>0</v>
      </c>
      <c r="I201" s="3">
        <v>0</v>
      </c>
      <c r="J201" s="3" t="str">
        <v>AB</v>
      </c>
      <c r="K201" s="23">
        <v>42285</v>
      </c>
      <c r="L201" s="22">
        <v>13.171655654907227</v>
      </c>
    </row>
    <row r="202" spans="1:12" x14ac:dyDescent="0.25">
      <c r="A202" s="9">
        <v>195</v>
      </c>
      <c r="B202" s="10">
        <v>42289</v>
      </c>
      <c r="C202" s="3">
        <v>13.009407238771495</v>
      </c>
      <c r="D202" s="3">
        <v>13.156906754824266</v>
      </c>
      <c r="E202" s="3">
        <v>12.78324262703957</v>
      </c>
      <c r="F202" s="3">
        <v>13.117573738098145</v>
      </c>
      <c r="G202" s="3">
        <v>230800</v>
      </c>
      <c r="H202" s="3">
        <v>0</v>
      </c>
      <c r="I202" s="3">
        <v>0</v>
      </c>
      <c r="J202" s="3" t="str">
        <v>AB</v>
      </c>
      <c r="K202" s="23">
        <v>42286</v>
      </c>
      <c r="L202" s="22">
        <v>13.137235641479492</v>
      </c>
    </row>
    <row r="203" spans="1:12" x14ac:dyDescent="0.25">
      <c r="A203" s="9">
        <v>196</v>
      </c>
      <c r="B203" s="10">
        <v>42290</v>
      </c>
      <c r="C203" s="3">
        <v>12.960240623135094</v>
      </c>
      <c r="D203" s="3">
        <v>13.240488461867482</v>
      </c>
      <c r="E203" s="3">
        <v>12.950407135305499</v>
      </c>
      <c r="F203" s="3">
        <v>13.033989906311035</v>
      </c>
      <c r="G203" s="3">
        <v>244100</v>
      </c>
      <c r="H203" s="3">
        <v>0</v>
      </c>
      <c r="I203" s="3">
        <v>0</v>
      </c>
      <c r="J203" s="3" t="str">
        <v>AB</v>
      </c>
      <c r="K203" s="23">
        <v>42289</v>
      </c>
      <c r="L203" s="22">
        <v>13.117573738098145</v>
      </c>
    </row>
    <row r="204" spans="1:12" x14ac:dyDescent="0.25">
      <c r="A204" s="9">
        <v>197</v>
      </c>
      <c r="B204" s="10">
        <v>42291</v>
      </c>
      <c r="C204" s="3">
        <v>13.078236842591973</v>
      </c>
      <c r="D204" s="3">
        <v>13.269985125040938</v>
      </c>
      <c r="E204" s="3">
        <v>12.797989064313393</v>
      </c>
      <c r="F204" s="3">
        <v>12.84715461730957</v>
      </c>
      <c r="G204" s="3">
        <v>181900</v>
      </c>
      <c r="H204" s="3">
        <v>0</v>
      </c>
      <c r="I204" s="3">
        <v>0</v>
      </c>
      <c r="J204" s="3" t="str">
        <v>AB</v>
      </c>
      <c r="K204" s="23">
        <v>42290</v>
      </c>
      <c r="L204" s="22">
        <v>13.033989906311035</v>
      </c>
    </row>
    <row r="205" spans="1:12" x14ac:dyDescent="0.25">
      <c r="A205" s="9">
        <v>198</v>
      </c>
      <c r="B205" s="10">
        <v>42292</v>
      </c>
      <c r="C205" s="3">
        <v>12.881576202318065</v>
      </c>
      <c r="D205" s="3">
        <v>13.230656623840332</v>
      </c>
      <c r="E205" s="3">
        <v>12.852075735150704</v>
      </c>
      <c r="F205" s="3">
        <v>13.230656623840332</v>
      </c>
      <c r="G205" s="3">
        <v>151200</v>
      </c>
      <c r="H205" s="3">
        <v>0</v>
      </c>
      <c r="I205" s="3">
        <v>0</v>
      </c>
      <c r="J205" s="3" t="str">
        <v>AB</v>
      </c>
      <c r="K205" s="23">
        <v>42291</v>
      </c>
      <c r="L205" s="22">
        <v>12.84715461730957</v>
      </c>
    </row>
    <row r="206" spans="1:12" x14ac:dyDescent="0.25">
      <c r="A206" s="9">
        <v>199</v>
      </c>
      <c r="B206" s="10">
        <v>42293</v>
      </c>
      <c r="C206" s="3">
        <v>13.215901205648061</v>
      </c>
      <c r="D206" s="3">
        <v>13.520732682379915</v>
      </c>
      <c r="E206" s="3">
        <v>13.029069675747918</v>
      </c>
      <c r="F206" s="3">
        <v>13.319150924682617</v>
      </c>
      <c r="G206" s="3">
        <v>208800</v>
      </c>
      <c r="H206" s="3">
        <v>0</v>
      </c>
      <c r="I206" s="3">
        <v>0</v>
      </c>
      <c r="J206" s="3" t="str">
        <v>AB</v>
      </c>
      <c r="K206" s="23">
        <v>42292</v>
      </c>
      <c r="L206" s="22">
        <v>13.230656623840332</v>
      </c>
    </row>
    <row r="207" spans="1:12" x14ac:dyDescent="0.25">
      <c r="A207" s="9">
        <v>200</v>
      </c>
      <c r="B207" s="10">
        <v>42296</v>
      </c>
      <c r="C207" s="3">
        <v>13.151984391722538</v>
      </c>
      <c r="D207" s="3">
        <v>13.151984391722538</v>
      </c>
      <c r="E207" s="3">
        <v>12.9799021653978</v>
      </c>
      <c r="F207" s="3">
        <v>13.048735618591309</v>
      </c>
      <c r="G207" s="3">
        <v>397200</v>
      </c>
      <c r="H207" s="3">
        <v>0</v>
      </c>
      <c r="I207" s="3">
        <v>0</v>
      </c>
      <c r="J207" s="3" t="str">
        <v>AB</v>
      </c>
      <c r="K207" s="23">
        <v>42293</v>
      </c>
      <c r="L207" s="22">
        <v>13.319150924682617</v>
      </c>
    </row>
    <row r="208" spans="1:12" x14ac:dyDescent="0.25">
      <c r="A208" s="9">
        <v>201</v>
      </c>
      <c r="B208" s="10">
        <v>42297</v>
      </c>
      <c r="C208" s="3">
        <v>13.029071807861328</v>
      </c>
      <c r="D208" s="3">
        <v>13.107737826773752</v>
      </c>
      <c r="E208" s="3">
        <v>12.935655558737981</v>
      </c>
      <c r="F208" s="3">
        <v>13.029071807861328</v>
      </c>
      <c r="G208" s="3">
        <v>279500</v>
      </c>
      <c r="H208" s="3">
        <v>0</v>
      </c>
      <c r="I208" s="3">
        <v>0</v>
      </c>
      <c r="J208" s="3" t="str">
        <v>AB</v>
      </c>
      <c r="K208" s="23">
        <v>42296</v>
      </c>
      <c r="L208" s="22">
        <v>13.048735618591309</v>
      </c>
    </row>
    <row r="209" spans="1:12" x14ac:dyDescent="0.25">
      <c r="A209" s="9">
        <v>202</v>
      </c>
      <c r="B209" s="10">
        <v>42298</v>
      </c>
      <c r="C209" s="3">
        <v>13.029070263284947</v>
      </c>
      <c r="D209" s="3">
        <v>13.12740324415471</v>
      </c>
      <c r="E209" s="3">
        <v>12.955320996519028</v>
      </c>
      <c r="F209" s="3">
        <v>12.974987030029297</v>
      </c>
      <c r="G209" s="3">
        <v>295400</v>
      </c>
      <c r="H209" s="3">
        <v>0</v>
      </c>
      <c r="I209" s="3">
        <v>0</v>
      </c>
      <c r="J209" s="3" t="str">
        <v>AB</v>
      </c>
      <c r="K209" s="23">
        <v>42297</v>
      </c>
      <c r="L209" s="22">
        <v>13.029071807861328</v>
      </c>
    </row>
    <row r="210" spans="1:12" x14ac:dyDescent="0.25">
      <c r="A210" s="9">
        <v>203</v>
      </c>
      <c r="B210" s="10">
        <v>42299</v>
      </c>
      <c r="C210" s="3">
        <v>12.881569913606095</v>
      </c>
      <c r="D210" s="3">
        <v>13.609230868577891</v>
      </c>
      <c r="E210" s="3">
        <v>12.881569913606095</v>
      </c>
      <c r="F210" s="3">
        <v>13.432231903076172</v>
      </c>
      <c r="G210" s="3">
        <v>297700</v>
      </c>
      <c r="H210" s="3">
        <v>0</v>
      </c>
      <c r="I210" s="3">
        <v>0</v>
      </c>
      <c r="J210" s="3" t="str">
        <v>AB</v>
      </c>
      <c r="K210" s="23">
        <v>42298</v>
      </c>
      <c r="L210" s="22">
        <v>12.974987030029297</v>
      </c>
    </row>
    <row r="211" spans="1:12" x14ac:dyDescent="0.25">
      <c r="A211" s="9">
        <v>204</v>
      </c>
      <c r="B211" s="10">
        <v>42300</v>
      </c>
      <c r="C211" s="3">
        <v>13.530566577486995</v>
      </c>
      <c r="D211" s="3">
        <v>13.599399100413475</v>
      </c>
      <c r="E211" s="3">
        <v>13.333901556430776</v>
      </c>
      <c r="F211" s="3">
        <v>13.476483345031738</v>
      </c>
      <c r="G211" s="3">
        <v>359900</v>
      </c>
      <c r="H211" s="3">
        <v>0</v>
      </c>
      <c r="I211" s="3">
        <v>0</v>
      </c>
      <c r="J211" s="3" t="str">
        <v>AB</v>
      </c>
      <c r="K211" s="23">
        <v>42299</v>
      </c>
      <c r="L211" s="22">
        <v>13.432231903076172</v>
      </c>
    </row>
    <row r="212" spans="1:12" x14ac:dyDescent="0.25">
      <c r="A212" s="9">
        <v>205</v>
      </c>
      <c r="B212" s="10">
        <v>42303</v>
      </c>
      <c r="C212" s="3">
        <v>13.471568461025381</v>
      </c>
      <c r="D212" s="3">
        <v>13.619067950498403</v>
      </c>
      <c r="E212" s="3">
        <v>13.265069925981486</v>
      </c>
      <c r="F212" s="3">
        <v>13.358486175537109</v>
      </c>
      <c r="G212" s="3">
        <v>284100</v>
      </c>
      <c r="H212" s="3">
        <v>0</v>
      </c>
      <c r="I212" s="3">
        <v>0</v>
      </c>
      <c r="J212" s="3" t="str">
        <v>AB</v>
      </c>
      <c r="K212" s="23">
        <v>42300</v>
      </c>
      <c r="L212" s="22">
        <v>13.476483345031738</v>
      </c>
    </row>
    <row r="213" spans="1:12" x14ac:dyDescent="0.25">
      <c r="A213" s="9">
        <v>206</v>
      </c>
      <c r="B213" s="10">
        <v>42304</v>
      </c>
      <c r="C213" s="3">
        <v>13.333901449186266</v>
      </c>
      <c r="D213" s="3">
        <v>13.34865073953886</v>
      </c>
      <c r="E213" s="3">
        <v>13.122486201586446</v>
      </c>
      <c r="F213" s="3">
        <v>13.147068977355957</v>
      </c>
      <c r="G213" s="3">
        <v>346100</v>
      </c>
      <c r="H213" s="3">
        <v>0</v>
      </c>
      <c r="I213" s="3">
        <v>0</v>
      </c>
      <c r="J213" s="3" t="str">
        <v>AB</v>
      </c>
      <c r="K213" s="23">
        <v>42303</v>
      </c>
      <c r="L213" s="22">
        <v>13.358486175537109</v>
      </c>
    </row>
    <row r="214" spans="1:12" x14ac:dyDescent="0.25">
      <c r="A214" s="9">
        <v>207</v>
      </c>
      <c r="B214" s="10">
        <v>42305</v>
      </c>
      <c r="C214" s="3">
        <v>13.201150038180058</v>
      </c>
      <c r="D214" s="3">
        <v>13.269982549232019</v>
      </c>
      <c r="E214" s="3">
        <v>12.911068830500183</v>
      </c>
      <c r="F214" s="3">
        <v>13.132316589355469</v>
      </c>
      <c r="G214" s="3">
        <v>327800</v>
      </c>
      <c r="H214" s="3">
        <v>0</v>
      </c>
      <c r="I214" s="3">
        <v>0</v>
      </c>
      <c r="J214" s="3" t="str">
        <v>AB</v>
      </c>
      <c r="K214" s="23">
        <v>42304</v>
      </c>
      <c r="L214" s="22">
        <v>13.147068977355957</v>
      </c>
    </row>
    <row r="215" spans="1:12" x14ac:dyDescent="0.25">
      <c r="A215" s="9">
        <v>208</v>
      </c>
      <c r="B215" s="10">
        <v>42306</v>
      </c>
      <c r="C215" s="3">
        <v>13.172297464469752</v>
      </c>
      <c r="D215" s="3">
        <v>13.287230025808125</v>
      </c>
      <c r="E215" s="3">
        <v>12.86247821964788</v>
      </c>
      <c r="F215" s="3">
        <v>12.937434196472168</v>
      </c>
      <c r="G215" s="3">
        <v>333800</v>
      </c>
      <c r="H215" s="3">
        <v>0.43</v>
      </c>
      <c r="I215" s="3">
        <v>0</v>
      </c>
      <c r="J215" s="3" t="str">
        <v>AB</v>
      </c>
      <c r="K215" s="23">
        <v>42305</v>
      </c>
      <c r="L215" s="22">
        <v>13.132316589355469</v>
      </c>
    </row>
    <row r="216" spans="1:12" x14ac:dyDescent="0.25">
      <c r="A216" s="9">
        <v>209</v>
      </c>
      <c r="B216" s="10">
        <v>42307</v>
      </c>
      <c r="C216" s="3">
        <v>12.922446484086862</v>
      </c>
      <c r="D216" s="3">
        <v>12.987408091137643</v>
      </c>
      <c r="E216" s="3">
        <v>12.742551336689052</v>
      </c>
      <c r="F216" s="3">
        <v>12.862481117248535</v>
      </c>
      <c r="G216" s="3">
        <v>267000</v>
      </c>
      <c r="H216" s="3">
        <v>0</v>
      </c>
      <c r="I216" s="3">
        <v>0</v>
      </c>
      <c r="J216" s="3" t="str">
        <v>AB</v>
      </c>
      <c r="K216" s="23">
        <v>42306</v>
      </c>
      <c r="L216" s="22">
        <v>12.937434196472168</v>
      </c>
    </row>
    <row r="217" spans="1:12" x14ac:dyDescent="0.25">
      <c r="A217" s="9">
        <v>210</v>
      </c>
      <c r="B217" s="10">
        <v>42310</v>
      </c>
      <c r="C217" s="3">
        <v>12.81250464446795</v>
      </c>
      <c r="D217" s="3">
        <v>13.117326635080518</v>
      </c>
      <c r="E217" s="3">
        <v>12.78252245046046</v>
      </c>
      <c r="F217" s="3">
        <v>12.802511215209961</v>
      </c>
      <c r="G217" s="3">
        <v>279300</v>
      </c>
      <c r="H217" s="3">
        <v>0</v>
      </c>
      <c r="I217" s="3">
        <v>0</v>
      </c>
      <c r="J217" s="3" t="str">
        <v>AB</v>
      </c>
      <c r="K217" s="23">
        <v>42307</v>
      </c>
      <c r="L217" s="22">
        <v>12.862481117248535</v>
      </c>
    </row>
    <row r="218" spans="1:12" x14ac:dyDescent="0.25">
      <c r="A218" s="9">
        <v>211</v>
      </c>
      <c r="B218" s="10">
        <v>42311</v>
      </c>
      <c r="C218" s="3">
        <v>12.797515376076948</v>
      </c>
      <c r="D218" s="3">
        <v>12.922442309609549</v>
      </c>
      <c r="E218" s="3">
        <v>12.657596867398366</v>
      </c>
      <c r="F218" s="3">
        <v>12.757538795471191</v>
      </c>
      <c r="G218" s="3">
        <v>253800</v>
      </c>
      <c r="H218" s="3">
        <v>0</v>
      </c>
      <c r="I218" s="3">
        <v>0</v>
      </c>
      <c r="J218" s="3" t="str">
        <v>AB</v>
      </c>
      <c r="K218" s="23">
        <v>42310</v>
      </c>
      <c r="L218" s="22">
        <v>12.802511215209961</v>
      </c>
    </row>
    <row r="219" spans="1:12" x14ac:dyDescent="0.25">
      <c r="A219" s="9">
        <v>212</v>
      </c>
      <c r="B219" s="10">
        <v>42312</v>
      </c>
      <c r="C219" s="3">
        <v>12.762536790982221</v>
      </c>
      <c r="D219" s="3">
        <v>12.792518990045627</v>
      </c>
      <c r="E219" s="3">
        <v>12.542665107244412</v>
      </c>
      <c r="F219" s="3">
        <v>12.66759204864502</v>
      </c>
      <c r="G219" s="3">
        <v>364900</v>
      </c>
      <c r="H219" s="3">
        <v>0</v>
      </c>
      <c r="I219" s="3">
        <v>0</v>
      </c>
      <c r="J219" s="3" t="str">
        <v>AB</v>
      </c>
      <c r="K219" s="23">
        <v>42311</v>
      </c>
      <c r="L219" s="22">
        <v>12.757538795471191</v>
      </c>
    </row>
    <row r="220" spans="1:12" x14ac:dyDescent="0.25">
      <c r="A220" s="9">
        <v>213</v>
      </c>
      <c r="B220" s="10">
        <v>42313</v>
      </c>
      <c r="C220" s="3">
        <v>12.657600221696917</v>
      </c>
      <c r="D220" s="3">
        <v>12.742550597135841</v>
      </c>
      <c r="E220" s="3">
        <v>12.562655460178798</v>
      </c>
      <c r="F220" s="3">
        <v>12.642608642578125</v>
      </c>
      <c r="G220" s="3">
        <v>167000</v>
      </c>
      <c r="H220" s="3">
        <v>0</v>
      </c>
      <c r="I220" s="3">
        <v>0</v>
      </c>
      <c r="J220" s="3" t="str">
        <v>AB</v>
      </c>
      <c r="K220" s="23">
        <v>42312</v>
      </c>
      <c r="L220" s="22">
        <v>12.66759204864502</v>
      </c>
    </row>
    <row r="221" spans="1:12" x14ac:dyDescent="0.25">
      <c r="A221" s="9">
        <v>214</v>
      </c>
      <c r="B221" s="10">
        <v>42314</v>
      </c>
      <c r="C221" s="3">
        <v>12.697571629619015</v>
      </c>
      <c r="D221" s="3">
        <v>12.797513543379427</v>
      </c>
      <c r="E221" s="3">
        <v>12.58263909597625</v>
      </c>
      <c r="F221" s="3">
        <v>12.687577247619629</v>
      </c>
      <c r="G221" s="3">
        <v>206900</v>
      </c>
      <c r="H221" s="3">
        <v>0</v>
      </c>
      <c r="I221" s="3">
        <v>0</v>
      </c>
      <c r="J221" s="3" t="str">
        <v>AB</v>
      </c>
      <c r="K221" s="23">
        <v>42313</v>
      </c>
      <c r="L221" s="22">
        <v>12.642608642578125</v>
      </c>
    </row>
    <row r="222" spans="1:12" x14ac:dyDescent="0.25">
      <c r="A222" s="9">
        <v>215</v>
      </c>
      <c r="B222" s="10">
        <v>42317</v>
      </c>
      <c r="C222" s="3">
        <v>12.572646017251708</v>
      </c>
      <c r="D222" s="3">
        <v>12.642604792265857</v>
      </c>
      <c r="E222" s="3">
        <v>12.382757505163239</v>
      </c>
      <c r="F222" s="3">
        <v>12.562651634216309</v>
      </c>
      <c r="G222" s="3">
        <v>182200</v>
      </c>
      <c r="H222" s="3">
        <v>0</v>
      </c>
      <c r="I222" s="3">
        <v>0</v>
      </c>
      <c r="J222" s="3" t="str">
        <v>AB</v>
      </c>
      <c r="K222" s="23">
        <v>42314</v>
      </c>
      <c r="L222" s="22">
        <v>12.687577247619629</v>
      </c>
    </row>
    <row r="223" spans="1:12" x14ac:dyDescent="0.25">
      <c r="A223" s="9">
        <v>216</v>
      </c>
      <c r="B223" s="10">
        <v>42318</v>
      </c>
      <c r="C223" s="3">
        <v>12.532671523792274</v>
      </c>
      <c r="D223" s="3">
        <v>12.637610656893273</v>
      </c>
      <c r="E223" s="3">
        <v>12.382759565781688</v>
      </c>
      <c r="F223" s="3">
        <v>12.577645301818848</v>
      </c>
      <c r="G223" s="3">
        <v>127100</v>
      </c>
      <c r="H223" s="3">
        <v>0</v>
      </c>
      <c r="I223" s="3">
        <v>0</v>
      </c>
      <c r="J223" s="3" t="str">
        <v>AB</v>
      </c>
      <c r="K223" s="23">
        <v>42317</v>
      </c>
      <c r="L223" s="22">
        <v>12.562651634216309</v>
      </c>
    </row>
    <row r="224" spans="1:12" x14ac:dyDescent="0.25">
      <c r="A224" s="9">
        <v>217</v>
      </c>
      <c r="B224" s="10">
        <v>42319</v>
      </c>
      <c r="C224" s="3">
        <v>12.617621519601558</v>
      </c>
      <c r="D224" s="3">
        <v>12.692577496421343</v>
      </c>
      <c r="E224" s="3">
        <v>12.512683342677247</v>
      </c>
      <c r="F224" s="3">
        <v>12.547662734985352</v>
      </c>
      <c r="G224" s="3">
        <v>454700</v>
      </c>
      <c r="H224" s="3">
        <v>0</v>
      </c>
      <c r="I224" s="3">
        <v>0</v>
      </c>
      <c r="J224" s="3" t="str">
        <v>AB</v>
      </c>
      <c r="K224" s="23">
        <v>42318</v>
      </c>
      <c r="L224" s="22">
        <v>12.577645301818848</v>
      </c>
    </row>
    <row r="225" spans="1:12" x14ac:dyDescent="0.25">
      <c r="A225" s="9">
        <v>218</v>
      </c>
      <c r="B225" s="10">
        <v>42320</v>
      </c>
      <c r="C225" s="3">
        <v>12.447720126768836</v>
      </c>
      <c r="D225" s="3">
        <v>12.607626456203725</v>
      </c>
      <c r="E225" s="3">
        <v>12.417737928279021</v>
      </c>
      <c r="F225" s="3">
        <v>12.492693901062012</v>
      </c>
      <c r="G225" s="3">
        <v>101500</v>
      </c>
      <c r="H225" s="3">
        <v>0</v>
      </c>
      <c r="I225" s="3">
        <v>0</v>
      </c>
      <c r="J225" s="3" t="str">
        <v>AB</v>
      </c>
      <c r="K225" s="23">
        <v>42319</v>
      </c>
      <c r="L225" s="22">
        <v>12.547662734985352</v>
      </c>
    </row>
    <row r="226" spans="1:12" x14ac:dyDescent="0.25">
      <c r="A226" s="9">
        <v>219</v>
      </c>
      <c r="B226" s="10">
        <v>42321</v>
      </c>
      <c r="C226" s="3">
        <v>12.417736873759713</v>
      </c>
      <c r="D226" s="3">
        <v>12.487695648667323</v>
      </c>
      <c r="E226" s="3">
        <v>12.247836174883954</v>
      </c>
      <c r="F226" s="3">
        <v>12.252833366394043</v>
      </c>
      <c r="G226" s="3">
        <v>160300</v>
      </c>
      <c r="H226" s="3">
        <v>0</v>
      </c>
      <c r="I226" s="3">
        <v>0</v>
      </c>
      <c r="J226" s="3" t="str">
        <v>AB</v>
      </c>
      <c r="K226" s="23">
        <v>42320</v>
      </c>
      <c r="L226" s="22">
        <v>12.492693901062012</v>
      </c>
    </row>
    <row r="227" spans="1:12" x14ac:dyDescent="0.25">
      <c r="A227" s="9">
        <v>220</v>
      </c>
      <c r="B227" s="10">
        <v>42324</v>
      </c>
      <c r="C227" s="3">
        <v>12.242840236164726</v>
      </c>
      <c r="D227" s="3">
        <v>12.517679125525738</v>
      </c>
      <c r="E227" s="3">
        <v>12.142898301969675</v>
      </c>
      <c r="F227" s="3">
        <v>12.43272876739502</v>
      </c>
      <c r="G227" s="3">
        <v>164000</v>
      </c>
      <c r="H227" s="3">
        <v>0</v>
      </c>
      <c r="I227" s="3">
        <v>0</v>
      </c>
      <c r="J227" s="3" t="str">
        <v>AB</v>
      </c>
      <c r="K227" s="23">
        <v>42321</v>
      </c>
      <c r="L227" s="22">
        <v>12.252833366394043</v>
      </c>
    </row>
    <row r="228" spans="1:12" x14ac:dyDescent="0.25">
      <c r="A228" s="9">
        <v>221</v>
      </c>
      <c r="B228" s="10">
        <v>42325</v>
      </c>
      <c r="C228" s="3">
        <v>12.447721046066784</v>
      </c>
      <c r="D228" s="3">
        <v>12.552660178206535</v>
      </c>
      <c r="E228" s="3">
        <v>12.137902748184992</v>
      </c>
      <c r="F228" s="3">
        <v>12.177879333496094</v>
      </c>
      <c r="G228" s="3">
        <v>161800</v>
      </c>
      <c r="H228" s="3">
        <v>0</v>
      </c>
      <c r="I228" s="3">
        <v>0</v>
      </c>
      <c r="J228" s="3" t="str">
        <v>AB</v>
      </c>
      <c r="K228" s="23">
        <v>42324</v>
      </c>
      <c r="L228" s="22">
        <v>12.43272876739502</v>
      </c>
    </row>
    <row r="229" spans="1:12" x14ac:dyDescent="0.25">
      <c r="A229" s="9">
        <v>222</v>
      </c>
      <c r="B229" s="10">
        <v>42326</v>
      </c>
      <c r="C229" s="3">
        <v>12.197865187004583</v>
      </c>
      <c r="D229" s="3">
        <v>12.352774311021209</v>
      </c>
      <c r="E229" s="3">
        <v>12.032961679988993</v>
      </c>
      <c r="F229" s="3">
        <v>12.327789306640625</v>
      </c>
      <c r="G229" s="3">
        <v>265500</v>
      </c>
      <c r="H229" s="3">
        <v>0</v>
      </c>
      <c r="I229" s="3">
        <v>0</v>
      </c>
      <c r="J229" s="3" t="str">
        <v>AB</v>
      </c>
      <c r="K229" s="23">
        <v>42325</v>
      </c>
      <c r="L229" s="22">
        <v>12.177879333496094</v>
      </c>
    </row>
    <row r="230" spans="1:12" x14ac:dyDescent="0.25">
      <c r="A230" s="9">
        <v>223</v>
      </c>
      <c r="B230" s="10">
        <v>42327</v>
      </c>
      <c r="C230" s="3">
        <v>12.347776789881818</v>
      </c>
      <c r="D230" s="3">
        <v>12.817502294008072</v>
      </c>
      <c r="E230" s="3">
        <v>12.192867670000693</v>
      </c>
      <c r="F230" s="3">
        <v>12.762535095214844</v>
      </c>
      <c r="G230" s="3">
        <v>245000</v>
      </c>
      <c r="H230" s="3">
        <v>0</v>
      </c>
      <c r="I230" s="3">
        <v>0</v>
      </c>
      <c r="J230" s="3" t="str">
        <v>AB</v>
      </c>
      <c r="K230" s="23">
        <v>42326</v>
      </c>
      <c r="L230" s="22">
        <v>12.327789306640625</v>
      </c>
    </row>
    <row r="231" spans="1:12" x14ac:dyDescent="0.25">
      <c r="A231" s="9">
        <v>224</v>
      </c>
      <c r="B231" s="10">
        <v>42328</v>
      </c>
      <c r="C231" s="3">
        <v>12.842490805691019</v>
      </c>
      <c r="D231" s="3">
        <v>13.112332521323101</v>
      </c>
      <c r="E231" s="3">
        <v>12.742548864720924</v>
      </c>
      <c r="F231" s="3">
        <v>12.892460823059082</v>
      </c>
      <c r="G231" s="3">
        <v>213500</v>
      </c>
      <c r="H231" s="3">
        <v>0</v>
      </c>
      <c r="I231" s="3">
        <v>0</v>
      </c>
      <c r="J231" s="3" t="str">
        <v>AB</v>
      </c>
      <c r="K231" s="23">
        <v>42327</v>
      </c>
      <c r="L231" s="22">
        <v>12.762535095214844</v>
      </c>
    </row>
    <row r="232" spans="1:12" x14ac:dyDescent="0.25">
      <c r="A232" s="9">
        <v>225</v>
      </c>
      <c r="B232" s="10">
        <v>42331</v>
      </c>
      <c r="C232" s="3">
        <v>12.867473392045065</v>
      </c>
      <c r="D232" s="3">
        <v>13.03737408783986</v>
      </c>
      <c r="E232" s="3">
        <v>12.84748462636718</v>
      </c>
      <c r="F232" s="3">
        <v>12.927438735961914</v>
      </c>
      <c r="G232" s="3">
        <v>221200</v>
      </c>
      <c r="H232" s="3">
        <v>0</v>
      </c>
      <c r="I232" s="3">
        <v>0</v>
      </c>
      <c r="J232" s="3" t="str">
        <v>AB</v>
      </c>
      <c r="K232" s="23">
        <v>42328</v>
      </c>
      <c r="L232" s="22">
        <v>12.892460823059082</v>
      </c>
    </row>
    <row r="233" spans="1:12" x14ac:dyDescent="0.25">
      <c r="A233" s="9">
        <v>226</v>
      </c>
      <c r="B233" s="10">
        <v>42332</v>
      </c>
      <c r="C233" s="3">
        <v>12.827500117628354</v>
      </c>
      <c r="D233" s="3">
        <v>13.092345612372501</v>
      </c>
      <c r="E233" s="3">
        <v>12.787523529093111</v>
      </c>
      <c r="F233" s="3">
        <v>12.887465476989746</v>
      </c>
      <c r="G233" s="3">
        <v>213300</v>
      </c>
      <c r="H233" s="3">
        <v>0</v>
      </c>
      <c r="I233" s="3">
        <v>0</v>
      </c>
      <c r="J233" s="3" t="str">
        <v>AB</v>
      </c>
      <c r="K233" s="23">
        <v>42331</v>
      </c>
      <c r="L233" s="22">
        <v>12.927438735961914</v>
      </c>
    </row>
    <row r="234" spans="1:12" x14ac:dyDescent="0.25">
      <c r="A234" s="9">
        <v>227</v>
      </c>
      <c r="B234" s="10">
        <v>42333</v>
      </c>
      <c r="C234" s="3">
        <v>12.892461716579231</v>
      </c>
      <c r="D234" s="3">
        <v>13.022385867598036</v>
      </c>
      <c r="E234" s="3">
        <v>12.842491695747965</v>
      </c>
      <c r="F234" s="3">
        <v>12.887465476989746</v>
      </c>
      <c r="G234" s="3">
        <v>237700</v>
      </c>
      <c r="H234" s="3">
        <v>0</v>
      </c>
      <c r="I234" s="3">
        <v>0</v>
      </c>
      <c r="J234" s="3" t="str">
        <v>AB</v>
      </c>
      <c r="K234" s="23">
        <v>42332</v>
      </c>
      <c r="L234" s="22">
        <v>12.887465476989746</v>
      </c>
    </row>
    <row r="235" spans="1:12" x14ac:dyDescent="0.25">
      <c r="A235" s="9">
        <v>228</v>
      </c>
      <c r="B235" s="10">
        <v>42335</v>
      </c>
      <c r="C235" s="3">
        <v>12.887465857116187</v>
      </c>
      <c r="D235" s="3">
        <v>12.96741903654496</v>
      </c>
      <c r="E235" s="3">
        <v>12.682584762573242</v>
      </c>
      <c r="F235" s="3">
        <v>12.682584762573242</v>
      </c>
      <c r="G235" s="3">
        <v>83100</v>
      </c>
      <c r="H235" s="3">
        <v>0</v>
      </c>
      <c r="I235" s="3">
        <v>0</v>
      </c>
      <c r="J235" s="3" t="str">
        <v>AB</v>
      </c>
      <c r="K235" s="23">
        <v>42333</v>
      </c>
      <c r="L235" s="22">
        <v>12.887465476989746</v>
      </c>
    </row>
    <row r="236" spans="1:12" x14ac:dyDescent="0.25">
      <c r="A236" s="9">
        <v>229</v>
      </c>
      <c r="B236" s="10">
        <v>42338</v>
      </c>
      <c r="C236" s="3">
        <v>12.657595233550284</v>
      </c>
      <c r="D236" s="3">
        <v>12.737548384441411</v>
      </c>
      <c r="E236" s="3">
        <v>12.202861330438225</v>
      </c>
      <c r="F236" s="3">
        <v>12.242837905883789</v>
      </c>
      <c r="G236" s="3">
        <v>331100</v>
      </c>
      <c r="H236" s="3">
        <v>0</v>
      </c>
      <c r="I236" s="3">
        <v>0</v>
      </c>
      <c r="J236" s="3" t="str">
        <v>AB</v>
      </c>
      <c r="K236" s="23">
        <v>42335</v>
      </c>
      <c r="L236" s="22">
        <v>12.682584762573242</v>
      </c>
    </row>
    <row r="237" spans="1:12" x14ac:dyDescent="0.25">
      <c r="A237" s="9">
        <v>230</v>
      </c>
      <c r="B237" s="10">
        <v>42339</v>
      </c>
      <c r="C237" s="3">
        <v>12.227846455239426</v>
      </c>
      <c r="D237" s="3">
        <v>12.387753711741258</v>
      </c>
      <c r="E237" s="3">
        <v>11.608209053063856</v>
      </c>
      <c r="F237" s="3">
        <v>12.022966384887695</v>
      </c>
      <c r="G237" s="3">
        <v>750600</v>
      </c>
      <c r="H237" s="3">
        <v>0</v>
      </c>
      <c r="I237" s="3">
        <v>0</v>
      </c>
      <c r="J237" s="3" t="str">
        <v>AB</v>
      </c>
      <c r="K237" s="23">
        <v>42338</v>
      </c>
      <c r="L237" s="22">
        <v>12.242837905883789</v>
      </c>
    </row>
    <row r="238" spans="1:12" x14ac:dyDescent="0.25">
      <c r="A238" s="9">
        <v>231</v>
      </c>
      <c r="B238" s="10">
        <v>42340</v>
      </c>
      <c r="C238" s="3">
        <v>11.93802067331187</v>
      </c>
      <c r="D238" s="3">
        <v>12.117915810967002</v>
      </c>
      <c r="E238" s="3">
        <v>11.53825475976393</v>
      </c>
      <c r="F238" s="3">
        <v>11.698161125183105</v>
      </c>
      <c r="G238" s="3">
        <v>592000</v>
      </c>
      <c r="H238" s="3">
        <v>0</v>
      </c>
      <c r="I238" s="3">
        <v>0</v>
      </c>
      <c r="J238" s="3" t="str">
        <v>AB</v>
      </c>
      <c r="K238" s="23">
        <v>42339</v>
      </c>
      <c r="L238" s="22">
        <v>12.022966384887695</v>
      </c>
    </row>
    <row r="239" spans="1:12" x14ac:dyDescent="0.25">
      <c r="A239" s="9">
        <v>232</v>
      </c>
      <c r="B239" s="10">
        <v>42341</v>
      </c>
      <c r="C239" s="3">
        <v>11.693162155951752</v>
      </c>
      <c r="D239" s="3">
        <v>11.987989829828432</v>
      </c>
      <c r="E239" s="3">
        <v>11.543250199421939</v>
      </c>
      <c r="F239" s="3">
        <v>11.943016052246094</v>
      </c>
      <c r="G239" s="3">
        <v>271900</v>
      </c>
      <c r="H239" s="3">
        <v>0</v>
      </c>
      <c r="I239" s="3">
        <v>0</v>
      </c>
      <c r="J239" s="3" t="str">
        <v>AB</v>
      </c>
      <c r="K239" s="23">
        <v>42340</v>
      </c>
      <c r="L239" s="22">
        <v>11.698161125183105</v>
      </c>
    </row>
    <row r="240" spans="1:12" x14ac:dyDescent="0.25">
      <c r="A240" s="9">
        <v>233</v>
      </c>
      <c r="B240" s="10">
        <v>42342</v>
      </c>
      <c r="C240" s="3">
        <v>11.908036667808426</v>
      </c>
      <c r="D240" s="3">
        <v>12.252835311814787</v>
      </c>
      <c r="E240" s="3">
        <v>11.813091920275696</v>
      </c>
      <c r="F240" s="3">
        <v>12.177879333496094</v>
      </c>
      <c r="G240" s="3">
        <v>339800</v>
      </c>
      <c r="H240" s="3">
        <v>0</v>
      </c>
      <c r="I240" s="3">
        <v>0</v>
      </c>
      <c r="J240" s="3" t="str">
        <v>AB</v>
      </c>
      <c r="K240" s="23">
        <v>42341</v>
      </c>
      <c r="L240" s="22">
        <v>11.943016052246094</v>
      </c>
    </row>
    <row r="241" spans="1:12" x14ac:dyDescent="0.25">
      <c r="A241" s="9">
        <v>234</v>
      </c>
      <c r="B241" s="10">
        <v>42345</v>
      </c>
      <c r="C241" s="3">
        <v>12.132902324037497</v>
      </c>
      <c r="D241" s="3">
        <v>12.277817049770405</v>
      </c>
      <c r="E241" s="3">
        <v>11.833077537510146</v>
      </c>
      <c r="F241" s="3">
        <v>11.918027877807617</v>
      </c>
      <c r="G241" s="3">
        <v>213100</v>
      </c>
      <c r="H241" s="3">
        <v>0</v>
      </c>
      <c r="I241" s="3">
        <v>0</v>
      </c>
      <c r="J241" s="3" t="str">
        <v>AB</v>
      </c>
      <c r="K241" s="23">
        <v>42342</v>
      </c>
      <c r="L241" s="22">
        <v>12.177879333496094</v>
      </c>
    </row>
    <row r="242" spans="1:12" x14ac:dyDescent="0.25">
      <c r="A242" s="9">
        <v>235</v>
      </c>
      <c r="B242" s="10">
        <v>42346</v>
      </c>
      <c r="C242" s="3">
        <v>11.558240426587414</v>
      </c>
      <c r="D242" s="3">
        <v>11.813091506436546</v>
      </c>
      <c r="E242" s="3">
        <v>11.043542027877647</v>
      </c>
      <c r="F242" s="3">
        <v>11.598217010498047</v>
      </c>
      <c r="G242" s="3">
        <v>842400</v>
      </c>
      <c r="H242" s="3">
        <v>0</v>
      </c>
      <c r="I242" s="3">
        <v>0</v>
      </c>
      <c r="J242" s="3" t="str">
        <v>AB</v>
      </c>
      <c r="K242" s="23">
        <v>42345</v>
      </c>
      <c r="L242" s="22">
        <v>11.918027877807617</v>
      </c>
    </row>
    <row r="243" spans="1:12" x14ac:dyDescent="0.25">
      <c r="A243" s="9">
        <v>236</v>
      </c>
      <c r="B243" s="10">
        <v>42347</v>
      </c>
      <c r="C243" s="3">
        <v>11.493276374902603</v>
      </c>
      <c r="D243" s="3">
        <v>12.127905342612634</v>
      </c>
      <c r="E243" s="3">
        <v>11.493276374902603</v>
      </c>
      <c r="F243" s="3">
        <v>11.858062744140625</v>
      </c>
      <c r="G243" s="3">
        <v>549500</v>
      </c>
      <c r="H243" s="3">
        <v>0</v>
      </c>
      <c r="I243" s="3">
        <v>0</v>
      </c>
      <c r="J243" s="3" t="str">
        <v>AB</v>
      </c>
      <c r="K243" s="23">
        <v>42346</v>
      </c>
      <c r="L243" s="22">
        <v>11.598217010498047</v>
      </c>
    </row>
    <row r="244" spans="1:12" x14ac:dyDescent="0.25">
      <c r="A244" s="9">
        <v>237</v>
      </c>
      <c r="B244" s="10">
        <v>42348</v>
      </c>
      <c r="C244" s="3">
        <v>11.723141250193805</v>
      </c>
      <c r="D244" s="3">
        <v>12.342779587552693</v>
      </c>
      <c r="E244" s="3">
        <v>11.623200290028972</v>
      </c>
      <c r="F244" s="3">
        <v>12.147892951965332</v>
      </c>
      <c r="G244" s="3">
        <v>754200</v>
      </c>
      <c r="H244" s="3">
        <v>0</v>
      </c>
      <c r="I244" s="3">
        <v>0</v>
      </c>
      <c r="J244" s="3" t="str">
        <v>AB</v>
      </c>
      <c r="K244" s="23">
        <v>42347</v>
      </c>
      <c r="L244" s="22">
        <v>11.858062744140625</v>
      </c>
    </row>
    <row r="245" spans="1:12" x14ac:dyDescent="0.25">
      <c r="A245" s="9">
        <v>238</v>
      </c>
      <c r="B245" s="10">
        <v>42349</v>
      </c>
      <c r="C245" s="3">
        <v>11.938019222954495</v>
      </c>
      <c r="D245" s="3">
        <v>12.082934944707922</v>
      </c>
      <c r="E245" s="3">
        <v>11.488282386572591</v>
      </c>
      <c r="F245" s="3">
        <v>11.503273963928223</v>
      </c>
      <c r="G245" s="3">
        <v>293200</v>
      </c>
      <c r="H245" s="3">
        <v>0</v>
      </c>
      <c r="I245" s="3">
        <v>0</v>
      </c>
      <c r="J245" s="3" t="str">
        <v>AB</v>
      </c>
      <c r="K245" s="23">
        <v>42348</v>
      </c>
      <c r="L245" s="22">
        <v>12.147892951965332</v>
      </c>
    </row>
    <row r="246" spans="1:12" x14ac:dyDescent="0.25">
      <c r="A246" s="9">
        <v>239</v>
      </c>
      <c r="B246" s="10">
        <v>42352</v>
      </c>
      <c r="C246" s="3">
        <v>11.438310108823309</v>
      </c>
      <c r="D246" s="3">
        <v>11.618205204077396</v>
      </c>
      <c r="E246" s="3">
        <v>10.613792510770226</v>
      </c>
      <c r="F246" s="3">
        <v>10.698742866516113</v>
      </c>
      <c r="G246" s="3">
        <v>758900</v>
      </c>
      <c r="H246" s="3">
        <v>0</v>
      </c>
      <c r="I246" s="3">
        <v>0</v>
      </c>
      <c r="J246" s="3" t="str">
        <v>AB</v>
      </c>
      <c r="K246" s="23">
        <v>42349</v>
      </c>
      <c r="L246" s="22">
        <v>11.503273963928223</v>
      </c>
    </row>
    <row r="247" spans="1:12" x14ac:dyDescent="0.25">
      <c r="A247" s="9">
        <v>240</v>
      </c>
      <c r="B247" s="10">
        <v>42353</v>
      </c>
      <c r="C247" s="3">
        <v>10.653767062189713</v>
      </c>
      <c r="D247" s="3">
        <v>11.108500952420979</v>
      </c>
      <c r="E247" s="3">
        <v>10.608793296947789</v>
      </c>
      <c r="F247" s="3">
        <v>10.993568420410156</v>
      </c>
      <c r="G247" s="3">
        <v>931400</v>
      </c>
      <c r="H247" s="3">
        <v>0</v>
      </c>
      <c r="I247" s="3">
        <v>0</v>
      </c>
      <c r="J247" s="3" t="str">
        <v>AB</v>
      </c>
      <c r="K247" s="23">
        <v>42352</v>
      </c>
      <c r="L247" s="22">
        <v>10.698742866516113</v>
      </c>
    </row>
    <row r="248" spans="1:12" x14ac:dyDescent="0.25">
      <c r="A248" s="9">
        <v>241</v>
      </c>
      <c r="B248" s="10">
        <v>42354</v>
      </c>
      <c r="C248" s="3">
        <v>11.058529684920373</v>
      </c>
      <c r="D248" s="3">
        <v>11.713147381404882</v>
      </c>
      <c r="E248" s="3">
        <v>11.028547493308748</v>
      </c>
      <c r="F248" s="3">
        <v>11.578226089477539</v>
      </c>
      <c r="G248" s="3">
        <v>438200</v>
      </c>
      <c r="H248" s="3">
        <v>0</v>
      </c>
      <c r="I248" s="3">
        <v>0</v>
      </c>
      <c r="J248" s="3" t="str">
        <v>AB</v>
      </c>
      <c r="K248" s="23">
        <v>42353</v>
      </c>
      <c r="L248" s="22">
        <v>10.993568420410156</v>
      </c>
    </row>
    <row r="249" spans="1:12" x14ac:dyDescent="0.25">
      <c r="A249" s="9">
        <v>242</v>
      </c>
      <c r="B249" s="10">
        <v>42355</v>
      </c>
      <c r="C249" s="3">
        <v>11.558239966412534</v>
      </c>
      <c r="D249" s="3">
        <v>11.853067618434153</v>
      </c>
      <c r="E249" s="3">
        <v>11.523260576023004</v>
      </c>
      <c r="F249" s="3">
        <v>11.63819408416748</v>
      </c>
      <c r="G249" s="3">
        <v>333800</v>
      </c>
      <c r="H249" s="3">
        <v>0</v>
      </c>
      <c r="I249" s="3">
        <v>0</v>
      </c>
      <c r="J249" s="3" t="str">
        <v>AB</v>
      </c>
      <c r="K249" s="23">
        <v>42354</v>
      </c>
      <c r="L249" s="22">
        <v>11.578226089477539</v>
      </c>
    </row>
    <row r="250" spans="1:12" x14ac:dyDescent="0.25">
      <c r="A250" s="9">
        <v>243</v>
      </c>
      <c r="B250" s="10">
        <v>42356</v>
      </c>
      <c r="C250" s="3">
        <v>11.598216548731555</v>
      </c>
      <c r="D250" s="3">
        <v>11.7281406795476</v>
      </c>
      <c r="E250" s="3">
        <v>11.538252151811475</v>
      </c>
      <c r="F250" s="3">
        <v>11.63819408416748</v>
      </c>
      <c r="G250" s="3">
        <v>224300</v>
      </c>
      <c r="H250" s="3">
        <v>0</v>
      </c>
      <c r="I250" s="3">
        <v>0</v>
      </c>
      <c r="J250" s="3" t="str">
        <v>AB</v>
      </c>
      <c r="K250" s="23">
        <v>42355</v>
      </c>
      <c r="L250" s="22">
        <v>11.63819408416748</v>
      </c>
    </row>
    <row r="251" spans="1:12" x14ac:dyDescent="0.25">
      <c r="A251" s="9">
        <v>244</v>
      </c>
      <c r="B251" s="10">
        <v>42359</v>
      </c>
      <c r="C251" s="3">
        <v>11.643190436029398</v>
      </c>
      <c r="D251" s="3">
        <v>12.082933798925215</v>
      </c>
      <c r="E251" s="3">
        <v>11.643190436029398</v>
      </c>
      <c r="F251" s="3">
        <v>11.958006858825684</v>
      </c>
      <c r="G251" s="3">
        <v>283400</v>
      </c>
      <c r="H251" s="3">
        <v>0</v>
      </c>
      <c r="I251" s="3">
        <v>0</v>
      </c>
      <c r="J251" s="3" t="str">
        <v>AB</v>
      </c>
      <c r="K251" s="23">
        <v>42356</v>
      </c>
      <c r="L251" s="22">
        <v>11.63819408416748</v>
      </c>
    </row>
    <row r="252" spans="1:12" x14ac:dyDescent="0.25">
      <c r="A252" s="9">
        <v>245</v>
      </c>
      <c r="B252" s="10">
        <v>42360</v>
      </c>
      <c r="C252" s="3">
        <v>11.987987777802013</v>
      </c>
      <c r="D252" s="3">
        <v>12.257830397106131</v>
      </c>
      <c r="E252" s="3">
        <v>11.987987777802013</v>
      </c>
      <c r="F252" s="3">
        <v>12.162885665893555</v>
      </c>
      <c r="G252" s="3">
        <v>203200</v>
      </c>
      <c r="H252" s="3">
        <v>0</v>
      </c>
      <c r="I252" s="3">
        <v>0</v>
      </c>
      <c r="J252" s="3" t="str">
        <v>AB</v>
      </c>
      <c r="K252" s="23">
        <v>42359</v>
      </c>
      <c r="L252" s="22">
        <v>11.958006858825684</v>
      </c>
    </row>
    <row r="253" spans="1:12" x14ac:dyDescent="0.25">
      <c r="A253" s="9">
        <v>246</v>
      </c>
      <c r="B253" s="10">
        <v>42361</v>
      </c>
      <c r="C253" s="3">
        <v>12.242836603568151</v>
      </c>
      <c r="D253" s="3">
        <v>12.572643554190451</v>
      </c>
      <c r="E253" s="3">
        <v>12.172877842259371</v>
      </c>
      <c r="F253" s="3">
        <v>12.442719459533691</v>
      </c>
      <c r="G253" s="3">
        <v>188700</v>
      </c>
      <c r="H253" s="3">
        <v>0</v>
      </c>
      <c r="I253" s="3">
        <v>0</v>
      </c>
      <c r="J253" s="3" t="str">
        <v>AB</v>
      </c>
      <c r="K253" s="23">
        <v>42360</v>
      </c>
      <c r="L253" s="22">
        <v>12.162885665893555</v>
      </c>
    </row>
    <row r="254" spans="1:12" x14ac:dyDescent="0.25">
      <c r="A254" s="9">
        <v>247</v>
      </c>
      <c r="B254" s="10">
        <v>42362</v>
      </c>
      <c r="C254" s="3">
        <v>12.492693036566466</v>
      </c>
      <c r="D254" s="3">
        <v>12.527672424570158</v>
      </c>
      <c r="E254" s="3">
        <v>12.287812947016123</v>
      </c>
      <c r="F254" s="3">
        <v>12.422734260559082</v>
      </c>
      <c r="G254" s="3">
        <v>476500</v>
      </c>
      <c r="H254" s="3">
        <v>0</v>
      </c>
      <c r="I254" s="3">
        <v>0</v>
      </c>
      <c r="J254" s="3" t="str">
        <v>AB</v>
      </c>
      <c r="K254" s="23">
        <v>42361</v>
      </c>
      <c r="L254" s="22">
        <v>12.442719459533691</v>
      </c>
    </row>
    <row r="255" spans="1:12" x14ac:dyDescent="0.25">
      <c r="A255" s="9">
        <v>248</v>
      </c>
      <c r="B255" s="10">
        <v>42366</v>
      </c>
      <c r="C255" s="3">
        <v>12.412738904663321</v>
      </c>
      <c r="D255" s="3">
        <v>12.612621786961288</v>
      </c>
      <c r="E255" s="3">
        <v>12.097922531066853</v>
      </c>
      <c r="F255" s="3">
        <v>12.267823219299316</v>
      </c>
      <c r="G255" s="3">
        <v>243600</v>
      </c>
      <c r="H255" s="3">
        <v>0</v>
      </c>
      <c r="I255" s="3">
        <v>0</v>
      </c>
      <c r="J255" s="3" t="str">
        <v>AB</v>
      </c>
      <c r="K255" s="23">
        <v>42362</v>
      </c>
      <c r="L255" s="22">
        <v>12.422734260559082</v>
      </c>
    </row>
    <row r="256" spans="1:12" x14ac:dyDescent="0.25">
      <c r="A256" s="9">
        <v>249</v>
      </c>
      <c r="B256" s="10">
        <v>42367</v>
      </c>
      <c r="C256" s="3">
        <v>12.302805376716435</v>
      </c>
      <c r="D256" s="3">
        <v>12.422735123827492</v>
      </c>
      <c r="E256" s="3">
        <v>12.192869060360287</v>
      </c>
      <c r="F256" s="3">
        <v>12.337784767150879</v>
      </c>
      <c r="G256" s="3">
        <v>247500</v>
      </c>
      <c r="H256" s="3">
        <v>0</v>
      </c>
      <c r="I256" s="3">
        <v>0</v>
      </c>
      <c r="J256" s="3" t="str">
        <v>AB</v>
      </c>
      <c r="K256" s="23">
        <v>42366</v>
      </c>
      <c r="L256" s="22">
        <v>12.267823219299316</v>
      </c>
    </row>
    <row r="257" spans="1:12" x14ac:dyDescent="0.25">
      <c r="A257" s="9">
        <v>250</v>
      </c>
      <c r="B257" s="10">
        <v>42368</v>
      </c>
      <c r="C257" s="3">
        <v>12.292808926046549</v>
      </c>
      <c r="D257" s="3">
        <v>12.557653382302819</v>
      </c>
      <c r="E257" s="3">
        <v>12.212855774748419</v>
      </c>
      <c r="F257" s="3">
        <v>12.247835159301758</v>
      </c>
      <c r="G257" s="3">
        <v>280400</v>
      </c>
      <c r="H257" s="3">
        <v>0</v>
      </c>
      <c r="I257" s="3">
        <v>0</v>
      </c>
      <c r="J257" s="3" t="str">
        <v>AB</v>
      </c>
      <c r="K257" s="23">
        <v>42367</v>
      </c>
      <c r="L257" s="22">
        <v>12.337784767150879</v>
      </c>
    </row>
    <row r="258" spans="1:12" x14ac:dyDescent="0.25">
      <c r="A258" s="9">
        <v>251</v>
      </c>
      <c r="B258" s="10">
        <v>42369</v>
      </c>
      <c r="C258" s="3">
        <v>12.252832048025093</v>
      </c>
      <c r="D258" s="3">
        <v>12.252832048025093</v>
      </c>
      <c r="E258" s="3">
        <v>11.883048494117491</v>
      </c>
      <c r="F258" s="3">
        <v>11.918027877807617</v>
      </c>
      <c r="G258" s="3">
        <v>214400</v>
      </c>
      <c r="H258" s="3">
        <v>0</v>
      </c>
      <c r="I258" s="3">
        <v>0</v>
      </c>
      <c r="J258" s="3" t="str">
        <v>AB</v>
      </c>
      <c r="K258" s="23">
        <v>42368</v>
      </c>
      <c r="L258" s="22">
        <v>12.247835159301758</v>
      </c>
    </row>
    <row r="259" spans="1:12" x14ac:dyDescent="0.25">
      <c r="A259" s="9">
        <v>252</v>
      </c>
      <c r="B259" s="10">
        <v>42373</v>
      </c>
      <c r="C259" s="3">
        <v>11.873056629341393</v>
      </c>
      <c r="D259" s="3">
        <v>11.98299199469122</v>
      </c>
      <c r="E259" s="3">
        <v>11.628199938482512</v>
      </c>
      <c r="F259" s="3">
        <v>11.813091278076172</v>
      </c>
      <c r="G259" s="3">
        <v>326400</v>
      </c>
      <c r="H259" s="3">
        <v>0</v>
      </c>
      <c r="I259" s="3">
        <v>0</v>
      </c>
      <c r="J259" s="3" t="str">
        <v>AB</v>
      </c>
      <c r="K259" s="23">
        <v>42369</v>
      </c>
      <c r="L259" s="22">
        <v>11.918027877807617</v>
      </c>
    </row>
    <row r="260" spans="1:12" x14ac:dyDescent="0.25">
      <c r="A260" s="9">
        <v>253</v>
      </c>
      <c r="B260" s="10">
        <v>42374</v>
      </c>
      <c r="C260" s="3">
        <v>11.758123613658505</v>
      </c>
      <c r="D260" s="3">
        <v>11.89304398079179</v>
      </c>
      <c r="E260" s="3">
        <v>11.543249130249023</v>
      </c>
      <c r="F260" s="3">
        <v>11.543249130249023</v>
      </c>
      <c r="G260" s="3">
        <v>202500</v>
      </c>
      <c r="H260" s="3">
        <v>0</v>
      </c>
      <c r="I260" s="3">
        <v>0</v>
      </c>
      <c r="J260" s="3" t="str">
        <v>AB</v>
      </c>
      <c r="K260" s="23">
        <v>42373</v>
      </c>
      <c r="L260" s="22">
        <v>11.813091278076172</v>
      </c>
    </row>
    <row r="261" spans="1:12" x14ac:dyDescent="0.25">
      <c r="A261" s="9">
        <v>254</v>
      </c>
      <c r="B261" s="10">
        <v>42375</v>
      </c>
      <c r="C261" s="3">
        <v>11.393335440414093</v>
      </c>
      <c r="D261" s="3">
        <v>11.578227713031746</v>
      </c>
      <c r="E261" s="3">
        <v>11.253417891195481</v>
      </c>
      <c r="F261" s="3">
        <v>11.478285789489746</v>
      </c>
      <c r="G261" s="3">
        <v>182600</v>
      </c>
      <c r="H261" s="3">
        <v>0</v>
      </c>
      <c r="I261" s="3">
        <v>0</v>
      </c>
      <c r="J261" s="3" t="str">
        <v>AB</v>
      </c>
      <c r="K261" s="23">
        <v>42374</v>
      </c>
      <c r="L261" s="22">
        <v>11.543249130249023</v>
      </c>
    </row>
    <row r="262" spans="1:12" x14ac:dyDescent="0.25">
      <c r="A262" s="9">
        <v>255</v>
      </c>
      <c r="B262" s="10">
        <v>42376</v>
      </c>
      <c r="C262" s="3">
        <v>11.268411029336431</v>
      </c>
      <c r="D262" s="3">
        <v>11.358358589990589</v>
      </c>
      <c r="E262" s="3">
        <v>11.108504678447723</v>
      </c>
      <c r="F262" s="3">
        <v>11.218441009521484</v>
      </c>
      <c r="G262" s="3">
        <v>414300</v>
      </c>
      <c r="H262" s="3">
        <v>0</v>
      </c>
      <c r="I262" s="3">
        <v>0</v>
      </c>
      <c r="J262" s="3" t="str">
        <v>AB</v>
      </c>
      <c r="K262" s="23">
        <v>42375</v>
      </c>
      <c r="L262" s="22">
        <v>11.478285789489746</v>
      </c>
    </row>
    <row r="263" spans="1:12" x14ac:dyDescent="0.25">
      <c r="A263" s="9">
        <v>256</v>
      </c>
      <c r="B263" s="10">
        <v>42377</v>
      </c>
      <c r="C263" s="3">
        <v>11.268408123728337</v>
      </c>
      <c r="D263" s="3">
        <v>11.413323812552234</v>
      </c>
      <c r="E263" s="3">
        <v>10.863645158271556</v>
      </c>
      <c r="F263" s="3">
        <v>10.908618927001953</v>
      </c>
      <c r="G263" s="3">
        <v>191400</v>
      </c>
      <c r="H263" s="3">
        <v>0</v>
      </c>
      <c r="I263" s="3">
        <v>0</v>
      </c>
      <c r="J263" s="3" t="str">
        <v>AB</v>
      </c>
      <c r="K263" s="23">
        <v>42376</v>
      </c>
      <c r="L263" s="22">
        <v>11.218441009521484</v>
      </c>
    </row>
    <row r="264" spans="1:12" x14ac:dyDescent="0.25">
      <c r="A264" s="9">
        <v>257</v>
      </c>
      <c r="B264" s="10">
        <v>42380</v>
      </c>
      <c r="C264" s="3">
        <v>10.838661223030918</v>
      </c>
      <c r="D264" s="3">
        <v>10.903622810312353</v>
      </c>
      <c r="E264" s="3">
        <v>10.268993747340192</v>
      </c>
      <c r="F264" s="3">
        <v>10.298976898193359</v>
      </c>
      <c r="G264" s="3">
        <v>410900</v>
      </c>
      <c r="H264" s="3">
        <v>0</v>
      </c>
      <c r="I264" s="3">
        <v>0</v>
      </c>
      <c r="J264" s="3" t="str">
        <v>AB</v>
      </c>
      <c r="K264" s="23">
        <v>42377</v>
      </c>
      <c r="L264" s="22">
        <v>10.908618927001953</v>
      </c>
    </row>
    <row r="265" spans="1:12" x14ac:dyDescent="0.25">
      <c r="A265" s="9">
        <v>258</v>
      </c>
      <c r="B265" s="10">
        <v>42381</v>
      </c>
      <c r="C265" s="3">
        <v>10.428902463213619</v>
      </c>
      <c r="D265" s="3">
        <v>10.578814425673219</v>
      </c>
      <c r="E265" s="3">
        <v>10.338954904491056</v>
      </c>
      <c r="F265" s="3">
        <v>10.493864059448242</v>
      </c>
      <c r="G265" s="3">
        <v>161900</v>
      </c>
      <c r="H265" s="3">
        <v>0</v>
      </c>
      <c r="I265" s="3">
        <v>0</v>
      </c>
      <c r="J265" s="3" t="str">
        <v>AB</v>
      </c>
      <c r="K265" s="23">
        <v>42380</v>
      </c>
      <c r="L265" s="22">
        <v>10.298976898193359</v>
      </c>
    </row>
    <row r="266" spans="1:12" x14ac:dyDescent="0.25">
      <c r="A266" s="9">
        <v>259</v>
      </c>
      <c r="B266" s="10">
        <v>42382</v>
      </c>
      <c r="C266" s="3">
        <v>10.58880813973389</v>
      </c>
      <c r="D266" s="3">
        <v>10.638779108426471</v>
      </c>
      <c r="E266" s="3">
        <v>9.7443017234918496</v>
      </c>
      <c r="F266" s="3">
        <v>9.8942136764526367</v>
      </c>
      <c r="G266" s="3">
        <v>319000</v>
      </c>
      <c r="H266" s="3">
        <v>0</v>
      </c>
      <c r="I266" s="3">
        <v>0</v>
      </c>
      <c r="J266" s="3" t="str">
        <v>AB</v>
      </c>
      <c r="K266" s="23">
        <v>42381</v>
      </c>
      <c r="L266" s="22">
        <v>10.493864059448242</v>
      </c>
    </row>
    <row r="267" spans="1:12" x14ac:dyDescent="0.25">
      <c r="A267" s="9">
        <v>260</v>
      </c>
      <c r="B267" s="10">
        <v>42383</v>
      </c>
      <c r="C267" s="3">
        <v>9.8642310120622092</v>
      </c>
      <c r="D267" s="3">
        <v>10.149064281147529</v>
      </c>
      <c r="E267" s="3">
        <v>9.6693452917652873</v>
      </c>
      <c r="F267" s="3">
        <v>10.089099884033203</v>
      </c>
      <c r="G267" s="3">
        <v>362500</v>
      </c>
      <c r="H267" s="3">
        <v>0</v>
      </c>
      <c r="I267" s="3">
        <v>0</v>
      </c>
      <c r="J267" s="3" t="str">
        <v>AB</v>
      </c>
      <c r="K267" s="23">
        <v>42382</v>
      </c>
      <c r="L267" s="22">
        <v>9.8942136764526367</v>
      </c>
    </row>
    <row r="268" spans="1:12" x14ac:dyDescent="0.25">
      <c r="A268" s="9">
        <v>261</v>
      </c>
      <c r="B268" s="10">
        <v>42384</v>
      </c>
      <c r="C268" s="3">
        <v>9.7992696492872664</v>
      </c>
      <c r="D268" s="3">
        <v>9.9591759827739104</v>
      </c>
      <c r="E268" s="3">
        <v>9.5893923483068146</v>
      </c>
      <c r="F268" s="3">
        <v>9.7193164825439453</v>
      </c>
      <c r="G268" s="3">
        <v>254700</v>
      </c>
      <c r="H268" s="3">
        <v>0</v>
      </c>
      <c r="I268" s="3">
        <v>0</v>
      </c>
      <c r="J268" s="3" t="str">
        <v>AB</v>
      </c>
      <c r="K268" s="23">
        <v>42383</v>
      </c>
      <c r="L268" s="22">
        <v>10.089099884033203</v>
      </c>
    </row>
    <row r="269" spans="1:12" x14ac:dyDescent="0.25">
      <c r="A269" s="9">
        <v>262</v>
      </c>
      <c r="B269" s="10">
        <v>42388</v>
      </c>
      <c r="C269" s="3">
        <v>9.8392452137524913</v>
      </c>
      <c r="D269" s="3">
        <v>9.8792217929843638</v>
      </c>
      <c r="E269" s="3">
        <v>9.2695777683022715</v>
      </c>
      <c r="F269" s="3">
        <v>9.3295431137084961</v>
      </c>
      <c r="G269" s="3">
        <v>430800</v>
      </c>
      <c r="H269" s="3">
        <v>0</v>
      </c>
      <c r="I269" s="3">
        <v>0</v>
      </c>
      <c r="J269" s="3" t="str">
        <v>AB</v>
      </c>
      <c r="K269" s="23">
        <v>42384</v>
      </c>
      <c r="L269" s="22">
        <v>9.7193164825439453</v>
      </c>
    </row>
    <row r="270" spans="1:12" x14ac:dyDescent="0.25">
      <c r="A270" s="9">
        <v>263</v>
      </c>
      <c r="B270" s="10">
        <v>42389</v>
      </c>
      <c r="C270" s="3">
        <v>9.1846270607204623</v>
      </c>
      <c r="D270" s="3">
        <v>9.2545867864902007</v>
      </c>
      <c r="E270" s="3">
        <v>8.8298350529899068</v>
      </c>
      <c r="F270" s="3">
        <v>9.0696945190429688</v>
      </c>
      <c r="G270" s="3">
        <v>677100</v>
      </c>
      <c r="H270" s="3">
        <v>0</v>
      </c>
      <c r="I270" s="3">
        <v>0</v>
      </c>
      <c r="J270" s="3" t="str">
        <v>AB</v>
      </c>
      <c r="K270" s="23">
        <v>42388</v>
      </c>
      <c r="L270" s="22">
        <v>9.3295431137084961</v>
      </c>
    </row>
    <row r="271" spans="1:12" x14ac:dyDescent="0.25">
      <c r="A271" s="9">
        <v>264</v>
      </c>
      <c r="B271" s="10">
        <v>42390</v>
      </c>
      <c r="C271" s="3">
        <v>9.0796887719632515</v>
      </c>
      <c r="D271" s="3">
        <v>9.4894489255596497</v>
      </c>
      <c r="E271" s="3">
        <v>9.0147271915878537</v>
      </c>
      <c r="F271" s="3">
        <v>9.2895660400390625</v>
      </c>
      <c r="G271" s="3">
        <v>346200</v>
      </c>
      <c r="H271" s="3">
        <v>0</v>
      </c>
      <c r="I271" s="3">
        <v>0</v>
      </c>
      <c r="J271" s="3" t="str">
        <v>AB</v>
      </c>
      <c r="K271" s="23">
        <v>42389</v>
      </c>
      <c r="L271" s="22">
        <v>9.0696945190429688</v>
      </c>
    </row>
    <row r="272" spans="1:12" x14ac:dyDescent="0.25">
      <c r="A272" s="9">
        <v>265</v>
      </c>
      <c r="B272" s="10">
        <v>42391</v>
      </c>
      <c r="C272" s="3">
        <v>9.4544700424357639</v>
      </c>
      <c r="D272" s="3">
        <v>9.8892161755360632</v>
      </c>
      <c r="E272" s="3">
        <v>9.3545281178030795</v>
      </c>
      <c r="F272" s="3">
        <v>9.869227409362793</v>
      </c>
      <c r="G272" s="3">
        <v>218300</v>
      </c>
      <c r="H272" s="3">
        <v>0</v>
      </c>
      <c r="I272" s="3">
        <v>0</v>
      </c>
      <c r="J272" s="3" t="str">
        <v>AB</v>
      </c>
      <c r="K272" s="23">
        <v>42390</v>
      </c>
      <c r="L272" s="22">
        <v>9.2895660400390625</v>
      </c>
    </row>
    <row r="273" spans="1:12" x14ac:dyDescent="0.25">
      <c r="A273" s="9">
        <v>266</v>
      </c>
      <c r="B273" s="10">
        <v>42394</v>
      </c>
      <c r="C273" s="3">
        <v>9.8442437849663555</v>
      </c>
      <c r="D273" s="3">
        <v>9.9042081856597566</v>
      </c>
      <c r="E273" s="3">
        <v>9.5144367218017578</v>
      </c>
      <c r="F273" s="3">
        <v>9.5144367218017578</v>
      </c>
      <c r="G273" s="3">
        <v>536100</v>
      </c>
      <c r="H273" s="3">
        <v>0</v>
      </c>
      <c r="I273" s="3">
        <v>0</v>
      </c>
      <c r="J273" s="3" t="str">
        <v>AB</v>
      </c>
      <c r="K273" s="23">
        <v>42391</v>
      </c>
      <c r="L273" s="22">
        <v>9.869227409362793</v>
      </c>
    </row>
    <row r="274" spans="1:12" x14ac:dyDescent="0.25">
      <c r="A274" s="9">
        <v>267</v>
      </c>
      <c r="B274" s="10">
        <v>42395</v>
      </c>
      <c r="C274" s="3">
        <v>9.5594097293037059</v>
      </c>
      <c r="D274" s="3">
        <v>9.639363853624964</v>
      </c>
      <c r="E274" s="3">
        <v>9.3095558310110977</v>
      </c>
      <c r="F274" s="3">
        <v>9.5294275283813477</v>
      </c>
      <c r="G274" s="3">
        <v>228700</v>
      </c>
      <c r="H274" s="3">
        <v>0</v>
      </c>
      <c r="I274" s="3">
        <v>0</v>
      </c>
      <c r="J274" s="3" t="str">
        <v>AB</v>
      </c>
      <c r="K274" s="23">
        <v>42394</v>
      </c>
      <c r="L274" s="22">
        <v>9.5144367218017578</v>
      </c>
    </row>
    <row r="275" spans="1:12" x14ac:dyDescent="0.25">
      <c r="A275" s="9">
        <v>268</v>
      </c>
      <c r="B275" s="10">
        <v>42396</v>
      </c>
      <c r="C275" s="3">
        <v>9.5294260098678585</v>
      </c>
      <c r="D275" s="3">
        <v>9.6293679345059537</v>
      </c>
      <c r="E275" s="3">
        <v>9.239595572157576</v>
      </c>
      <c r="F275" s="3">
        <v>9.3295431137084961</v>
      </c>
      <c r="G275" s="3">
        <v>278300</v>
      </c>
      <c r="H275" s="3">
        <v>0</v>
      </c>
      <c r="I275" s="3">
        <v>0</v>
      </c>
      <c r="J275" s="3" t="str">
        <v>AB</v>
      </c>
      <c r="K275" s="23">
        <v>42395</v>
      </c>
      <c r="L275" s="22">
        <v>9.5294275283813477</v>
      </c>
    </row>
    <row r="276" spans="1:12" x14ac:dyDescent="0.25">
      <c r="A276" s="9">
        <v>269</v>
      </c>
      <c r="B276" s="10">
        <v>42397</v>
      </c>
      <c r="C276" s="3">
        <v>9.3695218625134142</v>
      </c>
      <c r="D276" s="3">
        <v>9.5144375914831407</v>
      </c>
      <c r="E276" s="3">
        <v>9.1096735607782833</v>
      </c>
      <c r="F276" s="3">
        <v>9.1146707534790039</v>
      </c>
      <c r="G276" s="3">
        <v>233600</v>
      </c>
      <c r="H276" s="3">
        <v>0</v>
      </c>
      <c r="I276" s="3">
        <v>0</v>
      </c>
      <c r="J276" s="3" t="str">
        <v>AB</v>
      </c>
      <c r="K276" s="23">
        <v>42396</v>
      </c>
      <c r="L276" s="22">
        <v>9.3295431137084961</v>
      </c>
    </row>
    <row r="277" spans="1:12" x14ac:dyDescent="0.25">
      <c r="A277" s="9">
        <v>270</v>
      </c>
      <c r="B277" s="10">
        <v>42398</v>
      </c>
      <c r="C277" s="3">
        <v>9.1646419855177044</v>
      </c>
      <c r="D277" s="3">
        <v>9.2695801758375573</v>
      </c>
      <c r="E277" s="3">
        <v>9.12966258874442</v>
      </c>
      <c r="F277" s="3">
        <v>9.2146129608154297</v>
      </c>
      <c r="G277" s="3">
        <v>282600</v>
      </c>
      <c r="H277" s="3">
        <v>0</v>
      </c>
      <c r="I277" s="3">
        <v>0</v>
      </c>
      <c r="J277" s="3" t="str">
        <v>AB</v>
      </c>
      <c r="K277" s="23">
        <v>42397</v>
      </c>
      <c r="L277" s="22">
        <v>9.1146707534790039</v>
      </c>
    </row>
    <row r="278" spans="1:12" x14ac:dyDescent="0.25">
      <c r="A278" s="9">
        <v>271</v>
      </c>
      <c r="B278" s="10">
        <v>42401</v>
      </c>
      <c r="C278" s="3">
        <v>9.2196096028012668</v>
      </c>
      <c r="D278" s="3">
        <v>9.4045009613037109</v>
      </c>
      <c r="E278" s="3">
        <v>9.1096732730913601</v>
      </c>
      <c r="F278" s="3">
        <v>9.4045009613037109</v>
      </c>
      <c r="G278" s="3">
        <v>239200</v>
      </c>
      <c r="H278" s="3">
        <v>0</v>
      </c>
      <c r="I278" s="3">
        <v>0</v>
      </c>
      <c r="J278" s="3" t="str">
        <v>AB</v>
      </c>
      <c r="K278" s="23">
        <v>42398</v>
      </c>
      <c r="L278" s="22">
        <v>9.2146129608154297</v>
      </c>
    </row>
    <row r="279" spans="1:12" x14ac:dyDescent="0.25">
      <c r="A279" s="9">
        <v>272</v>
      </c>
      <c r="B279" s="10">
        <v>42402</v>
      </c>
      <c r="C279" s="3">
        <v>9.2695792086360882</v>
      </c>
      <c r="D279" s="3">
        <v>9.2945651702364174</v>
      </c>
      <c r="E279" s="3">
        <v>8.9447693327676312</v>
      </c>
      <c r="F279" s="3">
        <v>8.9797487258911133</v>
      </c>
      <c r="G279" s="3">
        <v>234200</v>
      </c>
      <c r="H279" s="3">
        <v>0</v>
      </c>
      <c r="I279" s="3">
        <v>0</v>
      </c>
      <c r="J279" s="3" t="str">
        <v>AB</v>
      </c>
      <c r="K279" s="23">
        <v>42401</v>
      </c>
      <c r="L279" s="22">
        <v>9.4045009613037109</v>
      </c>
    </row>
    <row r="280" spans="1:12" x14ac:dyDescent="0.25">
      <c r="A280" s="9">
        <v>273</v>
      </c>
      <c r="B280" s="10">
        <v>42403</v>
      </c>
      <c r="C280" s="3">
        <v>9.0696971381196452</v>
      </c>
      <c r="D280" s="3">
        <v>9.2995632409703717</v>
      </c>
      <c r="E280" s="3">
        <v>8.8947992028648226</v>
      </c>
      <c r="F280" s="3">
        <v>9.0497093200683594</v>
      </c>
      <c r="G280" s="3">
        <v>200000</v>
      </c>
      <c r="H280" s="3">
        <v>0</v>
      </c>
      <c r="I280" s="3">
        <v>0</v>
      </c>
      <c r="J280" s="3" t="str">
        <v>AB</v>
      </c>
      <c r="K280" s="23">
        <v>42402</v>
      </c>
      <c r="L280" s="22">
        <v>8.9797487258911133</v>
      </c>
    </row>
    <row r="281" spans="1:12" x14ac:dyDescent="0.25">
      <c r="A281" s="9">
        <v>274</v>
      </c>
      <c r="B281" s="10">
        <v>42404</v>
      </c>
      <c r="C281" s="3">
        <v>9.0097305857553902</v>
      </c>
      <c r="D281" s="3">
        <v>9.1546453297554695</v>
      </c>
      <c r="E281" s="3">
        <v>8.9547624312466496</v>
      </c>
      <c r="F281" s="3">
        <v>9.0297183990478516</v>
      </c>
      <c r="G281" s="3">
        <v>273300</v>
      </c>
      <c r="H281" s="3">
        <v>0</v>
      </c>
      <c r="I281" s="3">
        <v>0</v>
      </c>
      <c r="J281" s="3" t="str">
        <v>AB</v>
      </c>
      <c r="K281" s="23">
        <v>42403</v>
      </c>
      <c r="L281" s="22">
        <v>9.0497093200683594</v>
      </c>
    </row>
    <row r="282" spans="1:12" x14ac:dyDescent="0.25">
      <c r="A282" s="9">
        <v>275</v>
      </c>
      <c r="B282" s="10">
        <v>42405</v>
      </c>
      <c r="C282" s="3">
        <v>9.0147247943567521</v>
      </c>
      <c r="D282" s="3">
        <v>9.1946188669287494</v>
      </c>
      <c r="E282" s="3">
        <v>8.9547594680884011</v>
      </c>
      <c r="F282" s="3">
        <v>9.0197210311889648</v>
      </c>
      <c r="G282" s="3">
        <v>192500</v>
      </c>
      <c r="H282" s="3">
        <v>0</v>
      </c>
      <c r="I282" s="3">
        <v>0</v>
      </c>
      <c r="J282" s="3" t="str">
        <v>AB</v>
      </c>
      <c r="K282" s="23">
        <v>42404</v>
      </c>
      <c r="L282" s="22">
        <v>9.0297183990478516</v>
      </c>
    </row>
    <row r="283" spans="1:12" x14ac:dyDescent="0.25">
      <c r="A283" s="9">
        <v>276</v>
      </c>
      <c r="B283" s="10">
        <v>42408</v>
      </c>
      <c r="C283" s="3">
        <v>8.8548202809488235</v>
      </c>
      <c r="D283" s="3">
        <v>8.8798062383270135</v>
      </c>
      <c r="E283" s="3">
        <v>8.2751594134102326</v>
      </c>
      <c r="F283" s="3">
        <v>8.3950891494750977</v>
      </c>
      <c r="G283" s="3">
        <v>305100</v>
      </c>
      <c r="H283" s="3">
        <v>0</v>
      </c>
      <c r="I283" s="3">
        <v>0</v>
      </c>
      <c r="J283" s="3" t="str">
        <v>AB</v>
      </c>
      <c r="K283" s="23">
        <v>42405</v>
      </c>
      <c r="L283" s="22">
        <v>9.0197210311889648</v>
      </c>
    </row>
    <row r="284" spans="1:12" x14ac:dyDescent="0.25">
      <c r="A284" s="9">
        <v>277</v>
      </c>
      <c r="B284" s="10">
        <v>42409</v>
      </c>
      <c r="C284" s="3">
        <v>8.2501753662445481</v>
      </c>
      <c r="D284" s="3">
        <v>8.6899177828298555</v>
      </c>
      <c r="E284" s="3">
        <v>8.2451781741891885</v>
      </c>
      <c r="F284" s="3">
        <v>8.6299533843994141</v>
      </c>
      <c r="G284" s="3">
        <v>298100</v>
      </c>
      <c r="H284" s="3">
        <v>0</v>
      </c>
      <c r="I284" s="3">
        <v>0</v>
      </c>
      <c r="J284" s="3" t="str">
        <v>AB</v>
      </c>
      <c r="K284" s="23">
        <v>42408</v>
      </c>
      <c r="L284" s="22">
        <v>8.3950891494750977</v>
      </c>
    </row>
    <row r="285" spans="1:12" x14ac:dyDescent="0.25">
      <c r="A285" s="9">
        <v>278</v>
      </c>
      <c r="B285" s="10">
        <v>42410</v>
      </c>
      <c r="C285" s="3">
        <v>8.6999122287648198</v>
      </c>
      <c r="D285" s="3">
        <v>8.7848625880757343</v>
      </c>
      <c r="E285" s="3">
        <v>8.5699880937530111</v>
      </c>
      <c r="F285" s="3">
        <v>8.6349506378173828</v>
      </c>
      <c r="G285" s="3">
        <v>200300</v>
      </c>
      <c r="H285" s="3">
        <v>0</v>
      </c>
      <c r="I285" s="3">
        <v>0</v>
      </c>
      <c r="J285" s="3" t="str">
        <v>AB</v>
      </c>
      <c r="K285" s="23">
        <v>42409</v>
      </c>
      <c r="L285" s="22">
        <v>8.6299533843994141</v>
      </c>
    </row>
    <row r="286" spans="1:12" x14ac:dyDescent="0.25">
      <c r="A286" s="9">
        <v>279</v>
      </c>
      <c r="B286" s="10">
        <v>42411</v>
      </c>
      <c r="C286" s="3">
        <v>8.0752781401948024</v>
      </c>
      <c r="D286" s="3">
        <v>8.5949747205314324</v>
      </c>
      <c r="E286" s="3">
        <v>8.0752781401948024</v>
      </c>
      <c r="F286" s="3">
        <v>8.4550561904907227</v>
      </c>
      <c r="G286" s="3">
        <v>262000</v>
      </c>
      <c r="H286" s="3">
        <v>0</v>
      </c>
      <c r="I286" s="3">
        <v>0</v>
      </c>
      <c r="J286" s="3" t="str">
        <v>AB</v>
      </c>
      <c r="K286" s="23">
        <v>42410</v>
      </c>
      <c r="L286" s="22">
        <v>8.6349506378173828</v>
      </c>
    </row>
    <row r="287" spans="1:12" x14ac:dyDescent="0.25">
      <c r="A287" s="9">
        <v>280</v>
      </c>
      <c r="B287" s="10">
        <v>42412</v>
      </c>
      <c r="C287" s="3">
        <v>8.5250135589260729</v>
      </c>
      <c r="D287" s="3">
        <v>8.7298936508231204</v>
      </c>
      <c r="E287" s="3">
        <v>8.0502917899691706</v>
      </c>
      <c r="F287" s="3">
        <v>8.6499404907226563</v>
      </c>
      <c r="G287" s="3">
        <v>695200</v>
      </c>
      <c r="H287" s="3">
        <v>0</v>
      </c>
      <c r="I287" s="3">
        <v>0</v>
      </c>
      <c r="J287" s="3" t="str">
        <v>AB</v>
      </c>
      <c r="K287" s="23">
        <v>42411</v>
      </c>
      <c r="L287" s="22">
        <v>8.4550561904907227</v>
      </c>
    </row>
    <row r="288" spans="1:12" x14ac:dyDescent="0.25">
      <c r="A288" s="9">
        <v>281</v>
      </c>
      <c r="B288" s="10">
        <v>42416</v>
      </c>
      <c r="C288" s="3">
        <v>8.8098465380672994</v>
      </c>
      <c r="D288" s="3">
        <v>9.3295430157412653</v>
      </c>
      <c r="E288" s="3">
        <v>8.7348905719342369</v>
      </c>
      <c r="F288" s="3">
        <v>9.2445926666259766</v>
      </c>
      <c r="G288" s="3">
        <v>572000</v>
      </c>
      <c r="H288" s="3">
        <v>0</v>
      </c>
      <c r="I288" s="3">
        <v>0</v>
      </c>
      <c r="J288" s="3" t="str">
        <v>AB</v>
      </c>
      <c r="K288" s="23">
        <v>42412</v>
      </c>
      <c r="L288" s="22">
        <v>8.6499404907226563</v>
      </c>
    </row>
    <row r="289" spans="1:12" x14ac:dyDescent="0.25">
      <c r="A289" s="9">
        <v>282</v>
      </c>
      <c r="B289" s="10">
        <v>42417</v>
      </c>
      <c r="C289" s="3">
        <v>9.3945057720606879</v>
      </c>
      <c r="D289" s="3">
        <v>9.6343662280033691</v>
      </c>
      <c r="E289" s="3">
        <v>9.35952638037155</v>
      </c>
      <c r="F289" s="3">
        <v>9.4944477081298828</v>
      </c>
      <c r="G289" s="3">
        <v>399700</v>
      </c>
      <c r="H289" s="3">
        <v>0</v>
      </c>
      <c r="I289" s="3">
        <v>0</v>
      </c>
      <c r="J289" s="3" t="str">
        <v>AB</v>
      </c>
      <c r="K289" s="23">
        <v>42416</v>
      </c>
      <c r="L289" s="22">
        <v>9.2445926666259766</v>
      </c>
    </row>
    <row r="290" spans="1:12" x14ac:dyDescent="0.25">
      <c r="A290" s="9">
        <v>283</v>
      </c>
      <c r="B290" s="10">
        <v>42418</v>
      </c>
      <c r="C290" s="3">
        <v>9.6176185332966515</v>
      </c>
      <c r="D290" s="3">
        <v>9.7818466567320588</v>
      </c>
      <c r="E290" s="3">
        <v>9.5611647487869202</v>
      </c>
      <c r="F290" s="3">
        <v>9.7664508819580078</v>
      </c>
      <c r="G290" s="3">
        <v>460700</v>
      </c>
      <c r="H290" s="3">
        <v>0.5</v>
      </c>
      <c r="I290" s="3">
        <v>0</v>
      </c>
      <c r="J290" s="3" t="str">
        <v>AB</v>
      </c>
      <c r="K290" s="23">
        <v>42417</v>
      </c>
      <c r="L290" s="22">
        <v>9.4944477081298828</v>
      </c>
    </row>
    <row r="291" spans="1:12" x14ac:dyDescent="0.25">
      <c r="A291" s="9">
        <v>284</v>
      </c>
      <c r="B291" s="10">
        <v>42419</v>
      </c>
      <c r="C291" s="3">
        <v>9.7459211257670155</v>
      </c>
      <c r="D291" s="3">
        <v>9.7715823798735642</v>
      </c>
      <c r="E291" s="3">
        <v>9.5355037364770929</v>
      </c>
      <c r="F291" s="3">
        <v>9.5970897674560547</v>
      </c>
      <c r="G291" s="3">
        <v>257500</v>
      </c>
      <c r="H291" s="3">
        <v>0</v>
      </c>
      <c r="I291" s="3">
        <v>0</v>
      </c>
      <c r="J291" s="3" t="str">
        <v>AB</v>
      </c>
      <c r="K291" s="23">
        <v>42418</v>
      </c>
      <c r="L291" s="22">
        <v>9.7664508819580078</v>
      </c>
    </row>
    <row r="292" spans="1:12" x14ac:dyDescent="0.25">
      <c r="A292" s="9">
        <v>285</v>
      </c>
      <c r="B292" s="10">
        <v>42422</v>
      </c>
      <c r="C292" s="3">
        <v>9.7356582818880746</v>
      </c>
      <c r="D292" s="3">
        <v>9.7356582818880746</v>
      </c>
      <c r="E292" s="3">
        <v>9.5509021152448774</v>
      </c>
      <c r="F292" s="3">
        <v>9.6740732192993164</v>
      </c>
      <c r="G292" s="3">
        <v>147700</v>
      </c>
      <c r="H292" s="3">
        <v>0</v>
      </c>
      <c r="I292" s="3">
        <v>0</v>
      </c>
      <c r="J292" s="3" t="str">
        <v>AB</v>
      </c>
      <c r="K292" s="23">
        <v>42419</v>
      </c>
      <c r="L292" s="22">
        <v>9.5970897674560547</v>
      </c>
    </row>
    <row r="293" spans="1:12" x14ac:dyDescent="0.25">
      <c r="A293" s="9">
        <v>286</v>
      </c>
      <c r="B293" s="10">
        <v>42423</v>
      </c>
      <c r="C293" s="3">
        <v>9.6330134732409736</v>
      </c>
      <c r="D293" s="3">
        <v>9.7407877918748671</v>
      </c>
      <c r="E293" s="3">
        <v>9.4071993565952212</v>
      </c>
      <c r="F293" s="3">
        <v>9.5611629486083984</v>
      </c>
      <c r="G293" s="3">
        <v>220300</v>
      </c>
      <c r="H293" s="3">
        <v>0</v>
      </c>
      <c r="I293" s="3">
        <v>0</v>
      </c>
      <c r="J293" s="3" t="str">
        <v>AB</v>
      </c>
      <c r="K293" s="23">
        <v>42422</v>
      </c>
      <c r="L293" s="22">
        <v>9.6740732192993164</v>
      </c>
    </row>
    <row r="294" spans="1:12" x14ac:dyDescent="0.25">
      <c r="A294" s="9">
        <v>287</v>
      </c>
      <c r="B294" s="10">
        <v>42424</v>
      </c>
      <c r="C294" s="3">
        <v>9.4174657074947241</v>
      </c>
      <c r="D294" s="3">
        <v>9.8126402445518082</v>
      </c>
      <c r="E294" s="3">
        <v>9.2891623626484119</v>
      </c>
      <c r="F294" s="3">
        <v>9.7099971771240234</v>
      </c>
      <c r="G294" s="3">
        <v>220600</v>
      </c>
      <c r="H294" s="3">
        <v>0</v>
      </c>
      <c r="I294" s="3">
        <v>0</v>
      </c>
      <c r="J294" s="3" t="str">
        <v>AB</v>
      </c>
      <c r="K294" s="23">
        <v>42423</v>
      </c>
      <c r="L294" s="22">
        <v>9.5611629486083984</v>
      </c>
    </row>
    <row r="295" spans="1:12" x14ac:dyDescent="0.25">
      <c r="A295" s="9">
        <v>288</v>
      </c>
      <c r="B295" s="10">
        <v>42425</v>
      </c>
      <c r="C295" s="3">
        <v>9.751055228923077</v>
      </c>
      <c r="D295" s="3">
        <v>10.007661945473684</v>
      </c>
      <c r="E295" s="3">
        <v>9.7253949488187921</v>
      </c>
      <c r="F295" s="3">
        <v>9.8485660552978516</v>
      </c>
      <c r="G295" s="3">
        <v>255700</v>
      </c>
      <c r="H295" s="3">
        <v>0</v>
      </c>
      <c r="I295" s="3">
        <v>0</v>
      </c>
      <c r="J295" s="3" t="str">
        <v>AB</v>
      </c>
      <c r="K295" s="23">
        <v>42424</v>
      </c>
      <c r="L295" s="22">
        <v>9.7099971771240234</v>
      </c>
    </row>
    <row r="296" spans="1:12" x14ac:dyDescent="0.25">
      <c r="A296" s="9">
        <v>289</v>
      </c>
      <c r="B296" s="10">
        <v>42426</v>
      </c>
      <c r="C296" s="3">
        <v>9.9563411226910361</v>
      </c>
      <c r="D296" s="3">
        <v>10.084644490197046</v>
      </c>
      <c r="E296" s="3">
        <v>9.8896238022937943</v>
      </c>
      <c r="F296" s="3">
        <v>10.017927169799805</v>
      </c>
      <c r="G296" s="3">
        <v>192600</v>
      </c>
      <c r="H296" s="3">
        <v>0</v>
      </c>
      <c r="I296" s="3">
        <v>0</v>
      </c>
      <c r="J296" s="3" t="str">
        <v>AB</v>
      </c>
      <c r="K296" s="23">
        <v>42425</v>
      </c>
      <c r="L296" s="22">
        <v>9.8485660552978516</v>
      </c>
    </row>
    <row r="297" spans="1:12" x14ac:dyDescent="0.25">
      <c r="A297" s="9">
        <v>290</v>
      </c>
      <c r="B297" s="10">
        <v>42429</v>
      </c>
      <c r="C297" s="3">
        <v>10.007662300368443</v>
      </c>
      <c r="D297" s="3">
        <v>10.295061559011419</v>
      </c>
      <c r="E297" s="3">
        <v>9.8793589375432056</v>
      </c>
      <c r="F297" s="3">
        <v>10.151362419128418</v>
      </c>
      <c r="G297" s="3">
        <v>198100</v>
      </c>
      <c r="H297" s="3">
        <v>0</v>
      </c>
      <c r="I297" s="3">
        <v>0</v>
      </c>
      <c r="J297" s="3" t="str">
        <v>AB</v>
      </c>
      <c r="K297" s="23">
        <v>42426</v>
      </c>
      <c r="L297" s="22">
        <v>10.017927169799805</v>
      </c>
    </row>
    <row r="298" spans="1:12" x14ac:dyDescent="0.25">
      <c r="A298" s="9">
        <v>291</v>
      </c>
      <c r="B298" s="10">
        <v>42430</v>
      </c>
      <c r="C298" s="3">
        <v>10.259137188373145</v>
      </c>
      <c r="D298" s="3">
        <v>10.484951390151</v>
      </c>
      <c r="E298" s="3">
        <v>10.259137188373145</v>
      </c>
      <c r="F298" s="3">
        <v>10.351515769958496</v>
      </c>
      <c r="G298" s="3">
        <v>449300</v>
      </c>
      <c r="H298" s="3">
        <v>0</v>
      </c>
      <c r="I298" s="3">
        <v>0</v>
      </c>
      <c r="J298" s="3" t="str">
        <v>AB</v>
      </c>
      <c r="K298" s="23">
        <v>42429</v>
      </c>
      <c r="L298" s="22">
        <v>10.151362419128418</v>
      </c>
    </row>
    <row r="299" spans="1:12" x14ac:dyDescent="0.25">
      <c r="A299" s="9">
        <v>292</v>
      </c>
      <c r="B299" s="10">
        <v>42431</v>
      </c>
      <c r="C299" s="3">
        <v>10.315587865511784</v>
      </c>
      <c r="D299" s="3">
        <v>10.638911824454482</v>
      </c>
      <c r="E299" s="3">
        <v>10.315587865511784</v>
      </c>
      <c r="F299" s="3">
        <v>10.577326774597168</v>
      </c>
      <c r="G299" s="3">
        <v>262900</v>
      </c>
      <c r="H299" s="3">
        <v>0</v>
      </c>
      <c r="I299" s="3">
        <v>0</v>
      </c>
      <c r="J299" s="3" t="str">
        <v>AB</v>
      </c>
      <c r="K299" s="23">
        <v>42430</v>
      </c>
      <c r="L299" s="22">
        <v>10.351515769958496</v>
      </c>
    </row>
    <row r="300" spans="1:12" x14ac:dyDescent="0.25">
      <c r="A300" s="9">
        <v>293</v>
      </c>
      <c r="B300" s="10">
        <v>42432</v>
      </c>
      <c r="C300" s="3">
        <v>10.572195070666019</v>
      </c>
      <c r="D300" s="3">
        <v>11.054615887586332</v>
      </c>
      <c r="E300" s="3">
        <v>10.520873540546535</v>
      </c>
      <c r="F300" s="3">
        <v>10.916048049926758</v>
      </c>
      <c r="G300" s="3">
        <v>381100</v>
      </c>
      <c r="H300" s="3">
        <v>0</v>
      </c>
      <c r="I300" s="3">
        <v>0</v>
      </c>
      <c r="J300" s="3" t="str">
        <v>AB</v>
      </c>
      <c r="K300" s="23">
        <v>42431</v>
      </c>
      <c r="L300" s="22">
        <v>10.577326774597168</v>
      </c>
    </row>
    <row r="301" spans="1:12" x14ac:dyDescent="0.25">
      <c r="A301" s="9">
        <v>294</v>
      </c>
      <c r="B301" s="10">
        <v>42433</v>
      </c>
      <c r="C301" s="3">
        <v>10.921180307647255</v>
      </c>
      <c r="D301" s="3">
        <v>11.326618340203176</v>
      </c>
      <c r="E301" s="3">
        <v>10.921180307647255</v>
      </c>
      <c r="F301" s="3">
        <v>11.064879417419434</v>
      </c>
      <c r="G301" s="3">
        <v>281900</v>
      </c>
      <c r="H301" s="3">
        <v>0</v>
      </c>
      <c r="I301" s="3">
        <v>0</v>
      </c>
      <c r="J301" s="3" t="str">
        <v>AB</v>
      </c>
      <c r="K301" s="23">
        <v>42432</v>
      </c>
      <c r="L301" s="22">
        <v>10.916048049926758</v>
      </c>
    </row>
    <row r="302" spans="1:12" x14ac:dyDescent="0.25">
      <c r="A302" s="9">
        <v>295</v>
      </c>
      <c r="B302" s="10">
        <v>42436</v>
      </c>
      <c r="C302" s="3">
        <v>10.998162274233975</v>
      </c>
      <c r="D302" s="3">
        <v>11.300958229790599</v>
      </c>
      <c r="E302" s="3">
        <v>10.998162274233975</v>
      </c>
      <c r="F302" s="3">
        <v>11.146993637084961</v>
      </c>
      <c r="G302" s="3">
        <v>382900</v>
      </c>
      <c r="H302" s="3">
        <v>0</v>
      </c>
      <c r="I302" s="3">
        <v>0</v>
      </c>
      <c r="J302" s="3" t="str">
        <v>AB</v>
      </c>
      <c r="K302" s="23">
        <v>42433</v>
      </c>
      <c r="L302" s="22">
        <v>11.064879417419434</v>
      </c>
    </row>
    <row r="303" spans="1:12" x14ac:dyDescent="0.25">
      <c r="A303" s="9">
        <v>296</v>
      </c>
      <c r="B303" s="10">
        <v>42437</v>
      </c>
      <c r="C303" s="3">
        <v>11.049482723956819</v>
      </c>
      <c r="D303" s="3">
        <v>11.239371097173596</v>
      </c>
      <c r="E303" s="3">
        <v>11.003293448552375</v>
      </c>
      <c r="F303" s="3">
        <v>11.111067771911621</v>
      </c>
      <c r="G303" s="3">
        <v>223800</v>
      </c>
      <c r="H303" s="3">
        <v>0</v>
      </c>
      <c r="I303" s="3">
        <v>0</v>
      </c>
      <c r="J303" s="3" t="str">
        <v>AB</v>
      </c>
      <c r="K303" s="23">
        <v>42436</v>
      </c>
      <c r="L303" s="22">
        <v>11.146993637084961</v>
      </c>
    </row>
    <row r="304" spans="1:12" x14ac:dyDescent="0.25">
      <c r="A304" s="9">
        <v>297</v>
      </c>
      <c r="B304" s="10">
        <v>42438</v>
      </c>
      <c r="C304" s="3">
        <v>11.157261255403395</v>
      </c>
      <c r="D304" s="3">
        <v>11.316357164647592</v>
      </c>
      <c r="E304" s="3">
        <v>11.095676184221086</v>
      </c>
      <c r="F304" s="3">
        <v>11.311225891113281</v>
      </c>
      <c r="G304" s="3">
        <v>192800</v>
      </c>
      <c r="H304" s="3">
        <v>0</v>
      </c>
      <c r="I304" s="3">
        <v>0</v>
      </c>
      <c r="J304" s="3" t="str">
        <v>AB</v>
      </c>
      <c r="K304" s="23">
        <v>42437</v>
      </c>
      <c r="L304" s="22">
        <v>11.111067771911621</v>
      </c>
    </row>
    <row r="305" spans="1:12" x14ac:dyDescent="0.25">
      <c r="A305" s="9">
        <v>298</v>
      </c>
      <c r="B305" s="10">
        <v>42439</v>
      </c>
      <c r="C305" s="3">
        <v>11.465186862360827</v>
      </c>
      <c r="D305" s="3">
        <v>11.588357954751121</v>
      </c>
      <c r="E305" s="3">
        <v>11.188051170325046</v>
      </c>
      <c r="F305" s="3">
        <v>11.290694236755371</v>
      </c>
      <c r="G305" s="3">
        <v>430300</v>
      </c>
      <c r="H305" s="3">
        <v>0</v>
      </c>
      <c r="I305" s="3">
        <v>0</v>
      </c>
      <c r="J305" s="3" t="str">
        <v>AB</v>
      </c>
      <c r="K305" s="23">
        <v>42438</v>
      </c>
      <c r="L305" s="22">
        <v>11.311225891113281</v>
      </c>
    </row>
    <row r="306" spans="1:12" x14ac:dyDescent="0.25">
      <c r="A306" s="9">
        <v>299</v>
      </c>
      <c r="B306" s="10">
        <v>42440</v>
      </c>
      <c r="C306" s="3">
        <v>11.465190344045988</v>
      </c>
      <c r="D306" s="3">
        <v>11.562701188878664</v>
      </c>
      <c r="E306" s="3">
        <v>11.326622455948572</v>
      </c>
      <c r="F306" s="3">
        <v>11.42413330078125</v>
      </c>
      <c r="G306" s="3">
        <v>321600</v>
      </c>
      <c r="H306" s="3">
        <v>0</v>
      </c>
      <c r="I306" s="3">
        <v>0</v>
      </c>
      <c r="J306" s="3" t="str">
        <v>AB</v>
      </c>
      <c r="K306" s="23">
        <v>42439</v>
      </c>
      <c r="L306" s="22">
        <v>11.290694236755371</v>
      </c>
    </row>
    <row r="307" spans="1:12" x14ac:dyDescent="0.25">
      <c r="A307" s="9">
        <v>300</v>
      </c>
      <c r="B307" s="10">
        <v>42443</v>
      </c>
      <c r="C307" s="3">
        <v>11.300957422825759</v>
      </c>
      <c r="D307" s="3">
        <v>11.624281380329544</v>
      </c>
      <c r="E307" s="3">
        <v>11.290692921602981</v>
      </c>
      <c r="F307" s="3">
        <v>11.377939224243164</v>
      </c>
      <c r="G307" s="3">
        <v>214600</v>
      </c>
      <c r="H307" s="3">
        <v>0</v>
      </c>
      <c r="I307" s="3">
        <v>0</v>
      </c>
      <c r="J307" s="3" t="str">
        <v>AB</v>
      </c>
      <c r="K307" s="23">
        <v>42440</v>
      </c>
      <c r="L307" s="22">
        <v>11.42413330078125</v>
      </c>
    </row>
    <row r="308" spans="1:12" x14ac:dyDescent="0.25">
      <c r="A308" s="9">
        <v>301</v>
      </c>
      <c r="B308" s="10">
        <v>42444</v>
      </c>
      <c r="C308" s="3">
        <v>11.465188632218934</v>
      </c>
      <c r="D308" s="3">
        <v>11.516510173356499</v>
      </c>
      <c r="E308" s="3">
        <v>11.12646783113877</v>
      </c>
      <c r="F308" s="3">
        <v>11.162392616271973</v>
      </c>
      <c r="G308" s="3">
        <v>410200</v>
      </c>
      <c r="H308" s="3">
        <v>0</v>
      </c>
      <c r="I308" s="3">
        <v>0</v>
      </c>
      <c r="J308" s="3" t="str">
        <v>AB</v>
      </c>
      <c r="K308" s="23">
        <v>42443</v>
      </c>
      <c r="L308" s="22">
        <v>11.377939224243164</v>
      </c>
    </row>
    <row r="309" spans="1:12" x14ac:dyDescent="0.25">
      <c r="A309" s="9">
        <v>302</v>
      </c>
      <c r="B309" s="10">
        <v>42445</v>
      </c>
      <c r="C309" s="3">
        <v>11.07514523807461</v>
      </c>
      <c r="D309" s="3">
        <v>11.639680179213874</v>
      </c>
      <c r="E309" s="3">
        <v>11.044352707867564</v>
      </c>
      <c r="F309" s="3">
        <v>11.562698364257813</v>
      </c>
      <c r="G309" s="3">
        <v>214600</v>
      </c>
      <c r="H309" s="3">
        <v>0</v>
      </c>
      <c r="I309" s="3">
        <v>0</v>
      </c>
      <c r="J309" s="3" t="str">
        <v>AB</v>
      </c>
      <c r="K309" s="23">
        <v>42444</v>
      </c>
      <c r="L309" s="22">
        <v>11.162392616271973</v>
      </c>
    </row>
    <row r="310" spans="1:12" x14ac:dyDescent="0.25">
      <c r="A310" s="9">
        <v>303</v>
      </c>
      <c r="B310" s="10">
        <v>42446</v>
      </c>
      <c r="C310" s="3">
        <v>11.521643654114378</v>
      </c>
      <c r="D310" s="3">
        <v>11.957874353114226</v>
      </c>
      <c r="E310" s="3">
        <v>11.501114643919189</v>
      </c>
      <c r="F310" s="3">
        <v>11.855232238769531</v>
      </c>
      <c r="G310" s="3">
        <v>380500</v>
      </c>
      <c r="H310" s="3">
        <v>0</v>
      </c>
      <c r="I310" s="3">
        <v>0</v>
      </c>
      <c r="J310" s="3" t="str">
        <v>AB</v>
      </c>
      <c r="K310" s="23">
        <v>42445</v>
      </c>
      <c r="L310" s="22">
        <v>11.562698364257813</v>
      </c>
    </row>
    <row r="311" spans="1:12" x14ac:dyDescent="0.25">
      <c r="A311" s="9">
        <v>304</v>
      </c>
      <c r="B311" s="10">
        <v>42447</v>
      </c>
      <c r="C311" s="3">
        <v>11.942475767696481</v>
      </c>
      <c r="D311" s="3">
        <v>12.183685707539748</v>
      </c>
      <c r="E311" s="3">
        <v>11.860361703967842</v>
      </c>
      <c r="F311" s="3">
        <v>11.993797302246094</v>
      </c>
      <c r="G311" s="3">
        <v>207200</v>
      </c>
      <c r="H311" s="3">
        <v>0</v>
      </c>
      <c r="I311" s="3">
        <v>0</v>
      </c>
      <c r="J311" s="3" t="str">
        <v>AB</v>
      </c>
      <c r="K311" s="23">
        <v>42446</v>
      </c>
      <c r="L311" s="22">
        <v>11.855232238769531</v>
      </c>
    </row>
    <row r="312" spans="1:12" x14ac:dyDescent="0.25">
      <c r="A312" s="9">
        <v>305</v>
      </c>
      <c r="B312" s="10">
        <v>42450</v>
      </c>
      <c r="C312" s="3">
        <v>11.973265982093315</v>
      </c>
      <c r="D312" s="3">
        <v>12.055380029946907</v>
      </c>
      <c r="E312" s="3">
        <v>11.732056088882967</v>
      </c>
      <c r="F312" s="3">
        <v>11.737188339233398</v>
      </c>
      <c r="G312" s="3">
        <v>241600</v>
      </c>
      <c r="H312" s="3">
        <v>0</v>
      </c>
      <c r="I312" s="3">
        <v>0</v>
      </c>
      <c r="J312" s="3" t="str">
        <v>AB</v>
      </c>
      <c r="K312" s="23">
        <v>42447</v>
      </c>
      <c r="L312" s="22">
        <v>11.993797302246094</v>
      </c>
    </row>
    <row r="313" spans="1:12" x14ac:dyDescent="0.25">
      <c r="A313" s="9">
        <v>306</v>
      </c>
      <c r="B313" s="10">
        <v>42451</v>
      </c>
      <c r="C313" s="3">
        <v>11.701265205199318</v>
      </c>
      <c r="D313" s="3">
        <v>11.737190965691537</v>
      </c>
      <c r="E313" s="3">
        <v>11.342016410169087</v>
      </c>
      <c r="F313" s="3">
        <v>11.665340423583984</v>
      </c>
      <c r="G313" s="3">
        <v>174900</v>
      </c>
      <c r="H313" s="3">
        <v>0</v>
      </c>
      <c r="I313" s="3">
        <v>0</v>
      </c>
      <c r="J313" s="3" t="str">
        <v>AB</v>
      </c>
      <c r="K313" s="23">
        <v>42450</v>
      </c>
      <c r="L313" s="22">
        <v>11.737188339233398</v>
      </c>
    </row>
    <row r="314" spans="1:12" x14ac:dyDescent="0.25">
      <c r="A314" s="9">
        <v>307</v>
      </c>
      <c r="B314" s="10">
        <v>42452</v>
      </c>
      <c r="C314" s="3">
        <v>11.572960421307275</v>
      </c>
      <c r="D314" s="3">
        <v>11.696132484274743</v>
      </c>
      <c r="E314" s="3">
        <v>11.393336535472974</v>
      </c>
      <c r="F314" s="3">
        <v>11.418996810913086</v>
      </c>
      <c r="G314" s="3">
        <v>287200</v>
      </c>
      <c r="H314" s="3">
        <v>0</v>
      </c>
      <c r="I314" s="3">
        <v>0</v>
      </c>
      <c r="J314" s="3" t="str">
        <v>AB</v>
      </c>
      <c r="K314" s="23">
        <v>42451</v>
      </c>
      <c r="L314" s="22">
        <v>11.665340423583984</v>
      </c>
    </row>
    <row r="315" spans="1:12" x14ac:dyDescent="0.25">
      <c r="A315" s="9">
        <v>308</v>
      </c>
      <c r="B315" s="10">
        <v>42453</v>
      </c>
      <c r="C315" s="3">
        <v>11.336881704676388</v>
      </c>
      <c r="D315" s="3">
        <v>11.434392504294205</v>
      </c>
      <c r="E315" s="3">
        <v>11.27529567889759</v>
      </c>
      <c r="F315" s="3">
        <v>11.42926025390625</v>
      </c>
      <c r="G315" s="3">
        <v>212100</v>
      </c>
      <c r="H315" s="3">
        <v>0</v>
      </c>
      <c r="I315" s="3">
        <v>0</v>
      </c>
      <c r="J315" s="3" t="str">
        <v>AB</v>
      </c>
      <c r="K315" s="23">
        <v>42452</v>
      </c>
      <c r="L315" s="22">
        <v>11.418996810913086</v>
      </c>
    </row>
    <row r="316" spans="1:12" x14ac:dyDescent="0.25">
      <c r="A316" s="9">
        <v>309</v>
      </c>
      <c r="B316" s="10">
        <v>42457</v>
      </c>
      <c r="C316" s="3">
        <v>11.449790788703828</v>
      </c>
      <c r="D316" s="3">
        <v>11.67047270942092</v>
      </c>
      <c r="E316" s="3">
        <v>11.352280946568696</v>
      </c>
      <c r="F316" s="3">
        <v>11.562698364257813</v>
      </c>
      <c r="G316" s="3">
        <v>180500</v>
      </c>
      <c r="H316" s="3">
        <v>0</v>
      </c>
      <c r="I316" s="3">
        <v>0</v>
      </c>
      <c r="J316" s="3" t="str">
        <v>AB</v>
      </c>
      <c r="K316" s="23">
        <v>42453</v>
      </c>
      <c r="L316" s="22">
        <v>11.42926025390625</v>
      </c>
    </row>
    <row r="317" spans="1:12" x14ac:dyDescent="0.25">
      <c r="A317" s="9">
        <v>310</v>
      </c>
      <c r="B317" s="10">
        <v>42458</v>
      </c>
      <c r="C317" s="3">
        <v>11.547303126757679</v>
      </c>
      <c r="D317" s="3">
        <v>11.721795785649956</v>
      </c>
      <c r="E317" s="3">
        <v>11.306093147172245</v>
      </c>
      <c r="F317" s="3">
        <v>11.649946212768555</v>
      </c>
      <c r="G317" s="3">
        <v>205700</v>
      </c>
      <c r="H317" s="3">
        <v>0</v>
      </c>
      <c r="I317" s="3">
        <v>0</v>
      </c>
      <c r="J317" s="3" t="str">
        <v>AB</v>
      </c>
      <c r="K317" s="23">
        <v>42457</v>
      </c>
      <c r="L317" s="22">
        <v>11.562698364257813</v>
      </c>
    </row>
    <row r="318" spans="1:12" x14ac:dyDescent="0.25">
      <c r="A318" s="9">
        <v>311</v>
      </c>
      <c r="B318" s="10">
        <v>42459</v>
      </c>
      <c r="C318" s="3">
        <v>11.726925070220284</v>
      </c>
      <c r="D318" s="3">
        <v>11.793642374029949</v>
      </c>
      <c r="E318" s="3">
        <v>11.362543088081569</v>
      </c>
      <c r="F318" s="3">
        <v>11.511375427246094</v>
      </c>
      <c r="G318" s="3">
        <v>496300</v>
      </c>
      <c r="H318" s="3">
        <v>0</v>
      </c>
      <c r="I318" s="3">
        <v>0</v>
      </c>
      <c r="J318" s="3" t="str">
        <v>AB</v>
      </c>
      <c r="K318" s="23">
        <v>42458</v>
      </c>
      <c r="L318" s="22">
        <v>11.649946212768555</v>
      </c>
    </row>
    <row r="319" spans="1:12" x14ac:dyDescent="0.25">
      <c r="A319" s="9">
        <v>312</v>
      </c>
      <c r="B319" s="10">
        <v>42460</v>
      </c>
      <c r="C319" s="3">
        <v>11.511377989273148</v>
      </c>
      <c r="D319" s="3">
        <v>12.219612128743863</v>
      </c>
      <c r="E319" s="3">
        <v>11.511377989273148</v>
      </c>
      <c r="F319" s="3">
        <v>12.024591445922852</v>
      </c>
      <c r="G319" s="3">
        <v>352200</v>
      </c>
      <c r="H319" s="3">
        <v>0</v>
      </c>
      <c r="I319" s="3">
        <v>0</v>
      </c>
      <c r="J319" s="3" t="str">
        <v>AB</v>
      </c>
      <c r="K319" s="23">
        <v>42459</v>
      </c>
      <c r="L319" s="22">
        <v>11.511375427246094</v>
      </c>
    </row>
    <row r="320" spans="1:12" x14ac:dyDescent="0.25">
      <c r="A320" s="9">
        <v>313</v>
      </c>
      <c r="B320" s="10">
        <v>42461</v>
      </c>
      <c r="C320" s="3">
        <v>11.927079626132056</v>
      </c>
      <c r="D320" s="3">
        <v>12.517274856567383</v>
      </c>
      <c r="E320" s="3">
        <v>11.803908524214179</v>
      </c>
      <c r="F320" s="3">
        <v>12.517274856567383</v>
      </c>
      <c r="G320" s="3">
        <v>324000</v>
      </c>
      <c r="H320" s="3">
        <v>0</v>
      </c>
      <c r="I320" s="3">
        <v>0</v>
      </c>
      <c r="J320" s="3" t="str">
        <v>AB</v>
      </c>
      <c r="K320" s="23">
        <v>42460</v>
      </c>
      <c r="L320" s="22">
        <v>12.024591445922852</v>
      </c>
    </row>
    <row r="321" spans="1:12" x14ac:dyDescent="0.25">
      <c r="A321" s="9">
        <v>314</v>
      </c>
      <c r="B321" s="10">
        <v>42464</v>
      </c>
      <c r="C321" s="3">
        <v>12.522405539265691</v>
      </c>
      <c r="D321" s="3">
        <v>12.578859320983906</v>
      </c>
      <c r="E321" s="3">
        <v>12.322252646085524</v>
      </c>
      <c r="F321" s="3">
        <v>12.383837699890137</v>
      </c>
      <c r="G321" s="3">
        <v>315500</v>
      </c>
      <c r="H321" s="3">
        <v>0</v>
      </c>
      <c r="I321" s="3">
        <v>0</v>
      </c>
      <c r="J321" s="3" t="str">
        <v>AB</v>
      </c>
      <c r="K321" s="23">
        <v>42461</v>
      </c>
      <c r="L321" s="22">
        <v>12.517274856567383</v>
      </c>
    </row>
    <row r="322" spans="1:12" x14ac:dyDescent="0.25">
      <c r="A322" s="9">
        <v>315</v>
      </c>
      <c r="B322" s="10">
        <v>42465</v>
      </c>
      <c r="C322" s="3">
        <v>12.317120976028654</v>
      </c>
      <c r="D322" s="3">
        <v>12.419764042379624</v>
      </c>
      <c r="E322" s="3">
        <v>12.106703570998311</v>
      </c>
      <c r="F322" s="3">
        <v>12.322253227233887</v>
      </c>
      <c r="G322" s="3">
        <v>210900</v>
      </c>
      <c r="H322" s="3">
        <v>0</v>
      </c>
      <c r="I322" s="3">
        <v>0</v>
      </c>
      <c r="J322" s="3" t="str">
        <v>AB</v>
      </c>
      <c r="K322" s="23">
        <v>42464</v>
      </c>
      <c r="L322" s="22">
        <v>12.383837699890137</v>
      </c>
    </row>
    <row r="323" spans="1:12" x14ac:dyDescent="0.25">
      <c r="A323" s="9">
        <v>316</v>
      </c>
      <c r="B323" s="10">
        <v>42466</v>
      </c>
      <c r="C323" s="3">
        <v>12.342781253177984</v>
      </c>
      <c r="D323" s="3">
        <v>12.460821073144647</v>
      </c>
      <c r="E323" s="3">
        <v>12.214477909677685</v>
      </c>
      <c r="F323" s="3">
        <v>12.322253227233887</v>
      </c>
      <c r="G323" s="3">
        <v>241500</v>
      </c>
      <c r="H323" s="3">
        <v>0</v>
      </c>
      <c r="I323" s="3">
        <v>0</v>
      </c>
      <c r="J323" s="3" t="str">
        <v>AB</v>
      </c>
      <c r="K323" s="23">
        <v>42465</v>
      </c>
      <c r="L323" s="22">
        <v>12.322253227233887</v>
      </c>
    </row>
    <row r="324" spans="1:12" x14ac:dyDescent="0.25">
      <c r="A324" s="9">
        <v>317</v>
      </c>
      <c r="B324" s="10">
        <v>42467</v>
      </c>
      <c r="C324" s="3">
        <v>12.250403563035947</v>
      </c>
      <c r="D324" s="3">
        <v>12.281196091126382</v>
      </c>
      <c r="E324" s="3">
        <v>11.865493535836633</v>
      </c>
      <c r="F324" s="3">
        <v>11.988664627075195</v>
      </c>
      <c r="G324" s="3">
        <v>312300</v>
      </c>
      <c r="H324" s="3">
        <v>0</v>
      </c>
      <c r="I324" s="3">
        <v>0</v>
      </c>
      <c r="J324" s="3" t="str">
        <v>AB</v>
      </c>
      <c r="K324" s="23">
        <v>42466</v>
      </c>
      <c r="L324" s="22">
        <v>12.322253227233887</v>
      </c>
    </row>
    <row r="325" spans="1:12" x14ac:dyDescent="0.25">
      <c r="A325" s="9">
        <v>318</v>
      </c>
      <c r="B325" s="10">
        <v>42468</v>
      </c>
      <c r="C325" s="3">
        <v>12.137496925188657</v>
      </c>
      <c r="D325" s="3">
        <v>12.409500384312075</v>
      </c>
      <c r="E325" s="3">
        <v>11.993797797172199</v>
      </c>
      <c r="F325" s="3">
        <v>12.091307640075684</v>
      </c>
      <c r="G325" s="3">
        <v>169100</v>
      </c>
      <c r="H325" s="3">
        <v>0</v>
      </c>
      <c r="I325" s="3">
        <v>0</v>
      </c>
      <c r="J325" s="3" t="str">
        <v>AB</v>
      </c>
      <c r="K325" s="23">
        <v>42467</v>
      </c>
      <c r="L325" s="22">
        <v>11.988664627075195</v>
      </c>
    </row>
    <row r="326" spans="1:12" x14ac:dyDescent="0.25">
      <c r="A326" s="9">
        <v>319</v>
      </c>
      <c r="B326" s="10">
        <v>42471</v>
      </c>
      <c r="C326" s="3">
        <v>12.22474193572998</v>
      </c>
      <c r="D326" s="3">
        <v>12.424894830550558</v>
      </c>
      <c r="E326" s="3">
        <v>12.111835350244975</v>
      </c>
      <c r="F326" s="3">
        <v>12.22474193572998</v>
      </c>
      <c r="G326" s="3">
        <v>175500</v>
      </c>
      <c r="H326" s="3">
        <v>0</v>
      </c>
      <c r="I326" s="3">
        <v>0</v>
      </c>
      <c r="J326" s="3" t="str">
        <v>AB</v>
      </c>
      <c r="K326" s="23">
        <v>42468</v>
      </c>
      <c r="L326" s="22">
        <v>12.091307640075684</v>
      </c>
    </row>
    <row r="327" spans="1:12" x14ac:dyDescent="0.25">
      <c r="A327" s="9">
        <v>320</v>
      </c>
      <c r="B327" s="10">
        <v>42472</v>
      </c>
      <c r="C327" s="3">
        <v>12.260669331241823</v>
      </c>
      <c r="D327" s="3">
        <v>12.291462843846947</v>
      </c>
      <c r="E327" s="3">
        <v>12.070780897895215</v>
      </c>
      <c r="F327" s="3">
        <v>12.152894973754883</v>
      </c>
      <c r="G327" s="3">
        <v>347300</v>
      </c>
      <c r="H327" s="3">
        <v>0</v>
      </c>
      <c r="I327" s="3">
        <v>0</v>
      </c>
      <c r="J327" s="3" t="str">
        <v>AB</v>
      </c>
      <c r="K327" s="23">
        <v>42471</v>
      </c>
      <c r="L327" s="22">
        <v>12.22474193572998</v>
      </c>
    </row>
    <row r="328" spans="1:12" x14ac:dyDescent="0.25">
      <c r="A328" s="9">
        <v>321</v>
      </c>
      <c r="B328" s="10">
        <v>42473</v>
      </c>
      <c r="C328" s="3">
        <v>12.240137838632155</v>
      </c>
      <c r="D328" s="3">
        <v>12.378705669519437</v>
      </c>
      <c r="E328" s="3">
        <v>12.204213062967316</v>
      </c>
      <c r="F328" s="3">
        <v>12.214476585388184</v>
      </c>
      <c r="G328" s="3">
        <v>252300</v>
      </c>
      <c r="H328" s="3">
        <v>0</v>
      </c>
      <c r="I328" s="3">
        <v>0</v>
      </c>
      <c r="J328" s="3" t="str">
        <v>AB</v>
      </c>
      <c r="K328" s="23">
        <v>42472</v>
      </c>
      <c r="L328" s="22">
        <v>12.152894973754883</v>
      </c>
    </row>
    <row r="329" spans="1:12" x14ac:dyDescent="0.25">
      <c r="A329" s="9">
        <v>322</v>
      </c>
      <c r="B329" s="10">
        <v>42474</v>
      </c>
      <c r="C329" s="3">
        <v>12.224742864918998</v>
      </c>
      <c r="D329" s="3">
        <v>12.317121432281407</v>
      </c>
      <c r="E329" s="3">
        <v>12.137496548951932</v>
      </c>
      <c r="F329" s="3">
        <v>12.178553581237793</v>
      </c>
      <c r="G329" s="3">
        <v>218200</v>
      </c>
      <c r="H329" s="3">
        <v>0</v>
      </c>
      <c r="I329" s="3">
        <v>0</v>
      </c>
      <c r="J329" s="3" t="str">
        <v>AB</v>
      </c>
      <c r="K329" s="23">
        <v>42473</v>
      </c>
      <c r="L329" s="22">
        <v>12.214476585388184</v>
      </c>
    </row>
    <row r="330" spans="1:12" x14ac:dyDescent="0.25">
      <c r="A330" s="9">
        <v>323</v>
      </c>
      <c r="B330" s="10">
        <v>42475</v>
      </c>
      <c r="C330" s="3">
        <v>12.188819759583863</v>
      </c>
      <c r="D330" s="3">
        <v>12.276066087544386</v>
      </c>
      <c r="E330" s="3">
        <v>12.101573431623342</v>
      </c>
      <c r="F330" s="3">
        <v>12.152894973754883</v>
      </c>
      <c r="G330" s="3">
        <v>147200</v>
      </c>
      <c r="H330" s="3">
        <v>0</v>
      </c>
      <c r="I330" s="3">
        <v>0</v>
      </c>
      <c r="J330" s="3" t="str">
        <v>AB</v>
      </c>
      <c r="K330" s="23">
        <v>42474</v>
      </c>
      <c r="L330" s="22">
        <v>12.178553581237793</v>
      </c>
    </row>
    <row r="331" spans="1:12" x14ac:dyDescent="0.25">
      <c r="A331" s="9">
        <v>324</v>
      </c>
      <c r="B331" s="10">
        <v>42478</v>
      </c>
      <c r="C331" s="3">
        <v>12.075912987363218</v>
      </c>
      <c r="D331" s="3">
        <v>12.301726203497658</v>
      </c>
      <c r="E331" s="3">
        <v>12.004062437795909</v>
      </c>
      <c r="F331" s="3">
        <v>12.024591445922852</v>
      </c>
      <c r="G331" s="3">
        <v>354400</v>
      </c>
      <c r="H331" s="3">
        <v>0</v>
      </c>
      <c r="I331" s="3">
        <v>0</v>
      </c>
      <c r="J331" s="3" t="str">
        <v>AB</v>
      </c>
      <c r="K331" s="23">
        <v>42475</v>
      </c>
      <c r="L331" s="22">
        <v>12.152894973754883</v>
      </c>
    </row>
    <row r="332" spans="1:12" x14ac:dyDescent="0.25">
      <c r="A332" s="9">
        <v>325</v>
      </c>
      <c r="B332" s="10">
        <v>42479</v>
      </c>
      <c r="C332" s="3">
        <v>12.050250535820826</v>
      </c>
      <c r="D332" s="3">
        <v>12.383839053886518</v>
      </c>
      <c r="E332" s="3">
        <v>12.014325754027475</v>
      </c>
      <c r="F332" s="3">
        <v>12.342782020568848</v>
      </c>
      <c r="G332" s="3">
        <v>249500</v>
      </c>
      <c r="H332" s="3">
        <v>0</v>
      </c>
      <c r="I332" s="3">
        <v>0</v>
      </c>
      <c r="J332" s="3" t="str">
        <v>AB</v>
      </c>
      <c r="K332" s="23">
        <v>42478</v>
      </c>
      <c r="L332" s="22">
        <v>12.024591445922852</v>
      </c>
    </row>
    <row r="333" spans="1:12" x14ac:dyDescent="0.25">
      <c r="A333" s="9">
        <v>326</v>
      </c>
      <c r="B333" s="10">
        <v>42480</v>
      </c>
      <c r="C333" s="3">
        <v>12.342779712006946</v>
      </c>
      <c r="D333" s="3">
        <v>12.635312120917343</v>
      </c>
      <c r="E333" s="3">
        <v>12.286326913551989</v>
      </c>
      <c r="F333" s="3">
        <v>12.532669067382813</v>
      </c>
      <c r="G333" s="3">
        <v>192500</v>
      </c>
      <c r="H333" s="3">
        <v>0</v>
      </c>
      <c r="I333" s="3">
        <v>0</v>
      </c>
      <c r="J333" s="3" t="str">
        <v>AB</v>
      </c>
      <c r="K333" s="23">
        <v>42479</v>
      </c>
      <c r="L333" s="22">
        <v>12.342782020568848</v>
      </c>
    </row>
    <row r="334" spans="1:12" x14ac:dyDescent="0.25">
      <c r="A334" s="9">
        <v>327</v>
      </c>
      <c r="B334" s="10">
        <v>42481</v>
      </c>
      <c r="C334" s="3">
        <v>12.583992084573801</v>
      </c>
      <c r="D334" s="3">
        <v>12.65070939205942</v>
      </c>
      <c r="E334" s="3">
        <v>12.373574680895619</v>
      </c>
      <c r="F334" s="3">
        <v>12.378706932067871</v>
      </c>
      <c r="G334" s="3">
        <v>162400</v>
      </c>
      <c r="H334" s="3">
        <v>0</v>
      </c>
      <c r="I334" s="3">
        <v>0</v>
      </c>
      <c r="J334" s="3" t="str">
        <v>AB</v>
      </c>
      <c r="K334" s="23">
        <v>42480</v>
      </c>
      <c r="L334" s="22">
        <v>12.532669067382813</v>
      </c>
    </row>
    <row r="335" spans="1:12" x14ac:dyDescent="0.25">
      <c r="A335" s="9">
        <v>328</v>
      </c>
      <c r="B335" s="10">
        <v>42482</v>
      </c>
      <c r="C335" s="3">
        <v>12.37357696392232</v>
      </c>
      <c r="D335" s="3">
        <v>12.532672864109314</v>
      </c>
      <c r="E335" s="3">
        <v>12.337652177964966</v>
      </c>
      <c r="F335" s="3">
        <v>12.486483573913574</v>
      </c>
      <c r="G335" s="3">
        <v>162200</v>
      </c>
      <c r="H335" s="3">
        <v>0</v>
      </c>
      <c r="I335" s="3">
        <v>0</v>
      </c>
      <c r="J335" s="3" t="str">
        <v>AB</v>
      </c>
      <c r="K335" s="23">
        <v>42481</v>
      </c>
      <c r="L335" s="22">
        <v>12.378706932067871</v>
      </c>
    </row>
    <row r="336" spans="1:12" x14ac:dyDescent="0.25">
      <c r="A336" s="9">
        <v>329</v>
      </c>
      <c r="B336" s="10">
        <v>42485</v>
      </c>
      <c r="C336" s="3">
        <v>12.409499039062492</v>
      </c>
      <c r="D336" s="3">
        <v>12.537802377383855</v>
      </c>
      <c r="E336" s="3">
        <v>12.394102286068286</v>
      </c>
      <c r="F336" s="3">
        <v>12.522405624389648</v>
      </c>
      <c r="G336" s="3">
        <v>164700</v>
      </c>
      <c r="H336" s="3">
        <v>0</v>
      </c>
      <c r="I336" s="3">
        <v>0</v>
      </c>
      <c r="J336" s="3" t="str">
        <v>AB</v>
      </c>
      <c r="K336" s="23">
        <v>42482</v>
      </c>
      <c r="L336" s="22">
        <v>12.486483573913574</v>
      </c>
    </row>
    <row r="337" spans="1:12" x14ac:dyDescent="0.25">
      <c r="A337" s="9">
        <v>330</v>
      </c>
      <c r="B337" s="10">
        <v>42486</v>
      </c>
      <c r="C337" s="3">
        <v>12.573726780014601</v>
      </c>
      <c r="D337" s="3">
        <v>12.650708584933216</v>
      </c>
      <c r="E337" s="3">
        <v>12.424894442145421</v>
      </c>
      <c r="F337" s="3">
        <v>12.460820198059082</v>
      </c>
      <c r="G337" s="3">
        <v>145500</v>
      </c>
      <c r="H337" s="3">
        <v>0</v>
      </c>
      <c r="I337" s="3">
        <v>0</v>
      </c>
      <c r="J337" s="3" t="str">
        <v>AB</v>
      </c>
      <c r="K337" s="23">
        <v>42485</v>
      </c>
      <c r="L337" s="22">
        <v>12.522405624389648</v>
      </c>
    </row>
    <row r="338" spans="1:12" x14ac:dyDescent="0.25">
      <c r="A338" s="9">
        <v>331</v>
      </c>
      <c r="B338" s="10">
        <v>42487</v>
      </c>
      <c r="C338" s="3">
        <v>12.455690343226872</v>
      </c>
      <c r="D338" s="3">
        <v>12.60452173084893</v>
      </c>
      <c r="E338" s="3">
        <v>12.317122480391994</v>
      </c>
      <c r="F338" s="3">
        <v>12.558332443237305</v>
      </c>
      <c r="G338" s="3">
        <v>177200</v>
      </c>
      <c r="H338" s="3">
        <v>0</v>
      </c>
      <c r="I338" s="3">
        <v>0</v>
      </c>
      <c r="J338" s="3" t="str">
        <v>AB</v>
      </c>
      <c r="K338" s="23">
        <v>42486</v>
      </c>
      <c r="L338" s="22">
        <v>12.460820198059082</v>
      </c>
    </row>
    <row r="339" spans="1:12" x14ac:dyDescent="0.25">
      <c r="A339" s="9">
        <v>332</v>
      </c>
      <c r="B339" s="10">
        <v>42488</v>
      </c>
      <c r="C339" s="3">
        <v>12.409500928549839</v>
      </c>
      <c r="D339" s="3">
        <v>12.430028956790952</v>
      </c>
      <c r="E339" s="3">
        <v>12.009194099640286</v>
      </c>
      <c r="F339" s="3">
        <v>12.086175918579102</v>
      </c>
      <c r="G339" s="3">
        <v>269700</v>
      </c>
      <c r="H339" s="3">
        <v>0</v>
      </c>
      <c r="I339" s="3">
        <v>0</v>
      </c>
      <c r="J339" s="3" t="str">
        <v>AB</v>
      </c>
      <c r="K339" s="23">
        <v>42487</v>
      </c>
      <c r="L339" s="22">
        <v>12.558332443237305</v>
      </c>
    </row>
    <row r="340" spans="1:12" x14ac:dyDescent="0.25">
      <c r="A340" s="9">
        <v>333</v>
      </c>
      <c r="B340" s="10">
        <v>42489</v>
      </c>
      <c r="C340" s="3">
        <v>12.034854701456339</v>
      </c>
      <c r="D340" s="3">
        <v>12.188818330927832</v>
      </c>
      <c r="E340" s="3">
        <v>11.834700808491139</v>
      </c>
      <c r="F340" s="3">
        <v>12.05538272857666</v>
      </c>
      <c r="G340" s="3">
        <v>263700</v>
      </c>
      <c r="H340" s="3">
        <v>0</v>
      </c>
      <c r="I340" s="3">
        <v>0</v>
      </c>
      <c r="J340" s="3" t="str">
        <v>AB</v>
      </c>
      <c r="K340" s="23">
        <v>42488</v>
      </c>
      <c r="L340" s="22">
        <v>12.086175918579102</v>
      </c>
    </row>
    <row r="341" spans="1:12" x14ac:dyDescent="0.25">
      <c r="A341" s="9">
        <v>334</v>
      </c>
      <c r="B341" s="10">
        <v>42492</v>
      </c>
      <c r="C341" s="3">
        <v>12.060517475521692</v>
      </c>
      <c r="D341" s="3">
        <v>12.31199197775881</v>
      </c>
      <c r="E341" s="3">
        <v>11.952743108367393</v>
      </c>
      <c r="F341" s="3">
        <v>12.235010147094727</v>
      </c>
      <c r="G341" s="3">
        <v>285400</v>
      </c>
      <c r="H341" s="3">
        <v>0</v>
      </c>
      <c r="I341" s="3">
        <v>0</v>
      </c>
      <c r="J341" s="3" t="str">
        <v>AB</v>
      </c>
      <c r="K341" s="23">
        <v>42489</v>
      </c>
      <c r="L341" s="22">
        <v>12.05538272857666</v>
      </c>
    </row>
    <row r="342" spans="1:12" x14ac:dyDescent="0.25">
      <c r="A342" s="9">
        <v>335</v>
      </c>
      <c r="B342" s="10">
        <v>42493</v>
      </c>
      <c r="C342" s="3">
        <v>11.819308489569966</v>
      </c>
      <c r="D342" s="3">
        <v>12.142632597570904</v>
      </c>
      <c r="E342" s="3">
        <v>11.675608342193344</v>
      </c>
      <c r="F342" s="3">
        <v>11.752590179443359</v>
      </c>
      <c r="G342" s="3">
        <v>349000</v>
      </c>
      <c r="H342" s="3">
        <v>0</v>
      </c>
      <c r="I342" s="3">
        <v>0</v>
      </c>
      <c r="J342" s="3" t="str">
        <v>AB</v>
      </c>
      <c r="K342" s="23">
        <v>42492</v>
      </c>
      <c r="L342" s="22">
        <v>12.235010147094727</v>
      </c>
    </row>
    <row r="343" spans="1:12" x14ac:dyDescent="0.25">
      <c r="A343" s="9">
        <v>336</v>
      </c>
      <c r="B343" s="10">
        <v>42494</v>
      </c>
      <c r="C343" s="3">
        <v>11.691001984357985</v>
      </c>
      <c r="D343" s="3">
        <v>11.978401223613053</v>
      </c>
      <c r="E343" s="3">
        <v>11.680737481093935</v>
      </c>
      <c r="F343" s="3">
        <v>11.829568862915039</v>
      </c>
      <c r="G343" s="3">
        <v>300300</v>
      </c>
      <c r="H343" s="3">
        <v>0</v>
      </c>
      <c r="I343" s="3">
        <v>0</v>
      </c>
      <c r="J343" s="3" t="str">
        <v>AB</v>
      </c>
      <c r="K343" s="23">
        <v>42493</v>
      </c>
      <c r="L343" s="22">
        <v>11.752590179443359</v>
      </c>
    </row>
    <row r="344" spans="1:12" x14ac:dyDescent="0.25">
      <c r="A344" s="9">
        <v>337</v>
      </c>
      <c r="B344" s="10">
        <v>42495</v>
      </c>
      <c r="C344" s="3">
        <v>11.850458318921397</v>
      </c>
      <c r="D344" s="3">
        <v>11.981027490803235</v>
      </c>
      <c r="E344" s="3">
        <v>11.589319975157723</v>
      </c>
      <c r="F344" s="3">
        <v>11.66243839263916</v>
      </c>
      <c r="G344" s="3">
        <v>150500</v>
      </c>
      <c r="H344" s="3">
        <v>0.4</v>
      </c>
      <c r="I344" s="3">
        <v>0</v>
      </c>
      <c r="J344" s="3" t="str">
        <v>AB</v>
      </c>
      <c r="K344" s="23">
        <v>42494</v>
      </c>
      <c r="L344" s="22">
        <v>11.829568862915039</v>
      </c>
    </row>
    <row r="345" spans="1:12" x14ac:dyDescent="0.25">
      <c r="A345" s="9">
        <v>338</v>
      </c>
      <c r="B345" s="10">
        <v>42496</v>
      </c>
      <c r="C345" s="3">
        <v>11.542312607741533</v>
      </c>
      <c r="D345" s="3">
        <v>11.944465813090089</v>
      </c>
      <c r="E345" s="3">
        <v>11.542312607741533</v>
      </c>
      <c r="F345" s="3">
        <v>11.934020042419434</v>
      </c>
      <c r="G345" s="3">
        <v>153500</v>
      </c>
      <c r="H345" s="3">
        <v>0</v>
      </c>
      <c r="I345" s="3">
        <v>0</v>
      </c>
      <c r="J345" s="3" t="str">
        <v>AB</v>
      </c>
      <c r="K345" s="23">
        <v>42495</v>
      </c>
      <c r="L345" s="22">
        <v>11.66243839263916</v>
      </c>
    </row>
    <row r="346" spans="1:12" x14ac:dyDescent="0.25">
      <c r="A346" s="9">
        <v>339</v>
      </c>
      <c r="B346" s="10">
        <v>42499</v>
      </c>
      <c r="C346" s="3">
        <v>11.93924892416547</v>
      </c>
      <c r="D346" s="3">
        <v>12.038480806884712</v>
      </c>
      <c r="E346" s="3">
        <v>11.772120494149888</v>
      </c>
      <c r="F346" s="3">
        <v>11.860906600952148</v>
      </c>
      <c r="G346" s="3">
        <v>151900</v>
      </c>
      <c r="H346" s="3">
        <v>0</v>
      </c>
      <c r="I346" s="3">
        <v>0</v>
      </c>
      <c r="J346" s="3" t="str">
        <v>AB</v>
      </c>
      <c r="K346" s="23">
        <v>42496</v>
      </c>
      <c r="L346" s="22">
        <v>11.934020042419434</v>
      </c>
    </row>
    <row r="347" spans="1:12" x14ac:dyDescent="0.25">
      <c r="A347" s="9">
        <v>340</v>
      </c>
      <c r="B347" s="10">
        <v>42500</v>
      </c>
      <c r="C347" s="3">
        <v>11.934025162232693</v>
      </c>
      <c r="D347" s="3">
        <v>12.383182535965057</v>
      </c>
      <c r="E347" s="3">
        <v>11.860905732332677</v>
      </c>
      <c r="F347" s="3">
        <v>12.116822242736816</v>
      </c>
      <c r="G347" s="3">
        <v>309300</v>
      </c>
      <c r="H347" s="3">
        <v>0</v>
      </c>
      <c r="I347" s="3">
        <v>0</v>
      </c>
      <c r="J347" s="3" t="str">
        <v>AB</v>
      </c>
      <c r="K347" s="23">
        <v>42499</v>
      </c>
      <c r="L347" s="22">
        <v>11.860906600952148</v>
      </c>
    </row>
    <row r="348" spans="1:12" x14ac:dyDescent="0.25">
      <c r="A348" s="9">
        <v>341</v>
      </c>
      <c r="B348" s="10">
        <v>42501</v>
      </c>
      <c r="C348" s="3">
        <v>12.048923704214996</v>
      </c>
      <c r="D348" s="3">
        <v>12.268279965245444</v>
      </c>
      <c r="E348" s="3">
        <v>11.949690849039278</v>
      </c>
      <c r="F348" s="3">
        <v>11.975805282592773</v>
      </c>
      <c r="G348" s="3">
        <v>255900</v>
      </c>
      <c r="H348" s="3">
        <v>0</v>
      </c>
      <c r="I348" s="3">
        <v>0</v>
      </c>
      <c r="J348" s="3" t="str">
        <v>AB</v>
      </c>
      <c r="K348" s="23">
        <v>42500</v>
      </c>
      <c r="L348" s="22">
        <v>12.116822242736816</v>
      </c>
    </row>
    <row r="349" spans="1:12" x14ac:dyDescent="0.25">
      <c r="A349" s="9">
        <v>342</v>
      </c>
      <c r="B349" s="10">
        <v>42502</v>
      </c>
      <c r="C349" s="3">
        <v>12.012364881937701</v>
      </c>
      <c r="D349" s="3">
        <v>12.158602726075916</v>
      </c>
      <c r="E349" s="3">
        <v>11.93402357107087</v>
      </c>
      <c r="F349" s="3">
        <v>11.98102855682373</v>
      </c>
      <c r="G349" s="3">
        <v>153700</v>
      </c>
      <c r="H349" s="3">
        <v>0</v>
      </c>
      <c r="I349" s="3">
        <v>0</v>
      </c>
      <c r="J349" s="3" t="str">
        <v>AB</v>
      </c>
      <c r="K349" s="23">
        <v>42501</v>
      </c>
      <c r="L349" s="22">
        <v>11.975805282592773</v>
      </c>
    </row>
    <row r="350" spans="1:12" x14ac:dyDescent="0.25">
      <c r="A350" s="9">
        <v>343</v>
      </c>
      <c r="B350" s="10">
        <v>42503</v>
      </c>
      <c r="C350" s="3">
        <v>11.970580057675701</v>
      </c>
      <c r="D350" s="3">
        <v>12.122039758046309</v>
      </c>
      <c r="E350" s="3">
        <v>11.636323342791389</v>
      </c>
      <c r="F350" s="3">
        <v>11.704218864440918</v>
      </c>
      <c r="G350" s="3">
        <v>231700</v>
      </c>
      <c r="H350" s="3">
        <v>0</v>
      </c>
      <c r="I350" s="3">
        <v>0</v>
      </c>
      <c r="J350" s="3" t="str">
        <v>AB</v>
      </c>
      <c r="K350" s="23">
        <v>42502</v>
      </c>
      <c r="L350" s="22">
        <v>11.98102855682373</v>
      </c>
    </row>
    <row r="351" spans="1:12" x14ac:dyDescent="0.25">
      <c r="A351" s="9">
        <v>344</v>
      </c>
      <c r="B351" s="10">
        <v>42506</v>
      </c>
      <c r="C351" s="3">
        <v>11.657219253415777</v>
      </c>
      <c r="D351" s="3">
        <v>11.902690013004538</v>
      </c>
      <c r="E351" s="3">
        <v>11.63632869720459</v>
      </c>
      <c r="F351" s="3">
        <v>11.63632869720459</v>
      </c>
      <c r="G351" s="3">
        <v>253400</v>
      </c>
      <c r="H351" s="3">
        <v>0</v>
      </c>
      <c r="I351" s="3">
        <v>0</v>
      </c>
      <c r="J351" s="3" t="str">
        <v>AB</v>
      </c>
      <c r="K351" s="23">
        <v>42503</v>
      </c>
      <c r="L351" s="22">
        <v>11.704218864440918</v>
      </c>
    </row>
    <row r="352" spans="1:12" x14ac:dyDescent="0.25">
      <c r="A352" s="9">
        <v>345</v>
      </c>
      <c r="B352" s="10">
        <v>42507</v>
      </c>
      <c r="C352" s="3">
        <v>11.594543069845374</v>
      </c>
      <c r="D352" s="3">
        <v>11.913131177568522</v>
      </c>
      <c r="E352" s="3">
        <v>11.584097296827895</v>
      </c>
      <c r="F352" s="3">
        <v>11.678107261657715</v>
      </c>
      <c r="G352" s="3">
        <v>203300</v>
      </c>
      <c r="H352" s="3">
        <v>0</v>
      </c>
      <c r="I352" s="3">
        <v>0</v>
      </c>
      <c r="J352" s="3" t="str">
        <v>AB</v>
      </c>
      <c r="K352" s="23">
        <v>42506</v>
      </c>
      <c r="L352" s="22">
        <v>11.63632869720459</v>
      </c>
    </row>
    <row r="353" spans="1:12" x14ac:dyDescent="0.25">
      <c r="A353" s="9">
        <v>346</v>
      </c>
      <c r="B353" s="10">
        <v>42508</v>
      </c>
      <c r="C353" s="3">
        <v>11.62065944322484</v>
      </c>
      <c r="D353" s="3">
        <v>12.054149171372734</v>
      </c>
      <c r="E353" s="3">
        <v>11.563208673272372</v>
      </c>
      <c r="F353" s="3">
        <v>11.90791130065918</v>
      </c>
      <c r="G353" s="3">
        <v>264200</v>
      </c>
      <c r="H353" s="3">
        <v>0</v>
      </c>
      <c r="I353" s="3">
        <v>0</v>
      </c>
      <c r="J353" s="3" t="str">
        <v>AB</v>
      </c>
      <c r="K353" s="23">
        <v>42507</v>
      </c>
      <c r="L353" s="22">
        <v>11.678107261657715</v>
      </c>
    </row>
    <row r="354" spans="1:12" x14ac:dyDescent="0.25">
      <c r="A354" s="9">
        <v>347</v>
      </c>
      <c r="B354" s="10">
        <v>42509</v>
      </c>
      <c r="C354" s="3">
        <v>11.913135560695006</v>
      </c>
      <c r="D354" s="3">
        <v>11.95491767197381</v>
      </c>
      <c r="E354" s="3">
        <v>11.683334446743633</v>
      </c>
      <c r="F354" s="3">
        <v>11.824348449707031</v>
      </c>
      <c r="G354" s="3">
        <v>233100</v>
      </c>
      <c r="H354" s="3">
        <v>0</v>
      </c>
      <c r="I354" s="3">
        <v>0</v>
      </c>
      <c r="J354" s="3" t="str">
        <v>AB</v>
      </c>
      <c r="K354" s="23">
        <v>42508</v>
      </c>
      <c r="L354" s="22">
        <v>11.90791130065918</v>
      </c>
    </row>
    <row r="355" spans="1:12" x14ac:dyDescent="0.25">
      <c r="A355" s="9">
        <v>348</v>
      </c>
      <c r="B355" s="10">
        <v>42510</v>
      </c>
      <c r="C355" s="3">
        <v>11.918358617578749</v>
      </c>
      <c r="D355" s="3">
        <v>12.252615512533557</v>
      </c>
      <c r="E355" s="3">
        <v>11.881799394213584</v>
      </c>
      <c r="F355" s="3">
        <v>12.132492065429688</v>
      </c>
      <c r="G355" s="3">
        <v>368200</v>
      </c>
      <c r="H355" s="3">
        <v>0</v>
      </c>
      <c r="I355" s="3">
        <v>0</v>
      </c>
      <c r="J355" s="3" t="str">
        <v>AB</v>
      </c>
      <c r="K355" s="23">
        <v>42509</v>
      </c>
      <c r="L355" s="22">
        <v>11.824348449707031</v>
      </c>
    </row>
    <row r="356" spans="1:12" x14ac:dyDescent="0.25">
      <c r="A356" s="9">
        <v>349</v>
      </c>
      <c r="B356" s="10">
        <v>42513</v>
      </c>
      <c r="C356" s="3">
        <v>12.116820054710598</v>
      </c>
      <c r="D356" s="3">
        <v>12.252611122509919</v>
      </c>
      <c r="E356" s="3">
        <v>11.965359330848926</v>
      </c>
      <c r="F356" s="3">
        <v>11.986250877380371</v>
      </c>
      <c r="G356" s="3">
        <v>154500</v>
      </c>
      <c r="H356" s="3">
        <v>0</v>
      </c>
      <c r="I356" s="3">
        <v>0</v>
      </c>
      <c r="J356" s="3" t="str">
        <v>AB</v>
      </c>
      <c r="K356" s="23">
        <v>42510</v>
      </c>
      <c r="L356" s="22">
        <v>12.132492065429688</v>
      </c>
    </row>
    <row r="357" spans="1:12" x14ac:dyDescent="0.25">
      <c r="A357" s="9">
        <v>350</v>
      </c>
      <c r="B357" s="10">
        <v>42514</v>
      </c>
      <c r="C357" s="3">
        <v>12.080264176551969</v>
      </c>
      <c r="D357" s="3">
        <v>12.247393620193497</v>
      </c>
      <c r="E357" s="3">
        <v>12.028037283838373</v>
      </c>
      <c r="F357" s="3">
        <v>12.132492065429688</v>
      </c>
      <c r="G357" s="3">
        <v>406600</v>
      </c>
      <c r="H357" s="3">
        <v>0</v>
      </c>
      <c r="I357" s="3">
        <v>0</v>
      </c>
      <c r="J357" s="3" t="str">
        <v>AB</v>
      </c>
      <c r="K357" s="23">
        <v>42513</v>
      </c>
      <c r="L357" s="22">
        <v>11.986250877380371</v>
      </c>
    </row>
    <row r="358" spans="1:12" x14ac:dyDescent="0.25">
      <c r="A358" s="9">
        <v>351</v>
      </c>
      <c r="B358" s="10">
        <v>42515</v>
      </c>
      <c r="C358" s="3">
        <v>12.221278372145063</v>
      </c>
      <c r="D358" s="3">
        <v>12.362293363971105</v>
      </c>
      <c r="E358" s="3">
        <v>12.158605706553972</v>
      </c>
      <c r="F358" s="3">
        <v>12.210832595825195</v>
      </c>
      <c r="G358" s="3">
        <v>175500</v>
      </c>
      <c r="H358" s="3">
        <v>0</v>
      </c>
      <c r="I358" s="3">
        <v>0</v>
      </c>
      <c r="J358" s="3" t="str">
        <v>AB</v>
      </c>
      <c r="K358" s="23">
        <v>42514</v>
      </c>
      <c r="L358" s="22">
        <v>12.132492065429688</v>
      </c>
    </row>
    <row r="359" spans="1:12" x14ac:dyDescent="0.25">
      <c r="A359" s="9">
        <v>352</v>
      </c>
      <c r="B359" s="10">
        <v>42516</v>
      </c>
      <c r="C359" s="3">
        <v>12.169046611505939</v>
      </c>
      <c r="D359" s="3">
        <v>12.27872523560954</v>
      </c>
      <c r="E359" s="3">
        <v>12.085482419885929</v>
      </c>
      <c r="F359" s="3">
        <v>12.184715270996094</v>
      </c>
      <c r="G359" s="3">
        <v>163100</v>
      </c>
      <c r="H359" s="3">
        <v>0</v>
      </c>
      <c r="I359" s="3">
        <v>0</v>
      </c>
      <c r="J359" s="3" t="str">
        <v>AB</v>
      </c>
      <c r="K359" s="23">
        <v>42515</v>
      </c>
      <c r="L359" s="22">
        <v>12.210832595825195</v>
      </c>
    </row>
    <row r="360" spans="1:12" x14ac:dyDescent="0.25">
      <c r="A360" s="9">
        <v>353</v>
      </c>
      <c r="B360" s="10">
        <v>42517</v>
      </c>
      <c r="C360" s="3">
        <v>12.18471973952972</v>
      </c>
      <c r="D360" s="3">
        <v>12.26306107338333</v>
      </c>
      <c r="E360" s="3">
        <v>12.069819182955365</v>
      </c>
      <c r="F360" s="3">
        <v>12.231724739074707</v>
      </c>
      <c r="G360" s="3">
        <v>183500</v>
      </c>
      <c r="H360" s="3">
        <v>0</v>
      </c>
      <c r="I360" s="3">
        <v>0</v>
      </c>
      <c r="J360" s="3" t="str">
        <v>AB</v>
      </c>
      <c r="K360" s="23">
        <v>42516</v>
      </c>
      <c r="L360" s="22">
        <v>12.184715270996094</v>
      </c>
    </row>
    <row r="361" spans="1:12" x14ac:dyDescent="0.25">
      <c r="A361" s="9">
        <v>354</v>
      </c>
      <c r="B361" s="10">
        <v>42521</v>
      </c>
      <c r="C361" s="3">
        <v>12.283950418906377</v>
      </c>
      <c r="D361" s="3">
        <v>12.367514626150863</v>
      </c>
      <c r="E361" s="3">
        <v>12.200386211661893</v>
      </c>
      <c r="F361" s="3">
        <v>12.278727531433105</v>
      </c>
      <c r="G361" s="3">
        <v>158600</v>
      </c>
      <c r="H361" s="3">
        <v>0</v>
      </c>
      <c r="I361" s="3">
        <v>0</v>
      </c>
      <c r="J361" s="3" t="str">
        <v>AB</v>
      </c>
      <c r="K361" s="23">
        <v>42517</v>
      </c>
      <c r="L361" s="22">
        <v>12.231724739074707</v>
      </c>
    </row>
    <row r="362" spans="1:12" x14ac:dyDescent="0.25">
      <c r="A362" s="9">
        <v>355</v>
      </c>
      <c r="B362" s="10">
        <v>42522</v>
      </c>
      <c r="C362" s="3">
        <v>12.184715479477937</v>
      </c>
      <c r="D362" s="3">
        <v>12.367512525335789</v>
      </c>
      <c r="E362" s="3">
        <v>12.142933382953036</v>
      </c>
      <c r="F362" s="3">
        <v>12.28917121887207</v>
      </c>
      <c r="G362" s="3">
        <v>152200</v>
      </c>
      <c r="H362" s="3">
        <v>0</v>
      </c>
      <c r="I362" s="3">
        <v>0</v>
      </c>
      <c r="J362" s="3" t="str">
        <v>AB</v>
      </c>
      <c r="K362" s="23">
        <v>42521</v>
      </c>
      <c r="L362" s="22">
        <v>12.278727531433105</v>
      </c>
    </row>
    <row r="363" spans="1:12" x14ac:dyDescent="0.25">
      <c r="A363" s="9">
        <v>356</v>
      </c>
      <c r="B363" s="10">
        <v>42523</v>
      </c>
      <c r="C363" s="3">
        <v>12.299617587597611</v>
      </c>
      <c r="D363" s="3">
        <v>12.404073340509562</v>
      </c>
      <c r="E363" s="3">
        <v>12.195162830849547</v>
      </c>
      <c r="F363" s="3">
        <v>12.310063362121582</v>
      </c>
      <c r="G363" s="3">
        <v>127700</v>
      </c>
      <c r="H363" s="3">
        <v>0</v>
      </c>
      <c r="I363" s="3">
        <v>0</v>
      </c>
      <c r="J363" s="3" t="str">
        <v>AB</v>
      </c>
      <c r="K363" s="23">
        <v>42522</v>
      </c>
      <c r="L363" s="22">
        <v>12.28917121887207</v>
      </c>
    </row>
    <row r="364" spans="1:12" x14ac:dyDescent="0.25">
      <c r="A364" s="9">
        <v>357</v>
      </c>
      <c r="B364" s="10">
        <v>42524</v>
      </c>
      <c r="C364" s="3">
        <v>12.189938898253532</v>
      </c>
      <c r="D364" s="3">
        <v>12.273503094951588</v>
      </c>
      <c r="E364" s="3">
        <v>12.05414682957824</v>
      </c>
      <c r="F364" s="3">
        <v>12.257834434509277</v>
      </c>
      <c r="G364" s="3">
        <v>151200</v>
      </c>
      <c r="H364" s="3">
        <v>0</v>
      </c>
      <c r="I364" s="3">
        <v>0</v>
      </c>
      <c r="J364" s="3" t="str">
        <v>AB</v>
      </c>
      <c r="K364" s="23">
        <v>42523</v>
      </c>
      <c r="L364" s="22">
        <v>12.310063362121582</v>
      </c>
    </row>
    <row r="365" spans="1:12" x14ac:dyDescent="0.25">
      <c r="A365" s="9">
        <v>358</v>
      </c>
      <c r="B365" s="10">
        <v>42527</v>
      </c>
      <c r="C365" s="3">
        <v>12.278725133694119</v>
      </c>
      <c r="D365" s="3">
        <v>12.518971933566622</v>
      </c>
      <c r="E365" s="3">
        <v>12.278725133694119</v>
      </c>
      <c r="F365" s="3">
        <v>12.398848533630371</v>
      </c>
      <c r="G365" s="3">
        <v>183900</v>
      </c>
      <c r="H365" s="3">
        <v>0</v>
      </c>
      <c r="I365" s="3">
        <v>0</v>
      </c>
      <c r="J365" s="3" t="str">
        <v>AB</v>
      </c>
      <c r="K365" s="23">
        <v>42524</v>
      </c>
      <c r="L365" s="22">
        <v>12.257834434509277</v>
      </c>
    </row>
    <row r="366" spans="1:12" x14ac:dyDescent="0.25">
      <c r="A366" s="9">
        <v>359</v>
      </c>
      <c r="B366" s="10">
        <v>42528</v>
      </c>
      <c r="C366" s="3">
        <v>12.39362624616439</v>
      </c>
      <c r="D366" s="3">
        <v>12.597314843035113</v>
      </c>
      <c r="E366" s="3">
        <v>12.304839164493504</v>
      </c>
      <c r="F366" s="3">
        <v>12.330953598022461</v>
      </c>
      <c r="G366" s="3">
        <v>234000</v>
      </c>
      <c r="H366" s="3">
        <v>0</v>
      </c>
      <c r="I366" s="3">
        <v>0</v>
      </c>
      <c r="J366" s="3" t="str">
        <v>AB</v>
      </c>
      <c r="K366" s="23">
        <v>42527</v>
      </c>
      <c r="L366" s="22">
        <v>12.398848533630371</v>
      </c>
    </row>
    <row r="367" spans="1:12" x14ac:dyDescent="0.25">
      <c r="A367" s="9">
        <v>360</v>
      </c>
      <c r="B367" s="10">
        <v>42529</v>
      </c>
      <c r="C367" s="3">
        <v>12.351845066161976</v>
      </c>
      <c r="D367" s="3">
        <v>12.451077928615339</v>
      </c>
      <c r="E367" s="3">
        <v>12.294395300458538</v>
      </c>
      <c r="F367" s="3">
        <v>12.393627166748047</v>
      </c>
      <c r="G367" s="3">
        <v>188700</v>
      </c>
      <c r="H367" s="3">
        <v>0</v>
      </c>
      <c r="I367" s="3">
        <v>0</v>
      </c>
      <c r="J367" s="3" t="str">
        <v>AB</v>
      </c>
      <c r="K367" s="23">
        <v>42528</v>
      </c>
      <c r="L367" s="22">
        <v>12.330953598022461</v>
      </c>
    </row>
    <row r="368" spans="1:12" x14ac:dyDescent="0.25">
      <c r="A368" s="9">
        <v>361</v>
      </c>
      <c r="B368" s="10">
        <v>42530</v>
      </c>
      <c r="C368" s="3">
        <v>12.15338236753127</v>
      </c>
      <c r="D368" s="3">
        <v>12.471970564155878</v>
      </c>
      <c r="E368" s="3">
        <v>12.142936591598916</v>
      </c>
      <c r="F368" s="3">
        <v>12.294397354125977</v>
      </c>
      <c r="G368" s="3">
        <v>286600</v>
      </c>
      <c r="H368" s="3">
        <v>0</v>
      </c>
      <c r="I368" s="3">
        <v>0</v>
      </c>
      <c r="J368" s="3" t="str">
        <v>AB</v>
      </c>
      <c r="K368" s="23">
        <v>42529</v>
      </c>
      <c r="L368" s="22">
        <v>12.393627166748047</v>
      </c>
    </row>
    <row r="369" spans="1:12" x14ac:dyDescent="0.25">
      <c r="A369" s="9">
        <v>362</v>
      </c>
      <c r="B369" s="10">
        <v>42531</v>
      </c>
      <c r="C369" s="3">
        <v>12.21083219242297</v>
      </c>
      <c r="D369" s="3">
        <v>12.231723744372523</v>
      </c>
      <c r="E369" s="3">
        <v>11.975808209974643</v>
      </c>
      <c r="F369" s="3">
        <v>12.001921653747559</v>
      </c>
      <c r="G369" s="3">
        <v>171000</v>
      </c>
      <c r="H369" s="3">
        <v>0</v>
      </c>
      <c r="I369" s="3">
        <v>0</v>
      </c>
      <c r="J369" s="3" t="str">
        <v>AB</v>
      </c>
      <c r="K369" s="23">
        <v>42530</v>
      </c>
      <c r="L369" s="22">
        <v>12.294397354125977</v>
      </c>
    </row>
    <row r="370" spans="1:12" x14ac:dyDescent="0.25">
      <c r="A370" s="9">
        <v>363</v>
      </c>
      <c r="B370" s="10">
        <v>42534</v>
      </c>
      <c r="C370" s="3">
        <v>12.043703079223633</v>
      </c>
      <c r="D370" s="3">
        <v>12.205609609168818</v>
      </c>
      <c r="E370" s="3">
        <v>11.99147519847241</v>
      </c>
      <c r="F370" s="3">
        <v>12.043703079223633</v>
      </c>
      <c r="G370" s="3">
        <v>185800</v>
      </c>
      <c r="H370" s="3">
        <v>0</v>
      </c>
      <c r="I370" s="3">
        <v>0</v>
      </c>
      <c r="J370" s="3" t="str">
        <v>AB</v>
      </c>
      <c r="K370" s="23">
        <v>42531</v>
      </c>
      <c r="L370" s="22">
        <v>12.001921653747559</v>
      </c>
    </row>
    <row r="371" spans="1:12" x14ac:dyDescent="0.25">
      <c r="A371" s="9">
        <v>364</v>
      </c>
      <c r="B371" s="10">
        <v>42535</v>
      </c>
      <c r="C371" s="3">
        <v>11.960136310376853</v>
      </c>
      <c r="D371" s="3">
        <v>12.075037822686467</v>
      </c>
      <c r="E371" s="3">
        <v>11.636325312073188</v>
      </c>
      <c r="F371" s="3">
        <v>11.730334281921387</v>
      </c>
      <c r="G371" s="3">
        <v>189900</v>
      </c>
      <c r="H371" s="3">
        <v>0</v>
      </c>
      <c r="I371" s="3">
        <v>0</v>
      </c>
      <c r="J371" s="3" t="str">
        <v>AB</v>
      </c>
      <c r="K371" s="23">
        <v>42534</v>
      </c>
      <c r="L371" s="22">
        <v>12.043703079223633</v>
      </c>
    </row>
    <row r="372" spans="1:12" x14ac:dyDescent="0.25">
      <c r="A372" s="9">
        <v>365</v>
      </c>
      <c r="B372" s="10">
        <v>42536</v>
      </c>
      <c r="C372" s="3">
        <v>11.730336781769681</v>
      </c>
      <c r="D372" s="3">
        <v>12.012366739908854</v>
      </c>
      <c r="E372" s="3">
        <v>11.683332784910453</v>
      </c>
      <c r="F372" s="3">
        <v>11.751228332519531</v>
      </c>
      <c r="G372" s="3">
        <v>194700</v>
      </c>
      <c r="H372" s="3">
        <v>0</v>
      </c>
      <c r="I372" s="3">
        <v>0</v>
      </c>
      <c r="J372" s="3" t="str">
        <v>AB</v>
      </c>
      <c r="K372" s="23">
        <v>42535</v>
      </c>
      <c r="L372" s="22">
        <v>11.730334281921387</v>
      </c>
    </row>
    <row r="373" spans="1:12" x14ac:dyDescent="0.25">
      <c r="A373" s="9">
        <v>366</v>
      </c>
      <c r="B373" s="10">
        <v>42537</v>
      </c>
      <c r="C373" s="3">
        <v>11.672887597040724</v>
      </c>
      <c r="D373" s="3">
        <v>11.845238914745689</v>
      </c>
      <c r="E373" s="3">
        <v>11.594546270113742</v>
      </c>
      <c r="F373" s="3">
        <v>11.772120475769043</v>
      </c>
      <c r="G373" s="3">
        <v>124900</v>
      </c>
      <c r="H373" s="3">
        <v>0</v>
      </c>
      <c r="I373" s="3">
        <v>0</v>
      </c>
      <c r="J373" s="3" t="str">
        <v>AB</v>
      </c>
      <c r="K373" s="23">
        <v>42536</v>
      </c>
      <c r="L373" s="22">
        <v>11.751228332519531</v>
      </c>
    </row>
    <row r="374" spans="1:12" x14ac:dyDescent="0.25">
      <c r="A374" s="9">
        <v>367</v>
      </c>
      <c r="B374" s="10">
        <v>42538</v>
      </c>
      <c r="C374" s="3">
        <v>11.766897671299233</v>
      </c>
      <c r="D374" s="3">
        <v>12.080262981230335</v>
      </c>
      <c r="E374" s="3">
        <v>11.751229007337068</v>
      </c>
      <c r="F374" s="3">
        <v>12.001921653747559</v>
      </c>
      <c r="G374" s="3">
        <v>245300</v>
      </c>
      <c r="H374" s="3">
        <v>0</v>
      </c>
      <c r="I374" s="3">
        <v>0</v>
      </c>
      <c r="J374" s="3" t="str">
        <v>AB</v>
      </c>
      <c r="K374" s="23">
        <v>42537</v>
      </c>
      <c r="L374" s="22">
        <v>11.772120475769043</v>
      </c>
    </row>
    <row r="375" spans="1:12" x14ac:dyDescent="0.25">
      <c r="A375" s="9">
        <v>368</v>
      </c>
      <c r="B375" s="10">
        <v>42541</v>
      </c>
      <c r="C375" s="3">
        <v>12.132488826971869</v>
      </c>
      <c r="D375" s="3">
        <v>12.367513766105645</v>
      </c>
      <c r="E375" s="3">
        <v>12.03325696037215</v>
      </c>
      <c r="F375" s="3">
        <v>12.038478851318359</v>
      </c>
      <c r="G375" s="3">
        <v>195100</v>
      </c>
      <c r="H375" s="3">
        <v>0</v>
      </c>
      <c r="I375" s="3">
        <v>0</v>
      </c>
      <c r="J375" s="3" t="str">
        <v>AB</v>
      </c>
      <c r="K375" s="23">
        <v>42538</v>
      </c>
      <c r="L375" s="22">
        <v>12.001921653747559</v>
      </c>
    </row>
    <row r="376" spans="1:12" x14ac:dyDescent="0.25">
      <c r="A376" s="9">
        <v>369</v>
      </c>
      <c r="B376" s="10">
        <v>42542</v>
      </c>
      <c r="C376" s="3">
        <v>12.043705859114898</v>
      </c>
      <c r="D376" s="3">
        <v>12.148161644727507</v>
      </c>
      <c r="E376" s="3">
        <v>11.923582402975338</v>
      </c>
      <c r="F376" s="3">
        <v>11.991477966308594</v>
      </c>
      <c r="G376" s="3">
        <v>163100</v>
      </c>
      <c r="H376" s="3">
        <v>0</v>
      </c>
      <c r="I376" s="3">
        <v>0</v>
      </c>
      <c r="J376" s="3" t="str">
        <v>AB</v>
      </c>
      <c r="K376" s="23">
        <v>42541</v>
      </c>
      <c r="L376" s="22">
        <v>12.038478851318359</v>
      </c>
    </row>
    <row r="377" spans="1:12" x14ac:dyDescent="0.25">
      <c r="A377" s="9">
        <v>370</v>
      </c>
      <c r="B377" s="10">
        <v>42543</v>
      </c>
      <c r="C377" s="3">
        <v>12.028037283838373</v>
      </c>
      <c r="D377" s="3">
        <v>12.17427417729904</v>
      </c>
      <c r="E377" s="3">
        <v>11.991477064309082</v>
      </c>
      <c r="F377" s="3">
        <v>12.132492065429688</v>
      </c>
      <c r="G377" s="3">
        <v>142200</v>
      </c>
      <c r="H377" s="3">
        <v>0</v>
      </c>
      <c r="I377" s="3">
        <v>0</v>
      </c>
      <c r="J377" s="3" t="str">
        <v>AB</v>
      </c>
      <c r="K377" s="23">
        <v>42542</v>
      </c>
      <c r="L377" s="22">
        <v>11.991477966308594</v>
      </c>
    </row>
    <row r="378" spans="1:12" x14ac:dyDescent="0.25">
      <c r="A378" s="9">
        <v>371</v>
      </c>
      <c r="B378" s="10">
        <v>42544</v>
      </c>
      <c r="C378" s="3">
        <v>12.247391877227047</v>
      </c>
      <c r="D378" s="3">
        <v>12.325733201312554</v>
      </c>
      <c r="E378" s="3">
        <v>12.069817678012441</v>
      </c>
      <c r="F378" s="3">
        <v>12.122044563293457</v>
      </c>
      <c r="G378" s="3">
        <v>207500</v>
      </c>
      <c r="H378" s="3">
        <v>0</v>
      </c>
      <c r="I378" s="3">
        <v>0</v>
      </c>
      <c r="J378" s="3" t="str">
        <v>AB</v>
      </c>
      <c r="K378" s="23">
        <v>42543</v>
      </c>
      <c r="L378" s="22">
        <v>12.132492065429688</v>
      </c>
    </row>
    <row r="379" spans="1:12" x14ac:dyDescent="0.25">
      <c r="A379" s="9">
        <v>372</v>
      </c>
      <c r="B379" s="10">
        <v>42545</v>
      </c>
      <c r="C379" s="3">
        <v>11.693778218633074</v>
      </c>
      <c r="D379" s="3">
        <v>11.897466865188889</v>
      </c>
      <c r="E379" s="3">
        <v>11.542318451875188</v>
      </c>
      <c r="F379" s="3">
        <v>11.798233985900879</v>
      </c>
      <c r="G379" s="3">
        <v>300100</v>
      </c>
      <c r="H379" s="3">
        <v>0</v>
      </c>
      <c r="I379" s="3">
        <v>0</v>
      </c>
      <c r="J379" s="3" t="str">
        <v>AB</v>
      </c>
      <c r="K379" s="23">
        <v>42544</v>
      </c>
      <c r="L379" s="22">
        <v>12.122044563293457</v>
      </c>
    </row>
    <row r="380" spans="1:12" x14ac:dyDescent="0.25">
      <c r="A380" s="9">
        <v>373</v>
      </c>
      <c r="B380" s="10">
        <v>42548</v>
      </c>
      <c r="C380" s="3">
        <v>11.620656579570014</v>
      </c>
      <c r="D380" s="3">
        <v>11.667661562281598</v>
      </c>
      <c r="E380" s="3">
        <v>11.223726167874263</v>
      </c>
      <c r="F380" s="3">
        <v>11.260285377502441</v>
      </c>
      <c r="G380" s="3">
        <v>365500</v>
      </c>
      <c r="H380" s="3">
        <v>0</v>
      </c>
      <c r="I380" s="3">
        <v>0</v>
      </c>
      <c r="J380" s="3" t="str">
        <v>AB</v>
      </c>
      <c r="K380" s="23">
        <v>42545</v>
      </c>
      <c r="L380" s="22">
        <v>11.798233985900879</v>
      </c>
    </row>
    <row r="381" spans="1:12" x14ac:dyDescent="0.25">
      <c r="A381" s="9">
        <v>374</v>
      </c>
      <c r="B381" s="10">
        <v>42549</v>
      </c>
      <c r="C381" s="3">
        <v>11.396077366640858</v>
      </c>
      <c r="D381" s="3">
        <v>11.636325165213028</v>
      </c>
      <c r="E381" s="3">
        <v>11.369963930262113</v>
      </c>
      <c r="F381" s="3">
        <v>11.589320182800293</v>
      </c>
      <c r="G381" s="3">
        <v>209000</v>
      </c>
      <c r="H381" s="3">
        <v>0</v>
      </c>
      <c r="I381" s="3">
        <v>0</v>
      </c>
      <c r="J381" s="3" t="str">
        <v>AB</v>
      </c>
      <c r="K381" s="23">
        <v>42548</v>
      </c>
      <c r="L381" s="22">
        <v>11.260285377502441</v>
      </c>
    </row>
    <row r="382" spans="1:12" x14ac:dyDescent="0.25">
      <c r="A382" s="9">
        <v>375</v>
      </c>
      <c r="B382" s="10">
        <v>42550</v>
      </c>
      <c r="C382" s="3">
        <v>11.657215992656488</v>
      </c>
      <c r="D382" s="3">
        <v>11.996695654482325</v>
      </c>
      <c r="E382" s="3">
        <v>11.657215992656488</v>
      </c>
      <c r="F382" s="3">
        <v>11.986250877380371</v>
      </c>
      <c r="G382" s="3">
        <v>222500</v>
      </c>
      <c r="H382" s="3">
        <v>0</v>
      </c>
      <c r="I382" s="3">
        <v>0</v>
      </c>
      <c r="J382" s="3" t="str">
        <v>AB</v>
      </c>
      <c r="K382" s="23">
        <v>42549</v>
      </c>
      <c r="L382" s="22">
        <v>11.589320182800293</v>
      </c>
    </row>
    <row r="383" spans="1:12" x14ac:dyDescent="0.25">
      <c r="A383" s="9">
        <v>376</v>
      </c>
      <c r="B383" s="10">
        <v>42551</v>
      </c>
      <c r="C383" s="3">
        <v>12.001920843345125</v>
      </c>
      <c r="D383" s="3">
        <v>12.205609476443561</v>
      </c>
      <c r="E383" s="3">
        <v>12.001920843345125</v>
      </c>
      <c r="F383" s="3">
        <v>12.169049263000488</v>
      </c>
      <c r="G383" s="3">
        <v>213400</v>
      </c>
      <c r="H383" s="3">
        <v>0</v>
      </c>
      <c r="I383" s="3">
        <v>0</v>
      </c>
      <c r="J383" s="3" t="str">
        <v>AB</v>
      </c>
      <c r="K383" s="23">
        <v>42550</v>
      </c>
      <c r="L383" s="22">
        <v>11.986250877380371</v>
      </c>
    </row>
    <row r="384" spans="1:12" x14ac:dyDescent="0.25">
      <c r="A384" s="9">
        <v>377</v>
      </c>
      <c r="B384" s="10">
        <v>42552</v>
      </c>
      <c r="C384" s="3">
        <v>12.169046041645711</v>
      </c>
      <c r="D384" s="3">
        <v>12.278724660613207</v>
      </c>
      <c r="E384" s="3">
        <v>12.054145532589772</v>
      </c>
      <c r="F384" s="3">
        <v>12.101150512695313</v>
      </c>
      <c r="G384" s="3">
        <v>101900</v>
      </c>
      <c r="H384" s="3">
        <v>0</v>
      </c>
      <c r="I384" s="3">
        <v>0</v>
      </c>
      <c r="J384" s="3" t="str">
        <v>AB</v>
      </c>
      <c r="K384" s="23">
        <v>42551</v>
      </c>
      <c r="L384" s="22">
        <v>12.169049263000488</v>
      </c>
    </row>
    <row r="385" spans="1:12" x14ac:dyDescent="0.25">
      <c r="A385" s="9">
        <v>378</v>
      </c>
      <c r="B385" s="10">
        <v>42556</v>
      </c>
      <c r="C385" s="3">
        <v>11.944471860842999</v>
      </c>
      <c r="D385" s="3">
        <v>12.095931627600885</v>
      </c>
      <c r="E385" s="3">
        <v>11.72511554651183</v>
      </c>
      <c r="F385" s="3">
        <v>11.798233985900879</v>
      </c>
      <c r="G385" s="3">
        <v>158600</v>
      </c>
      <c r="H385" s="3">
        <v>0</v>
      </c>
      <c r="I385" s="3">
        <v>0</v>
      </c>
      <c r="J385" s="3" t="str">
        <v>AB</v>
      </c>
      <c r="K385" s="23">
        <v>42552</v>
      </c>
      <c r="L385" s="22">
        <v>12.101150512695313</v>
      </c>
    </row>
    <row r="386" spans="1:12" x14ac:dyDescent="0.25">
      <c r="A386" s="9">
        <v>379</v>
      </c>
      <c r="B386" s="10">
        <v>42557</v>
      </c>
      <c r="C386" s="3">
        <v>11.766893752199863</v>
      </c>
      <c r="D386" s="3">
        <v>12.012363428866465</v>
      </c>
      <c r="E386" s="3">
        <v>11.725111658380788</v>
      </c>
      <c r="F386" s="3">
        <v>11.923576354980469</v>
      </c>
      <c r="G386" s="3">
        <v>196600</v>
      </c>
      <c r="H386" s="3">
        <v>0</v>
      </c>
      <c r="I386" s="3">
        <v>0</v>
      </c>
      <c r="J386" s="3" t="str">
        <v>AB</v>
      </c>
      <c r="K386" s="23">
        <v>42556</v>
      </c>
      <c r="L386" s="22">
        <v>11.798233985900879</v>
      </c>
    </row>
    <row r="387" spans="1:12" x14ac:dyDescent="0.25">
      <c r="A387" s="9">
        <v>380</v>
      </c>
      <c r="B387" s="10">
        <v>42558</v>
      </c>
      <c r="C387" s="3">
        <v>11.991477966308594</v>
      </c>
      <c r="D387" s="3">
        <v>12.148161644727507</v>
      </c>
      <c r="E387" s="3">
        <v>11.881800287963134</v>
      </c>
      <c r="F387" s="3">
        <v>11.991477966308594</v>
      </c>
      <c r="G387" s="3">
        <v>126000</v>
      </c>
      <c r="H387" s="3">
        <v>0</v>
      </c>
      <c r="I387" s="3">
        <v>0</v>
      </c>
      <c r="J387" s="3" t="str">
        <v>AB</v>
      </c>
      <c r="K387" s="23">
        <v>42557</v>
      </c>
      <c r="L387" s="22">
        <v>11.923576354980469</v>
      </c>
    </row>
    <row r="388" spans="1:12" x14ac:dyDescent="0.25">
      <c r="A388" s="9">
        <v>381</v>
      </c>
      <c r="B388" s="10">
        <v>42559</v>
      </c>
      <c r="C388" s="3">
        <v>12.111597627431534</v>
      </c>
      <c r="D388" s="3">
        <v>12.221275262390035</v>
      </c>
      <c r="E388" s="3">
        <v>12.043701094793009</v>
      </c>
      <c r="F388" s="3">
        <v>12.106374740600586</v>
      </c>
      <c r="G388" s="3">
        <v>178000</v>
      </c>
      <c r="H388" s="3">
        <v>0</v>
      </c>
      <c r="I388" s="3">
        <v>0</v>
      </c>
      <c r="J388" s="3" t="str">
        <v>AB</v>
      </c>
      <c r="K388" s="23">
        <v>42558</v>
      </c>
      <c r="L388" s="22">
        <v>11.991477966308594</v>
      </c>
    </row>
    <row r="389" spans="1:12" x14ac:dyDescent="0.25">
      <c r="A389" s="9">
        <v>382</v>
      </c>
      <c r="B389" s="10">
        <v>42562</v>
      </c>
      <c r="C389" s="3">
        <v>12.122044073738202</v>
      </c>
      <c r="D389" s="3">
        <v>12.362291920217064</v>
      </c>
      <c r="E389" s="3">
        <v>12.122044073738202</v>
      </c>
      <c r="F389" s="3">
        <v>12.268281936645508</v>
      </c>
      <c r="G389" s="3">
        <v>165900</v>
      </c>
      <c r="H389" s="3">
        <v>0</v>
      </c>
      <c r="I389" s="3">
        <v>0</v>
      </c>
      <c r="J389" s="3" t="str">
        <v>AB</v>
      </c>
      <c r="K389" s="23">
        <v>42559</v>
      </c>
      <c r="L389" s="22">
        <v>12.106374740600586</v>
      </c>
    </row>
    <row r="390" spans="1:12" x14ac:dyDescent="0.25">
      <c r="A390" s="9">
        <v>383</v>
      </c>
      <c r="B390" s="10">
        <v>42563</v>
      </c>
      <c r="C390" s="3">
        <v>12.482413041738326</v>
      </c>
      <c r="D390" s="3">
        <v>12.524195138263227</v>
      </c>
      <c r="E390" s="3">
        <v>12.242166235761086</v>
      </c>
      <c r="F390" s="3">
        <v>12.28917121887207</v>
      </c>
      <c r="G390" s="3">
        <v>189200</v>
      </c>
      <c r="H390" s="3">
        <v>0</v>
      </c>
      <c r="I390" s="3">
        <v>0</v>
      </c>
      <c r="J390" s="3" t="str">
        <v>AB</v>
      </c>
      <c r="K390" s="23">
        <v>42562</v>
      </c>
      <c r="L390" s="22">
        <v>12.268281936645508</v>
      </c>
    </row>
    <row r="391" spans="1:12" x14ac:dyDescent="0.25">
      <c r="A391" s="9">
        <v>384</v>
      </c>
      <c r="B391" s="10">
        <v>42564</v>
      </c>
      <c r="C391" s="3">
        <v>12.26828166079145</v>
      </c>
      <c r="D391" s="3">
        <v>12.341400092519052</v>
      </c>
      <c r="E391" s="3">
        <v>12.122043801172323</v>
      </c>
      <c r="F391" s="3">
        <v>12.226499557495117</v>
      </c>
      <c r="G391" s="3">
        <v>138400</v>
      </c>
      <c r="H391" s="3">
        <v>0</v>
      </c>
      <c r="I391" s="3">
        <v>0</v>
      </c>
      <c r="J391" s="3" t="str">
        <v>AB</v>
      </c>
      <c r="K391" s="23">
        <v>42563</v>
      </c>
      <c r="L391" s="22">
        <v>12.28917121887207</v>
      </c>
    </row>
    <row r="392" spans="1:12" x14ac:dyDescent="0.25">
      <c r="A392" s="9">
        <v>385</v>
      </c>
      <c r="B392" s="10">
        <v>42565</v>
      </c>
      <c r="C392" s="3">
        <v>12.357068754816648</v>
      </c>
      <c r="D392" s="3">
        <v>12.461524511139441</v>
      </c>
      <c r="E392" s="3">
        <v>12.163826900632577</v>
      </c>
      <c r="F392" s="3">
        <v>12.226499557495117</v>
      </c>
      <c r="G392" s="3">
        <v>181200</v>
      </c>
      <c r="H392" s="3">
        <v>0</v>
      </c>
      <c r="I392" s="3">
        <v>0</v>
      </c>
      <c r="J392" s="3" t="str">
        <v>AB</v>
      </c>
      <c r="K392" s="23">
        <v>42564</v>
      </c>
      <c r="L392" s="22">
        <v>12.226499557495117</v>
      </c>
    </row>
    <row r="393" spans="1:12" x14ac:dyDescent="0.25">
      <c r="A393" s="9">
        <v>386</v>
      </c>
      <c r="B393" s="10">
        <v>42566</v>
      </c>
      <c r="C393" s="3">
        <v>12.27350291269712</v>
      </c>
      <c r="D393" s="3">
        <v>12.513749725595552</v>
      </c>
      <c r="E393" s="3">
        <v>12.153379506247905</v>
      </c>
      <c r="F393" s="3">
        <v>12.357067108154297</v>
      </c>
      <c r="G393" s="3">
        <v>167800</v>
      </c>
      <c r="H393" s="3">
        <v>0</v>
      </c>
      <c r="I393" s="3">
        <v>0</v>
      </c>
      <c r="J393" s="3" t="str">
        <v>AB</v>
      </c>
      <c r="K393" s="23">
        <v>42565</v>
      </c>
      <c r="L393" s="22">
        <v>12.226499557495117</v>
      </c>
    </row>
    <row r="394" spans="1:12" x14ac:dyDescent="0.25">
      <c r="A394" s="9">
        <v>387</v>
      </c>
      <c r="B394" s="10">
        <v>42569</v>
      </c>
      <c r="C394" s="3">
        <v>12.330953283250235</v>
      </c>
      <c r="D394" s="3">
        <v>12.513749332467778</v>
      </c>
      <c r="E394" s="3">
        <v>12.330953283250235</v>
      </c>
      <c r="F394" s="3">
        <v>12.440630912780762</v>
      </c>
      <c r="G394" s="3">
        <v>145300</v>
      </c>
      <c r="H394" s="3">
        <v>0</v>
      </c>
      <c r="I394" s="3">
        <v>0</v>
      </c>
      <c r="J394" s="3" t="str">
        <v>AB</v>
      </c>
      <c r="K394" s="23">
        <v>42566</v>
      </c>
      <c r="L394" s="22">
        <v>12.357067108154297</v>
      </c>
    </row>
    <row r="395" spans="1:12" x14ac:dyDescent="0.25">
      <c r="A395" s="9">
        <v>388</v>
      </c>
      <c r="B395" s="10">
        <v>42570</v>
      </c>
      <c r="C395" s="3">
        <v>12.435410043564595</v>
      </c>
      <c r="D395" s="3">
        <v>12.518974249952896</v>
      </c>
      <c r="E395" s="3">
        <v>12.236945302433359</v>
      </c>
      <c r="F395" s="3">
        <v>12.404073715209961</v>
      </c>
      <c r="G395" s="3">
        <v>257400</v>
      </c>
      <c r="H395" s="3">
        <v>0</v>
      </c>
      <c r="I395" s="3">
        <v>0</v>
      </c>
      <c r="J395" s="3" t="str">
        <v>AB</v>
      </c>
      <c r="K395" s="23">
        <v>42569</v>
      </c>
      <c r="L395" s="22">
        <v>12.440630912780762</v>
      </c>
    </row>
    <row r="396" spans="1:12" x14ac:dyDescent="0.25">
      <c r="A396" s="9">
        <v>389</v>
      </c>
      <c r="B396" s="10">
        <v>42571</v>
      </c>
      <c r="C396" s="3">
        <v>12.419741124069997</v>
      </c>
      <c r="D396" s="3">
        <v>12.644319283471699</v>
      </c>
      <c r="E396" s="3">
        <v>12.29961671786633</v>
      </c>
      <c r="F396" s="3">
        <v>12.62865161895752</v>
      </c>
      <c r="G396" s="3">
        <v>140600</v>
      </c>
      <c r="H396" s="3">
        <v>0</v>
      </c>
      <c r="I396" s="3">
        <v>0</v>
      </c>
      <c r="J396" s="3" t="str">
        <v>AB</v>
      </c>
      <c r="K396" s="23">
        <v>42570</v>
      </c>
      <c r="L396" s="22">
        <v>12.404073715209961</v>
      </c>
    </row>
    <row r="397" spans="1:12" x14ac:dyDescent="0.25">
      <c r="A397" s="9">
        <v>390</v>
      </c>
      <c r="B397" s="10">
        <v>42572</v>
      </c>
      <c r="C397" s="3">
        <v>12.524197038521757</v>
      </c>
      <c r="D397" s="3">
        <v>12.696548337357784</v>
      </c>
      <c r="E397" s="3">
        <v>12.49808359779299</v>
      </c>
      <c r="F397" s="3">
        <v>12.555534362792969</v>
      </c>
      <c r="G397" s="3">
        <v>124800</v>
      </c>
      <c r="H397" s="3">
        <v>0</v>
      </c>
      <c r="I397" s="3">
        <v>0</v>
      </c>
      <c r="J397" s="3" t="str">
        <v>AB</v>
      </c>
      <c r="K397" s="23">
        <v>42571</v>
      </c>
      <c r="L397" s="22">
        <v>12.62865161895752</v>
      </c>
    </row>
    <row r="398" spans="1:12" x14ac:dyDescent="0.25">
      <c r="A398" s="9">
        <v>391</v>
      </c>
      <c r="B398" s="10">
        <v>42573</v>
      </c>
      <c r="C398" s="3">
        <v>12.60775807404975</v>
      </c>
      <c r="D398" s="3">
        <v>12.769664553581489</v>
      </c>
      <c r="E398" s="3">
        <v>12.565975981691418</v>
      </c>
      <c r="F398" s="3">
        <v>12.753995895385742</v>
      </c>
      <c r="G398" s="3">
        <v>157000</v>
      </c>
      <c r="H398" s="3">
        <v>0</v>
      </c>
      <c r="I398" s="3">
        <v>0</v>
      </c>
      <c r="J398" s="3" t="str">
        <v>AB</v>
      </c>
      <c r="K398" s="23">
        <v>42572</v>
      </c>
      <c r="L398" s="22">
        <v>12.555534362792969</v>
      </c>
    </row>
    <row r="399" spans="1:12" x14ac:dyDescent="0.25">
      <c r="A399" s="9">
        <v>392</v>
      </c>
      <c r="B399" s="10">
        <v>42576</v>
      </c>
      <c r="C399" s="3">
        <v>12.748776241426857</v>
      </c>
      <c r="D399" s="3">
        <v>12.895014099837491</v>
      </c>
      <c r="E399" s="3">
        <v>12.733107579258746</v>
      </c>
      <c r="F399" s="3">
        <v>12.84800910949707</v>
      </c>
      <c r="G399" s="3">
        <v>124800</v>
      </c>
      <c r="H399" s="3">
        <v>0</v>
      </c>
      <c r="I399" s="3">
        <v>0</v>
      </c>
      <c r="J399" s="3" t="str">
        <v>AB</v>
      </c>
      <c r="K399" s="23">
        <v>42573</v>
      </c>
      <c r="L399" s="22">
        <v>12.753995895385742</v>
      </c>
    </row>
    <row r="400" spans="1:12" x14ac:dyDescent="0.25">
      <c r="A400" s="9">
        <v>393</v>
      </c>
      <c r="B400" s="10">
        <v>42577</v>
      </c>
      <c r="C400" s="3">
        <v>12.821892591209661</v>
      </c>
      <c r="D400" s="3">
        <v>12.868897573919901</v>
      </c>
      <c r="E400" s="3">
        <v>12.524195031487313</v>
      </c>
      <c r="F400" s="3">
        <v>12.59209156036377</v>
      </c>
      <c r="G400" s="3">
        <v>163700</v>
      </c>
      <c r="H400" s="3">
        <v>0</v>
      </c>
      <c r="I400" s="3">
        <v>0</v>
      </c>
      <c r="J400" s="3" t="str">
        <v>AB</v>
      </c>
      <c r="K400" s="23">
        <v>42576</v>
      </c>
      <c r="L400" s="22">
        <v>12.84800910949707</v>
      </c>
    </row>
    <row r="401" spans="1:12" x14ac:dyDescent="0.25">
      <c r="A401" s="9">
        <v>394</v>
      </c>
      <c r="B401" s="10">
        <v>42578</v>
      </c>
      <c r="C401" s="3">
        <v>12.560754624951922</v>
      </c>
      <c r="D401" s="3">
        <v>12.733105901435007</v>
      </c>
      <c r="E401" s="3">
        <v>12.560754624951922</v>
      </c>
      <c r="F401" s="3">
        <v>12.686101913452148</v>
      </c>
      <c r="G401" s="3">
        <v>145300</v>
      </c>
      <c r="H401" s="3">
        <v>0</v>
      </c>
      <c r="I401" s="3">
        <v>0</v>
      </c>
      <c r="J401" s="3" t="str">
        <v>AB</v>
      </c>
      <c r="K401" s="23">
        <v>42577</v>
      </c>
      <c r="L401" s="22">
        <v>12.59209156036377</v>
      </c>
    </row>
    <row r="402" spans="1:12" x14ac:dyDescent="0.25">
      <c r="A402" s="9">
        <v>395</v>
      </c>
      <c r="B402" s="10">
        <v>42579</v>
      </c>
      <c r="C402" s="3">
        <v>12.827117037440201</v>
      </c>
      <c r="D402" s="3">
        <v>12.827117037440201</v>
      </c>
      <c r="E402" s="3">
        <v>12.404073137772579</v>
      </c>
      <c r="F402" s="3">
        <v>12.498083114624023</v>
      </c>
      <c r="G402" s="3">
        <v>349000</v>
      </c>
      <c r="H402" s="3">
        <v>0</v>
      </c>
      <c r="I402" s="3">
        <v>0</v>
      </c>
      <c r="J402" s="3" t="str">
        <v>AB</v>
      </c>
      <c r="K402" s="23">
        <v>42578</v>
      </c>
      <c r="L402" s="22">
        <v>12.686101913452148</v>
      </c>
    </row>
    <row r="403" spans="1:12" x14ac:dyDescent="0.25">
      <c r="A403" s="9">
        <v>396</v>
      </c>
      <c r="B403" s="10">
        <v>42580</v>
      </c>
      <c r="C403" s="3">
        <v>12.451082170516688</v>
      </c>
      <c r="D403" s="3">
        <v>12.743556974261065</v>
      </c>
      <c r="E403" s="3">
        <v>12.351849274256129</v>
      </c>
      <c r="F403" s="3">
        <v>12.513754844665527</v>
      </c>
      <c r="G403" s="3">
        <v>225200</v>
      </c>
      <c r="H403" s="3">
        <v>0</v>
      </c>
      <c r="I403" s="3">
        <v>0</v>
      </c>
      <c r="J403" s="3" t="str">
        <v>AB</v>
      </c>
      <c r="K403" s="23">
        <v>42579</v>
      </c>
      <c r="L403" s="22">
        <v>12.498083114624023</v>
      </c>
    </row>
    <row r="404" spans="1:12" x14ac:dyDescent="0.25">
      <c r="A404" s="9">
        <v>397</v>
      </c>
      <c r="B404" s="10">
        <v>42583</v>
      </c>
      <c r="C404" s="3">
        <v>12.607760962907591</v>
      </c>
      <c r="D404" s="3">
        <v>12.607760962907591</v>
      </c>
      <c r="E404" s="3">
        <v>12.299617587597611</v>
      </c>
      <c r="F404" s="3">
        <v>12.310063362121582</v>
      </c>
      <c r="G404" s="3">
        <v>205600</v>
      </c>
      <c r="H404" s="3">
        <v>0</v>
      </c>
      <c r="I404" s="3">
        <v>0</v>
      </c>
      <c r="J404" s="3" t="str">
        <v>AB</v>
      </c>
      <c r="K404" s="23">
        <v>42580</v>
      </c>
      <c r="L404" s="22">
        <v>12.513754844665527</v>
      </c>
    </row>
    <row r="405" spans="1:12" x14ac:dyDescent="0.25">
      <c r="A405" s="9">
        <v>398</v>
      </c>
      <c r="B405" s="10">
        <v>42584</v>
      </c>
      <c r="C405" s="3">
        <v>12.273505076265907</v>
      </c>
      <c r="D405" s="3">
        <v>12.372737949425456</v>
      </c>
      <c r="E405" s="3">
        <v>11.699000384101518</v>
      </c>
      <c r="F405" s="3">
        <v>11.725114822387695</v>
      </c>
      <c r="G405" s="3">
        <v>408000</v>
      </c>
      <c r="H405" s="3">
        <v>0</v>
      </c>
      <c r="I405" s="3">
        <v>0</v>
      </c>
      <c r="J405" s="3" t="str">
        <v>AB</v>
      </c>
      <c r="K405" s="23">
        <v>42583</v>
      </c>
      <c r="L405" s="22">
        <v>12.310063362121582</v>
      </c>
    </row>
    <row r="406" spans="1:12" x14ac:dyDescent="0.25">
      <c r="A406" s="9">
        <v>399</v>
      </c>
      <c r="B406" s="10">
        <v>42585</v>
      </c>
      <c r="C406" s="3">
        <v>11.766896078429744</v>
      </c>
      <c r="D406" s="3">
        <v>11.766896078429744</v>
      </c>
      <c r="E406" s="3">
        <v>11.432638265633111</v>
      </c>
      <c r="F406" s="3">
        <v>11.484866142272949</v>
      </c>
      <c r="G406" s="3">
        <v>464600</v>
      </c>
      <c r="H406" s="3">
        <v>0</v>
      </c>
      <c r="I406" s="3">
        <v>0</v>
      </c>
      <c r="J406" s="3" t="str">
        <v>AB</v>
      </c>
      <c r="K406" s="23">
        <v>42584</v>
      </c>
      <c r="L406" s="22">
        <v>11.725114822387695</v>
      </c>
    </row>
    <row r="407" spans="1:12" x14ac:dyDescent="0.25">
      <c r="A407" s="9">
        <v>400</v>
      </c>
      <c r="B407" s="10">
        <v>42586</v>
      </c>
      <c r="C407" s="3">
        <v>11.436992939837923</v>
      </c>
      <c r="D407" s="3">
        <v>11.665732960973902</v>
      </c>
      <c r="E407" s="3">
        <v>11.436992939837923</v>
      </c>
      <c r="F407" s="3">
        <v>11.607217788696289</v>
      </c>
      <c r="G407" s="3">
        <v>284100</v>
      </c>
      <c r="H407" s="3">
        <v>0.4</v>
      </c>
      <c r="I407" s="3">
        <v>0</v>
      </c>
      <c r="J407" s="3" t="str">
        <v>AB</v>
      </c>
      <c r="K407" s="23">
        <v>42585</v>
      </c>
      <c r="L407" s="22">
        <v>11.484866142272949</v>
      </c>
    </row>
    <row r="408" spans="1:12" x14ac:dyDescent="0.25">
      <c r="A408" s="9">
        <v>401</v>
      </c>
      <c r="B408" s="10">
        <v>42587</v>
      </c>
      <c r="C408" s="3">
        <v>11.612537965615594</v>
      </c>
      <c r="D408" s="3">
        <v>11.952987678681904</v>
      </c>
      <c r="E408" s="3">
        <v>11.32528377387094</v>
      </c>
      <c r="F408" s="3">
        <v>11.35188102722168</v>
      </c>
      <c r="G408" s="3">
        <v>468300</v>
      </c>
      <c r="H408" s="3">
        <v>0</v>
      </c>
      <c r="I408" s="3">
        <v>0</v>
      </c>
      <c r="J408" s="3" t="str">
        <v>AB</v>
      </c>
      <c r="K408" s="23">
        <v>42586</v>
      </c>
      <c r="L408" s="22">
        <v>11.607217788696289</v>
      </c>
    </row>
    <row r="409" spans="1:12" x14ac:dyDescent="0.25">
      <c r="A409" s="9">
        <v>402</v>
      </c>
      <c r="B409" s="10">
        <v>42590</v>
      </c>
      <c r="C409" s="3">
        <v>11.436989846332029</v>
      </c>
      <c r="D409" s="3">
        <v>11.724244962048132</v>
      </c>
      <c r="E409" s="3">
        <v>11.351877444924263</v>
      </c>
      <c r="F409" s="3">
        <v>11.639131546020508</v>
      </c>
      <c r="G409" s="3">
        <v>249800</v>
      </c>
      <c r="H409" s="3">
        <v>0</v>
      </c>
      <c r="I409" s="3">
        <v>0</v>
      </c>
      <c r="J409" s="3" t="str">
        <v>AB</v>
      </c>
      <c r="K409" s="23">
        <v>42587</v>
      </c>
      <c r="L409" s="22">
        <v>11.35188102722168</v>
      </c>
    </row>
    <row r="410" spans="1:12" x14ac:dyDescent="0.25">
      <c r="A410" s="9">
        <v>403</v>
      </c>
      <c r="B410" s="10">
        <v>42591</v>
      </c>
      <c r="C410" s="3">
        <v>11.628496195009006</v>
      </c>
      <c r="D410" s="3">
        <v>11.724247924441524</v>
      </c>
      <c r="E410" s="3">
        <v>11.527424812316895</v>
      </c>
      <c r="F410" s="3">
        <v>11.527424812316895</v>
      </c>
      <c r="G410" s="3">
        <v>209400</v>
      </c>
      <c r="H410" s="3">
        <v>0</v>
      </c>
      <c r="I410" s="3">
        <v>0</v>
      </c>
      <c r="J410" s="3" t="str">
        <v>AB</v>
      </c>
      <c r="K410" s="23">
        <v>42590</v>
      </c>
      <c r="L410" s="22">
        <v>11.639131546020508</v>
      </c>
    </row>
    <row r="411" spans="1:12" x14ac:dyDescent="0.25">
      <c r="A411" s="9">
        <v>404</v>
      </c>
      <c r="B411" s="10">
        <v>42592</v>
      </c>
      <c r="C411" s="3">
        <v>11.548700167304828</v>
      </c>
      <c r="D411" s="3">
        <v>11.687008081326553</v>
      </c>
      <c r="E411" s="3">
        <v>11.458269123318999</v>
      </c>
      <c r="F411" s="3">
        <v>11.463587760925293</v>
      </c>
      <c r="G411" s="3">
        <v>265400</v>
      </c>
      <c r="H411" s="3">
        <v>0</v>
      </c>
      <c r="I411" s="3">
        <v>0</v>
      </c>
      <c r="J411" s="3" t="str">
        <v>AB</v>
      </c>
      <c r="K411" s="23">
        <v>42591</v>
      </c>
      <c r="L411" s="22">
        <v>11.527424812316895</v>
      </c>
    </row>
    <row r="412" spans="1:12" x14ac:dyDescent="0.25">
      <c r="A412" s="9">
        <v>405</v>
      </c>
      <c r="B412" s="10">
        <v>42593</v>
      </c>
      <c r="C412" s="3">
        <v>11.511462938357628</v>
      </c>
      <c r="D412" s="3">
        <v>11.559338790953889</v>
      </c>
      <c r="E412" s="3">
        <v>11.378474684394641</v>
      </c>
      <c r="F412" s="3">
        <v>11.431670188903809</v>
      </c>
      <c r="G412" s="3">
        <v>280400</v>
      </c>
      <c r="H412" s="3">
        <v>0</v>
      </c>
      <c r="I412" s="3">
        <v>0</v>
      </c>
      <c r="J412" s="3" t="str">
        <v>AB</v>
      </c>
      <c r="K412" s="23">
        <v>42592</v>
      </c>
      <c r="L412" s="22">
        <v>11.463587760925293</v>
      </c>
    </row>
    <row r="413" spans="1:12" x14ac:dyDescent="0.25">
      <c r="A413" s="9">
        <v>406</v>
      </c>
      <c r="B413" s="10">
        <v>42594</v>
      </c>
      <c r="C413" s="3">
        <v>11.410393257474162</v>
      </c>
      <c r="D413" s="3">
        <v>11.713606331751617</v>
      </c>
      <c r="E413" s="3">
        <v>11.378475344146072</v>
      </c>
      <c r="F413" s="3">
        <v>11.665730476379395</v>
      </c>
      <c r="G413" s="3">
        <v>244200</v>
      </c>
      <c r="H413" s="3">
        <v>0</v>
      </c>
      <c r="I413" s="3">
        <v>0</v>
      </c>
      <c r="J413" s="3" t="str">
        <v>AB</v>
      </c>
      <c r="K413" s="23">
        <v>42593</v>
      </c>
      <c r="L413" s="22">
        <v>11.431670188903809</v>
      </c>
    </row>
    <row r="414" spans="1:12" x14ac:dyDescent="0.25">
      <c r="A414" s="9">
        <v>407</v>
      </c>
      <c r="B414" s="10">
        <v>42597</v>
      </c>
      <c r="C414" s="3">
        <v>11.734884476827142</v>
      </c>
      <c r="D414" s="3">
        <v>11.910428949891656</v>
      </c>
      <c r="E414" s="3">
        <v>11.702967576620857</v>
      </c>
      <c r="F414" s="3">
        <v>11.809358596801758</v>
      </c>
      <c r="G414" s="3">
        <v>198600</v>
      </c>
      <c r="H414" s="3">
        <v>0</v>
      </c>
      <c r="I414" s="3">
        <v>0</v>
      </c>
      <c r="J414" s="3" t="str">
        <v>AB</v>
      </c>
      <c r="K414" s="23">
        <v>42594</v>
      </c>
      <c r="L414" s="22">
        <v>11.665730476379395</v>
      </c>
    </row>
    <row r="415" spans="1:12" x14ac:dyDescent="0.25">
      <c r="A415" s="9">
        <v>408</v>
      </c>
      <c r="B415" s="10">
        <v>42598</v>
      </c>
      <c r="C415" s="3">
        <v>11.830635009617085</v>
      </c>
      <c r="D415" s="3">
        <v>11.857233269313848</v>
      </c>
      <c r="E415" s="3">
        <v>11.554019196489921</v>
      </c>
      <c r="F415" s="3">
        <v>11.628493309020996</v>
      </c>
      <c r="G415" s="3">
        <v>229300</v>
      </c>
      <c r="H415" s="3">
        <v>0</v>
      </c>
      <c r="I415" s="3">
        <v>0</v>
      </c>
      <c r="J415" s="3" t="str">
        <v>AB</v>
      </c>
      <c r="K415" s="23">
        <v>42597</v>
      </c>
      <c r="L415" s="22">
        <v>11.809358596801758</v>
      </c>
    </row>
    <row r="416" spans="1:12" x14ac:dyDescent="0.25">
      <c r="A416" s="9">
        <v>409</v>
      </c>
      <c r="B416" s="10">
        <v>42599</v>
      </c>
      <c r="C416" s="3">
        <v>11.671050968123536</v>
      </c>
      <c r="D416" s="3">
        <v>11.777440976343613</v>
      </c>
      <c r="E416" s="3">
        <v>11.633814414515511</v>
      </c>
      <c r="F416" s="3">
        <v>11.676370620727539</v>
      </c>
      <c r="G416" s="3">
        <v>118900</v>
      </c>
      <c r="H416" s="3">
        <v>0</v>
      </c>
      <c r="I416" s="3">
        <v>0</v>
      </c>
      <c r="J416" s="3" t="str">
        <v>AB</v>
      </c>
      <c r="K416" s="23">
        <v>42598</v>
      </c>
      <c r="L416" s="22">
        <v>11.628493309020996</v>
      </c>
    </row>
    <row r="417" spans="1:12" x14ac:dyDescent="0.25">
      <c r="A417" s="9">
        <v>410</v>
      </c>
      <c r="B417" s="10">
        <v>42600</v>
      </c>
      <c r="C417" s="3">
        <v>11.649771240501796</v>
      </c>
      <c r="D417" s="3">
        <v>11.77212019480069</v>
      </c>
      <c r="E417" s="3">
        <v>11.649771240501796</v>
      </c>
      <c r="F417" s="3">
        <v>11.697647094726563</v>
      </c>
      <c r="G417" s="3">
        <v>115500</v>
      </c>
      <c r="H417" s="3">
        <v>0</v>
      </c>
      <c r="I417" s="3">
        <v>0</v>
      </c>
      <c r="J417" s="3" t="str">
        <v>AB</v>
      </c>
      <c r="K417" s="23">
        <v>42599</v>
      </c>
      <c r="L417" s="22">
        <v>11.676370620727539</v>
      </c>
    </row>
    <row r="418" spans="1:12" x14ac:dyDescent="0.25">
      <c r="A418" s="9">
        <v>411</v>
      </c>
      <c r="B418" s="10">
        <v>42601</v>
      </c>
      <c r="C418" s="3">
        <v>11.692327329273562</v>
      </c>
      <c r="D418" s="3">
        <v>11.804037992921591</v>
      </c>
      <c r="E418" s="3">
        <v>11.676369387766616</v>
      </c>
      <c r="F418" s="3">
        <v>11.708286285400391</v>
      </c>
      <c r="G418" s="3">
        <v>120200</v>
      </c>
      <c r="H418" s="3">
        <v>0</v>
      </c>
      <c r="I418" s="3">
        <v>0</v>
      </c>
      <c r="J418" s="3" t="str">
        <v>AB</v>
      </c>
      <c r="K418" s="23">
        <v>42600</v>
      </c>
      <c r="L418" s="22">
        <v>11.697647094726563</v>
      </c>
    </row>
    <row r="419" spans="1:12" x14ac:dyDescent="0.25">
      <c r="A419" s="9">
        <v>412</v>
      </c>
      <c r="B419" s="10">
        <v>42604</v>
      </c>
      <c r="C419" s="3">
        <v>11.671050128600744</v>
      </c>
      <c r="D419" s="3">
        <v>11.756162534902488</v>
      </c>
      <c r="E419" s="3">
        <v>11.468907402669164</v>
      </c>
      <c r="F419" s="3">
        <v>11.665730476379395</v>
      </c>
      <c r="G419" s="3">
        <v>242600</v>
      </c>
      <c r="H419" s="3">
        <v>0</v>
      </c>
      <c r="I419" s="3">
        <v>0</v>
      </c>
      <c r="J419" s="3" t="str">
        <v>AB</v>
      </c>
      <c r="K419" s="23">
        <v>42601</v>
      </c>
      <c r="L419" s="22">
        <v>11.708286285400391</v>
      </c>
    </row>
    <row r="420" spans="1:12" x14ac:dyDescent="0.25">
      <c r="A420" s="9">
        <v>413</v>
      </c>
      <c r="B420" s="10">
        <v>42605</v>
      </c>
      <c r="C420" s="3">
        <v>11.708286285400391</v>
      </c>
      <c r="D420" s="3">
        <v>11.835954890555366</v>
      </c>
      <c r="E420" s="3">
        <v>11.702966633358114</v>
      </c>
      <c r="F420" s="3">
        <v>11.708286285400391</v>
      </c>
      <c r="G420" s="3">
        <v>132200</v>
      </c>
      <c r="H420" s="3">
        <v>0</v>
      </c>
      <c r="I420" s="3">
        <v>0</v>
      </c>
      <c r="J420" s="3" t="str">
        <v>AB</v>
      </c>
      <c r="K420" s="23">
        <v>42604</v>
      </c>
      <c r="L420" s="22">
        <v>11.665730476379395</v>
      </c>
    </row>
    <row r="421" spans="1:12" x14ac:dyDescent="0.25">
      <c r="A421" s="9">
        <v>414</v>
      </c>
      <c r="B421" s="10">
        <v>42606</v>
      </c>
      <c r="C421" s="3">
        <v>11.655090667665609</v>
      </c>
      <c r="D421" s="3">
        <v>11.79339857557687</v>
      </c>
      <c r="E421" s="3">
        <v>11.596575510382419</v>
      </c>
      <c r="F421" s="3">
        <v>11.617854118347168</v>
      </c>
      <c r="G421" s="3">
        <v>207600</v>
      </c>
      <c r="H421" s="3">
        <v>0</v>
      </c>
      <c r="I421" s="3">
        <v>0</v>
      </c>
      <c r="J421" s="3" t="str">
        <v>AB</v>
      </c>
      <c r="K421" s="23">
        <v>42605</v>
      </c>
      <c r="L421" s="22">
        <v>11.708286285400391</v>
      </c>
    </row>
    <row r="422" spans="1:12" x14ac:dyDescent="0.25">
      <c r="A422" s="9">
        <v>415</v>
      </c>
      <c r="B422" s="10">
        <v>42607</v>
      </c>
      <c r="C422" s="3">
        <v>11.554019196489921</v>
      </c>
      <c r="D422" s="3">
        <v>11.702966406932209</v>
      </c>
      <c r="E422" s="3">
        <v>11.554019196489921</v>
      </c>
      <c r="F422" s="3">
        <v>11.628493309020996</v>
      </c>
      <c r="G422" s="3">
        <v>164100</v>
      </c>
      <c r="H422" s="3">
        <v>0</v>
      </c>
      <c r="I422" s="3">
        <v>0</v>
      </c>
      <c r="J422" s="3" t="str">
        <v>AB</v>
      </c>
      <c r="K422" s="23">
        <v>42606</v>
      </c>
      <c r="L422" s="22">
        <v>11.617854118347168</v>
      </c>
    </row>
    <row r="423" spans="1:12" x14ac:dyDescent="0.25">
      <c r="A423" s="9">
        <v>416</v>
      </c>
      <c r="B423" s="10">
        <v>42608</v>
      </c>
      <c r="C423" s="3">
        <v>11.681686676970168</v>
      </c>
      <c r="D423" s="3">
        <v>11.772118722012058</v>
      </c>
      <c r="E423" s="3">
        <v>11.585935995119724</v>
      </c>
      <c r="F423" s="3">
        <v>11.64976978302002</v>
      </c>
      <c r="G423" s="3">
        <v>285200</v>
      </c>
      <c r="H423" s="3">
        <v>0</v>
      </c>
      <c r="I423" s="3">
        <v>0</v>
      </c>
      <c r="J423" s="3" t="str">
        <v>AB</v>
      </c>
      <c r="K423" s="23">
        <v>42607</v>
      </c>
      <c r="L423" s="22">
        <v>11.628493309020996</v>
      </c>
    </row>
    <row r="424" spans="1:12" x14ac:dyDescent="0.25">
      <c r="A424" s="9">
        <v>417</v>
      </c>
      <c r="B424" s="10">
        <v>42611</v>
      </c>
      <c r="C424" s="3">
        <v>11.681686854265546</v>
      </c>
      <c r="D424" s="3">
        <v>11.772118900679942</v>
      </c>
      <c r="E424" s="3">
        <v>11.623172716905488</v>
      </c>
      <c r="F424" s="3">
        <v>11.734882354736328</v>
      </c>
      <c r="G424" s="3">
        <v>231900</v>
      </c>
      <c r="H424" s="3">
        <v>0</v>
      </c>
      <c r="I424" s="3">
        <v>0</v>
      </c>
      <c r="J424" s="3" t="str">
        <v>AB</v>
      </c>
      <c r="K424" s="23">
        <v>42608</v>
      </c>
      <c r="L424" s="22">
        <v>11.64976978302002</v>
      </c>
    </row>
    <row r="425" spans="1:12" x14ac:dyDescent="0.25">
      <c r="A425" s="9">
        <v>418</v>
      </c>
      <c r="B425" s="10">
        <v>42612</v>
      </c>
      <c r="C425" s="3">
        <v>11.724248280940706</v>
      </c>
      <c r="D425" s="3">
        <v>11.804041053020692</v>
      </c>
      <c r="E425" s="3">
        <v>11.64977414766193</v>
      </c>
      <c r="F425" s="3">
        <v>11.692330360412598</v>
      </c>
      <c r="G425" s="3">
        <v>180600</v>
      </c>
      <c r="H425" s="3">
        <v>0</v>
      </c>
      <c r="I425" s="3">
        <v>0</v>
      </c>
      <c r="J425" s="3" t="str">
        <v>AB</v>
      </c>
      <c r="K425" s="23">
        <v>42611</v>
      </c>
      <c r="L425" s="22">
        <v>11.734882354736328</v>
      </c>
    </row>
    <row r="426" spans="1:12" x14ac:dyDescent="0.25">
      <c r="A426" s="9">
        <v>419</v>
      </c>
      <c r="B426" s="10">
        <v>42613</v>
      </c>
      <c r="C426" s="3">
        <v>11.671048444952822</v>
      </c>
      <c r="D426" s="3">
        <v>11.750841187522438</v>
      </c>
      <c r="E426" s="3">
        <v>11.569977096567433</v>
      </c>
      <c r="F426" s="3">
        <v>11.644450187683105</v>
      </c>
      <c r="G426" s="3">
        <v>221400</v>
      </c>
      <c r="H426" s="3">
        <v>0</v>
      </c>
      <c r="I426" s="3">
        <v>0</v>
      </c>
      <c r="J426" s="3" t="str">
        <v>AB</v>
      </c>
      <c r="K426" s="23">
        <v>42612</v>
      </c>
      <c r="L426" s="22">
        <v>11.692330360412598</v>
      </c>
    </row>
    <row r="427" spans="1:12" x14ac:dyDescent="0.25">
      <c r="A427" s="9">
        <v>420</v>
      </c>
      <c r="B427" s="10">
        <v>42614</v>
      </c>
      <c r="C427" s="3">
        <v>11.681692077715086</v>
      </c>
      <c r="D427" s="3">
        <v>11.73488760197216</v>
      </c>
      <c r="E427" s="3">
        <v>11.474230649194753</v>
      </c>
      <c r="F427" s="3">
        <v>11.484869956970215</v>
      </c>
      <c r="G427" s="3">
        <v>219200</v>
      </c>
      <c r="H427" s="3">
        <v>0</v>
      </c>
      <c r="I427" s="3">
        <v>0</v>
      </c>
      <c r="J427" s="3" t="str">
        <v>AB</v>
      </c>
      <c r="K427" s="23">
        <v>42613</v>
      </c>
      <c r="L427" s="22">
        <v>11.644450187683105</v>
      </c>
    </row>
    <row r="428" spans="1:12" x14ac:dyDescent="0.25">
      <c r="A428" s="9">
        <v>421</v>
      </c>
      <c r="B428" s="10">
        <v>42615</v>
      </c>
      <c r="C428" s="3">
        <v>11.516782870357986</v>
      </c>
      <c r="D428" s="3">
        <v>11.718925589484941</v>
      </c>
      <c r="E428" s="3">
        <v>11.474226668639661</v>
      </c>
      <c r="F428" s="3">
        <v>11.708286285400391</v>
      </c>
      <c r="G428" s="3">
        <v>218000</v>
      </c>
      <c r="H428" s="3">
        <v>0</v>
      </c>
      <c r="I428" s="3">
        <v>0</v>
      </c>
      <c r="J428" s="3" t="str">
        <v>AB</v>
      </c>
      <c r="K428" s="23">
        <v>42614</v>
      </c>
      <c r="L428" s="22">
        <v>11.484869956970215</v>
      </c>
    </row>
    <row r="429" spans="1:12" x14ac:dyDescent="0.25">
      <c r="A429" s="9">
        <v>422</v>
      </c>
      <c r="B429" s="10">
        <v>42619</v>
      </c>
      <c r="C429" s="3">
        <v>11.702967248802487</v>
      </c>
      <c r="D429" s="3">
        <v>11.835955512993424</v>
      </c>
      <c r="E429" s="3">
        <v>11.62849414553394</v>
      </c>
      <c r="F429" s="3">
        <v>11.745523452758789</v>
      </c>
      <c r="G429" s="3">
        <v>339500</v>
      </c>
      <c r="H429" s="3">
        <v>0</v>
      </c>
      <c r="I429" s="3">
        <v>0</v>
      </c>
      <c r="J429" s="3" t="str">
        <v>AB</v>
      </c>
      <c r="K429" s="23">
        <v>42615</v>
      </c>
      <c r="L429" s="22">
        <v>11.708286285400391</v>
      </c>
    </row>
    <row r="430" spans="1:12" x14ac:dyDescent="0.25">
      <c r="A430" s="9">
        <v>423</v>
      </c>
      <c r="B430" s="10">
        <v>42620</v>
      </c>
      <c r="C430" s="3">
        <v>11.702964615350648</v>
      </c>
      <c r="D430" s="3">
        <v>11.80935560861081</v>
      </c>
      <c r="E430" s="3">
        <v>11.702964615350648</v>
      </c>
      <c r="F430" s="3">
        <v>11.718923568725586</v>
      </c>
      <c r="G430" s="3">
        <v>218300</v>
      </c>
      <c r="H430" s="3">
        <v>0</v>
      </c>
      <c r="I430" s="3">
        <v>0</v>
      </c>
      <c r="J430" s="3" t="str">
        <v>AB</v>
      </c>
      <c r="K430" s="23">
        <v>42619</v>
      </c>
      <c r="L430" s="22">
        <v>11.745523452758789</v>
      </c>
    </row>
    <row r="431" spans="1:12" x14ac:dyDescent="0.25">
      <c r="A431" s="9">
        <v>424</v>
      </c>
      <c r="B431" s="10">
        <v>42621</v>
      </c>
      <c r="C431" s="3">
        <v>11.628492368414545</v>
      </c>
      <c r="D431" s="3">
        <v>11.782758203698055</v>
      </c>
      <c r="E431" s="3">
        <v>11.596574459360207</v>
      </c>
      <c r="F431" s="3">
        <v>11.734882354736328</v>
      </c>
      <c r="G431" s="3">
        <v>174100</v>
      </c>
      <c r="H431" s="3">
        <v>0</v>
      </c>
      <c r="I431" s="3">
        <v>0</v>
      </c>
      <c r="J431" s="3" t="str">
        <v>AB</v>
      </c>
      <c r="K431" s="23">
        <v>42620</v>
      </c>
      <c r="L431" s="22">
        <v>11.718923568725586</v>
      </c>
    </row>
    <row r="432" spans="1:12" x14ac:dyDescent="0.25">
      <c r="A432" s="9">
        <v>425</v>
      </c>
      <c r="B432" s="10">
        <v>42622</v>
      </c>
      <c r="C432" s="3">
        <v>11.702966746820412</v>
      </c>
      <c r="D432" s="3">
        <v>11.793398803176093</v>
      </c>
      <c r="E432" s="3">
        <v>11.655090892595647</v>
      </c>
      <c r="F432" s="3">
        <v>11.697647094726563</v>
      </c>
      <c r="G432" s="3">
        <v>282600</v>
      </c>
      <c r="H432" s="3">
        <v>0</v>
      </c>
      <c r="I432" s="3">
        <v>0</v>
      </c>
      <c r="J432" s="3" t="str">
        <v>AB</v>
      </c>
      <c r="K432" s="23">
        <v>42621</v>
      </c>
      <c r="L432" s="22">
        <v>11.734882354736328</v>
      </c>
    </row>
    <row r="433" spans="1:12" x14ac:dyDescent="0.25">
      <c r="A433" s="9">
        <v>426</v>
      </c>
      <c r="B433" s="10">
        <v>42625</v>
      </c>
      <c r="C433" s="3">
        <v>11.623174436845918</v>
      </c>
      <c r="D433" s="3">
        <v>11.83595545559556</v>
      </c>
      <c r="E433" s="3">
        <v>11.58061823309599</v>
      </c>
      <c r="F433" s="3">
        <v>11.750843048095703</v>
      </c>
      <c r="G433" s="3">
        <v>230600</v>
      </c>
      <c r="H433" s="3">
        <v>0</v>
      </c>
      <c r="I433" s="3">
        <v>0</v>
      </c>
      <c r="J433" s="3" t="str">
        <v>AB</v>
      </c>
      <c r="K433" s="23">
        <v>42622</v>
      </c>
      <c r="L433" s="22">
        <v>11.697647094726563</v>
      </c>
    </row>
    <row r="434" spans="1:12" x14ac:dyDescent="0.25">
      <c r="A434" s="9">
        <v>427</v>
      </c>
      <c r="B434" s="10">
        <v>42626</v>
      </c>
      <c r="C434" s="3">
        <v>11.548700156749559</v>
      </c>
      <c r="D434" s="3">
        <v>11.782759781389315</v>
      </c>
      <c r="E434" s="3">
        <v>11.463587750447816</v>
      </c>
      <c r="F434" s="3">
        <v>11.665730476379395</v>
      </c>
      <c r="G434" s="3">
        <v>239700</v>
      </c>
      <c r="H434" s="3">
        <v>0</v>
      </c>
      <c r="I434" s="3">
        <v>0</v>
      </c>
      <c r="J434" s="3" t="str">
        <v>AB</v>
      </c>
      <c r="K434" s="23">
        <v>42625</v>
      </c>
      <c r="L434" s="22">
        <v>11.750843048095703</v>
      </c>
    </row>
    <row r="435" spans="1:12" x14ac:dyDescent="0.25">
      <c r="A435" s="9">
        <v>428</v>
      </c>
      <c r="B435" s="10">
        <v>42627</v>
      </c>
      <c r="C435" s="3">
        <v>11.70296573638916</v>
      </c>
      <c r="D435" s="3">
        <v>11.745521934845783</v>
      </c>
      <c r="E435" s="3">
        <v>11.623172991110467</v>
      </c>
      <c r="F435" s="3">
        <v>11.70296573638916</v>
      </c>
      <c r="G435" s="3">
        <v>175500</v>
      </c>
      <c r="H435" s="3">
        <v>0</v>
      </c>
      <c r="I435" s="3">
        <v>0</v>
      </c>
      <c r="J435" s="3" t="str">
        <v>AB</v>
      </c>
      <c r="K435" s="23">
        <v>42626</v>
      </c>
      <c r="L435" s="22">
        <v>11.665730476379395</v>
      </c>
    </row>
    <row r="436" spans="1:12" x14ac:dyDescent="0.25">
      <c r="A436" s="9">
        <v>429</v>
      </c>
      <c r="B436" s="10">
        <v>42628</v>
      </c>
      <c r="C436" s="3">
        <v>11.702967827819364</v>
      </c>
      <c r="D436" s="3">
        <v>12.155128151363655</v>
      </c>
      <c r="E436" s="3">
        <v>11.702967827819364</v>
      </c>
      <c r="F436" s="3">
        <v>12.091293334960938</v>
      </c>
      <c r="G436" s="3">
        <v>333200</v>
      </c>
      <c r="H436" s="3">
        <v>0</v>
      </c>
      <c r="I436" s="3">
        <v>0</v>
      </c>
      <c r="J436" s="3" t="str">
        <v>AB</v>
      </c>
      <c r="K436" s="23">
        <v>42627</v>
      </c>
      <c r="L436" s="22">
        <v>11.70296573638916</v>
      </c>
    </row>
    <row r="437" spans="1:12" x14ac:dyDescent="0.25">
      <c r="A437" s="9">
        <v>430</v>
      </c>
      <c r="B437" s="10">
        <v>42629</v>
      </c>
      <c r="C437" s="3">
        <v>12.075337412780364</v>
      </c>
      <c r="D437" s="3">
        <v>12.133851571770929</v>
      </c>
      <c r="E437" s="3">
        <v>11.974266025985525</v>
      </c>
      <c r="F437" s="3">
        <v>12.080656051635742</v>
      </c>
      <c r="G437" s="3">
        <v>262700</v>
      </c>
      <c r="H437" s="3">
        <v>0</v>
      </c>
      <c r="I437" s="3">
        <v>0</v>
      </c>
      <c r="J437" s="3" t="str">
        <v>AB</v>
      </c>
      <c r="K437" s="23">
        <v>42628</v>
      </c>
      <c r="L437" s="22">
        <v>12.091293334960938</v>
      </c>
    </row>
    <row r="438" spans="1:12" x14ac:dyDescent="0.25">
      <c r="A438" s="9">
        <v>431</v>
      </c>
      <c r="B438" s="10">
        <v>42632</v>
      </c>
      <c r="C438" s="3">
        <v>12.128526850339782</v>
      </c>
      <c r="D438" s="3">
        <v>12.351947129854343</v>
      </c>
      <c r="E438" s="3">
        <v>11.968941371237836</v>
      </c>
      <c r="F438" s="3">
        <v>12.10724925994873</v>
      </c>
      <c r="G438" s="3">
        <v>300500</v>
      </c>
      <c r="H438" s="3">
        <v>0</v>
      </c>
      <c r="I438" s="3">
        <v>0</v>
      </c>
      <c r="J438" s="3" t="str">
        <v>AB</v>
      </c>
      <c r="K438" s="23">
        <v>42629</v>
      </c>
      <c r="L438" s="22">
        <v>12.080656051635742</v>
      </c>
    </row>
    <row r="439" spans="1:12" x14ac:dyDescent="0.25">
      <c r="A439" s="9">
        <v>432</v>
      </c>
      <c r="B439" s="10">
        <v>42633</v>
      </c>
      <c r="C439" s="3">
        <v>12.085972447546659</v>
      </c>
      <c r="D439" s="3">
        <v>12.176404503016036</v>
      </c>
      <c r="E439" s="3">
        <v>11.968943146488595</v>
      </c>
      <c r="F439" s="3">
        <v>12.016819000244141</v>
      </c>
      <c r="G439" s="3">
        <v>223300</v>
      </c>
      <c r="H439" s="3">
        <v>0</v>
      </c>
      <c r="I439" s="3">
        <v>0</v>
      </c>
      <c r="J439" s="3" t="str">
        <v>AB</v>
      </c>
      <c r="K439" s="23">
        <v>42632</v>
      </c>
      <c r="L439" s="22">
        <v>12.10724925994873</v>
      </c>
    </row>
    <row r="440" spans="1:12" x14ac:dyDescent="0.25">
      <c r="A440" s="9">
        <v>433</v>
      </c>
      <c r="B440" s="10">
        <v>42634</v>
      </c>
      <c r="C440" s="3">
        <v>12.107250218783983</v>
      </c>
      <c r="D440" s="3">
        <v>12.234918815100217</v>
      </c>
      <c r="E440" s="3">
        <v>12.027457472913813</v>
      </c>
      <c r="F440" s="3">
        <v>12.208321571350098</v>
      </c>
      <c r="G440" s="3">
        <v>163300</v>
      </c>
      <c r="H440" s="3">
        <v>0</v>
      </c>
      <c r="I440" s="3">
        <v>0</v>
      </c>
      <c r="J440" s="3" t="str">
        <v>AB</v>
      </c>
      <c r="K440" s="23">
        <v>42633</v>
      </c>
      <c r="L440" s="22">
        <v>12.016819000244141</v>
      </c>
    </row>
    <row r="441" spans="1:12" x14ac:dyDescent="0.25">
      <c r="A441" s="9">
        <v>434</v>
      </c>
      <c r="B441" s="10">
        <v>42635</v>
      </c>
      <c r="C441" s="3">
        <v>12.218961094151775</v>
      </c>
      <c r="D441" s="3">
        <v>12.320032456925752</v>
      </c>
      <c r="E441" s="3">
        <v>12.20300315213793</v>
      </c>
      <c r="F441" s="3">
        <v>12.282795906066895</v>
      </c>
      <c r="G441" s="3">
        <v>205800</v>
      </c>
      <c r="H441" s="3">
        <v>0</v>
      </c>
      <c r="I441" s="3">
        <v>0</v>
      </c>
      <c r="J441" s="3" t="str">
        <v>AB</v>
      </c>
      <c r="K441" s="23">
        <v>42634</v>
      </c>
      <c r="L441" s="22">
        <v>12.208321571350098</v>
      </c>
    </row>
    <row r="442" spans="1:12" x14ac:dyDescent="0.25">
      <c r="A442" s="9">
        <v>435</v>
      </c>
      <c r="B442" s="10">
        <v>42636</v>
      </c>
      <c r="C442" s="3">
        <v>12.245559355208039</v>
      </c>
      <c r="D442" s="3">
        <v>12.3147128047145</v>
      </c>
      <c r="E442" s="3">
        <v>12.208322804349182</v>
      </c>
      <c r="F442" s="3">
        <v>12.282795906066895</v>
      </c>
      <c r="G442" s="3">
        <v>140600</v>
      </c>
      <c r="H442" s="3">
        <v>0</v>
      </c>
      <c r="I442" s="3">
        <v>0</v>
      </c>
      <c r="J442" s="3" t="str">
        <v>AB</v>
      </c>
      <c r="K442" s="23">
        <v>42635</v>
      </c>
      <c r="L442" s="22">
        <v>12.282795906066895</v>
      </c>
    </row>
    <row r="443" spans="1:12" x14ac:dyDescent="0.25">
      <c r="A443" s="9">
        <v>436</v>
      </c>
      <c r="B443" s="10">
        <v>42639</v>
      </c>
      <c r="C443" s="3">
        <v>12.23492018058629</v>
      </c>
      <c r="D443" s="3">
        <v>12.314712935361781</v>
      </c>
      <c r="E443" s="3">
        <v>11.835955392088911</v>
      </c>
      <c r="F443" s="3">
        <v>11.857234001159668</v>
      </c>
      <c r="G443" s="3">
        <v>183000</v>
      </c>
      <c r="H443" s="3">
        <v>0</v>
      </c>
      <c r="I443" s="3">
        <v>0</v>
      </c>
      <c r="J443" s="3" t="str">
        <v>AB</v>
      </c>
      <c r="K443" s="23">
        <v>42636</v>
      </c>
      <c r="L443" s="22">
        <v>12.282795906066895</v>
      </c>
    </row>
    <row r="444" spans="1:12" x14ac:dyDescent="0.25">
      <c r="A444" s="9">
        <v>437</v>
      </c>
      <c r="B444" s="10">
        <v>42640</v>
      </c>
      <c r="C444" s="3">
        <v>11.835958422542154</v>
      </c>
      <c r="D444" s="3">
        <v>11.883834290589467</v>
      </c>
      <c r="E444" s="3">
        <v>11.702970125659657</v>
      </c>
      <c r="F444" s="3">
        <v>11.841278076171875</v>
      </c>
      <c r="G444" s="3">
        <v>191100</v>
      </c>
      <c r="H444" s="3">
        <v>0</v>
      </c>
      <c r="I444" s="3">
        <v>0</v>
      </c>
      <c r="J444" s="3" t="str">
        <v>AB</v>
      </c>
      <c r="K444" s="23">
        <v>42639</v>
      </c>
      <c r="L444" s="22">
        <v>11.857234001159668</v>
      </c>
    </row>
    <row r="445" spans="1:12" x14ac:dyDescent="0.25">
      <c r="A445" s="9">
        <v>438</v>
      </c>
      <c r="B445" s="10">
        <v>42641</v>
      </c>
      <c r="C445" s="3">
        <v>11.841274318079106</v>
      </c>
      <c r="D445" s="3">
        <v>11.968942920813399</v>
      </c>
      <c r="E445" s="3">
        <v>11.830635014196282</v>
      </c>
      <c r="F445" s="3">
        <v>11.835954666137695</v>
      </c>
      <c r="G445" s="3">
        <v>284500</v>
      </c>
      <c r="H445" s="3">
        <v>0</v>
      </c>
      <c r="I445" s="3">
        <v>0</v>
      </c>
      <c r="J445" s="3" t="str">
        <v>AB</v>
      </c>
      <c r="K445" s="23">
        <v>42640</v>
      </c>
      <c r="L445" s="22">
        <v>11.841278076171875</v>
      </c>
    </row>
    <row r="446" spans="1:12" x14ac:dyDescent="0.25">
      <c r="A446" s="9">
        <v>439</v>
      </c>
      <c r="B446" s="10">
        <v>42642</v>
      </c>
      <c r="C446" s="3">
        <v>11.846594760188026</v>
      </c>
      <c r="D446" s="3">
        <v>11.878511659345488</v>
      </c>
      <c r="E446" s="3">
        <v>11.660410988299615</v>
      </c>
      <c r="F446" s="3">
        <v>11.750843048095703</v>
      </c>
      <c r="G446" s="3">
        <v>262200</v>
      </c>
      <c r="H446" s="3">
        <v>0</v>
      </c>
      <c r="I446" s="3">
        <v>0</v>
      </c>
      <c r="J446" s="3" t="str">
        <v>AB</v>
      </c>
      <c r="K446" s="23">
        <v>42641</v>
      </c>
      <c r="L446" s="22">
        <v>11.835954666137695</v>
      </c>
    </row>
    <row r="447" spans="1:12" x14ac:dyDescent="0.25">
      <c r="A447" s="9">
        <v>440</v>
      </c>
      <c r="B447" s="10">
        <v>42643</v>
      </c>
      <c r="C447" s="3">
        <v>11.819996809685696</v>
      </c>
      <c r="D447" s="3">
        <v>12.224281263256525</v>
      </c>
      <c r="E447" s="3">
        <v>11.819996809685696</v>
      </c>
      <c r="F447" s="3">
        <v>12.12852954864502</v>
      </c>
      <c r="G447" s="3">
        <v>201500</v>
      </c>
      <c r="H447" s="3">
        <v>0</v>
      </c>
      <c r="I447" s="3">
        <v>0</v>
      </c>
      <c r="J447" s="3" t="str">
        <v>AB</v>
      </c>
      <c r="K447" s="23">
        <v>42642</v>
      </c>
      <c r="L447" s="22">
        <v>11.750843048095703</v>
      </c>
    </row>
    <row r="448" spans="1:12" x14ac:dyDescent="0.25">
      <c r="A448" s="9">
        <v>441</v>
      </c>
      <c r="B448" s="10">
        <v>42646</v>
      </c>
      <c r="C448" s="3">
        <v>12.144489515090896</v>
      </c>
      <c r="D448" s="3">
        <v>12.362590209997817</v>
      </c>
      <c r="E448" s="3">
        <v>12.04341813964475</v>
      </c>
      <c r="F448" s="3">
        <v>12.117892265319824</v>
      </c>
      <c r="G448" s="3">
        <v>169200</v>
      </c>
      <c r="H448" s="3">
        <v>0</v>
      </c>
      <c r="I448" s="3">
        <v>0</v>
      </c>
      <c r="J448" s="3" t="str">
        <v>AB</v>
      </c>
      <c r="K448" s="23">
        <v>42643</v>
      </c>
      <c r="L448" s="22">
        <v>12.12852954864502</v>
      </c>
    </row>
    <row r="449" spans="1:12" x14ac:dyDescent="0.25">
      <c r="A449" s="9">
        <v>442</v>
      </c>
      <c r="B449" s="10">
        <v>42647</v>
      </c>
      <c r="C449" s="3">
        <v>12.08597605541798</v>
      </c>
      <c r="D449" s="3">
        <v>12.149810884354459</v>
      </c>
      <c r="E449" s="3">
        <v>11.750845993706971</v>
      </c>
      <c r="F449" s="3">
        <v>11.841278076171875</v>
      </c>
      <c r="G449" s="3">
        <v>147300</v>
      </c>
      <c r="H449" s="3">
        <v>0</v>
      </c>
      <c r="I449" s="3">
        <v>0</v>
      </c>
      <c r="J449" s="3" t="str">
        <v>AB</v>
      </c>
      <c r="K449" s="23">
        <v>42646</v>
      </c>
      <c r="L449" s="22">
        <v>12.117892265319824</v>
      </c>
    </row>
    <row r="450" spans="1:12" x14ac:dyDescent="0.25">
      <c r="A450" s="9">
        <v>443</v>
      </c>
      <c r="B450" s="10">
        <v>42648</v>
      </c>
      <c r="C450" s="3">
        <v>11.873194607595744</v>
      </c>
      <c r="D450" s="3">
        <v>12.043419459879242</v>
      </c>
      <c r="E450" s="3">
        <v>11.873194607595744</v>
      </c>
      <c r="F450" s="3">
        <v>11.979585647583008</v>
      </c>
      <c r="G450" s="3">
        <v>115300</v>
      </c>
      <c r="H450" s="3">
        <v>0</v>
      </c>
      <c r="I450" s="3">
        <v>0</v>
      </c>
      <c r="J450" s="3" t="str">
        <v>AB</v>
      </c>
      <c r="K450" s="23">
        <v>42647</v>
      </c>
      <c r="L450" s="22">
        <v>11.841278076171875</v>
      </c>
    </row>
    <row r="451" spans="1:12" x14ac:dyDescent="0.25">
      <c r="A451" s="9">
        <v>444</v>
      </c>
      <c r="B451" s="10">
        <v>42649</v>
      </c>
      <c r="C451" s="3">
        <v>11.942347853645755</v>
      </c>
      <c r="D451" s="3">
        <v>12.048737868016691</v>
      </c>
      <c r="E451" s="3">
        <v>11.825317518831664</v>
      </c>
      <c r="F451" s="3">
        <v>12.011501312255859</v>
      </c>
      <c r="G451" s="3">
        <v>98900</v>
      </c>
      <c r="H451" s="3">
        <v>0</v>
      </c>
      <c r="I451" s="3">
        <v>0</v>
      </c>
      <c r="J451" s="3" t="str">
        <v>AB</v>
      </c>
      <c r="K451" s="23">
        <v>42648</v>
      </c>
      <c r="L451" s="22">
        <v>11.979585647583008</v>
      </c>
    </row>
    <row r="452" spans="1:12" x14ac:dyDescent="0.25">
      <c r="A452" s="9">
        <v>445</v>
      </c>
      <c r="B452" s="10">
        <v>42650</v>
      </c>
      <c r="C452" s="3">
        <v>12.027461514115259</v>
      </c>
      <c r="D452" s="3">
        <v>12.027461514115259</v>
      </c>
      <c r="E452" s="3">
        <v>11.756165275305877</v>
      </c>
      <c r="F452" s="3">
        <v>11.979585647583008</v>
      </c>
      <c r="G452" s="3">
        <v>121100</v>
      </c>
      <c r="H452" s="3">
        <v>0</v>
      </c>
      <c r="I452" s="3">
        <v>0</v>
      </c>
      <c r="J452" s="3" t="str">
        <v>AB</v>
      </c>
      <c r="K452" s="23">
        <v>42649</v>
      </c>
      <c r="L452" s="22">
        <v>12.011501312255859</v>
      </c>
    </row>
    <row r="453" spans="1:12" x14ac:dyDescent="0.25">
      <c r="A453" s="9">
        <v>446</v>
      </c>
      <c r="B453" s="10">
        <v>42653</v>
      </c>
      <c r="C453" s="3">
        <v>12.022138425607654</v>
      </c>
      <c r="D453" s="3">
        <v>12.144487376400535</v>
      </c>
      <c r="E453" s="3">
        <v>11.825315362254871</v>
      </c>
      <c r="F453" s="3">
        <v>11.835954666137695</v>
      </c>
      <c r="G453" s="3">
        <v>100400</v>
      </c>
      <c r="H453" s="3">
        <v>0</v>
      </c>
      <c r="I453" s="3">
        <v>0</v>
      </c>
      <c r="J453" s="3" t="str">
        <v>AB</v>
      </c>
      <c r="K453" s="23">
        <v>42650</v>
      </c>
      <c r="L453" s="22">
        <v>11.979585647583008</v>
      </c>
    </row>
    <row r="454" spans="1:12" x14ac:dyDescent="0.25">
      <c r="A454" s="9">
        <v>447</v>
      </c>
      <c r="B454" s="10">
        <v>42654</v>
      </c>
      <c r="C454" s="3">
        <v>11.835956661460813</v>
      </c>
      <c r="D454" s="3">
        <v>11.915749424793844</v>
      </c>
      <c r="E454" s="3">
        <v>11.490187343937649</v>
      </c>
      <c r="F454" s="3">
        <v>11.623175621032715</v>
      </c>
      <c r="G454" s="3">
        <v>215200</v>
      </c>
      <c r="H454" s="3">
        <v>0</v>
      </c>
      <c r="I454" s="3">
        <v>0</v>
      </c>
      <c r="J454" s="3" t="str">
        <v>AB</v>
      </c>
      <c r="K454" s="23">
        <v>42653</v>
      </c>
      <c r="L454" s="22">
        <v>11.835954666137695</v>
      </c>
    </row>
    <row r="455" spans="1:12" x14ac:dyDescent="0.25">
      <c r="A455" s="9">
        <v>448</v>
      </c>
      <c r="B455" s="10">
        <v>42655</v>
      </c>
      <c r="C455" s="3">
        <v>11.516784077836348</v>
      </c>
      <c r="D455" s="3">
        <v>11.809358883117264</v>
      </c>
      <c r="E455" s="3">
        <v>11.516784077836348</v>
      </c>
      <c r="F455" s="3">
        <v>11.782760620117188</v>
      </c>
      <c r="G455" s="3">
        <v>130400</v>
      </c>
      <c r="H455" s="3">
        <v>0</v>
      </c>
      <c r="I455" s="3">
        <v>0</v>
      </c>
      <c r="J455" s="3" t="str">
        <v>AB</v>
      </c>
      <c r="K455" s="23">
        <v>42654</v>
      </c>
      <c r="L455" s="22">
        <v>11.623175621032715</v>
      </c>
    </row>
    <row r="456" spans="1:12" x14ac:dyDescent="0.25">
      <c r="A456" s="9">
        <v>449</v>
      </c>
      <c r="B456" s="10">
        <v>42656</v>
      </c>
      <c r="C456" s="3">
        <v>11.649772870603714</v>
      </c>
      <c r="D456" s="3">
        <v>11.756163898127779</v>
      </c>
      <c r="E456" s="3">
        <v>11.468908732584822</v>
      </c>
      <c r="F456" s="3">
        <v>11.623175621032715</v>
      </c>
      <c r="G456" s="3">
        <v>125400</v>
      </c>
      <c r="H456" s="3">
        <v>0</v>
      </c>
      <c r="I456" s="3">
        <v>0</v>
      </c>
      <c r="J456" s="3" t="str">
        <v>AB</v>
      </c>
      <c r="K456" s="23">
        <v>42655</v>
      </c>
      <c r="L456" s="22">
        <v>11.782760620117188</v>
      </c>
    </row>
    <row r="457" spans="1:12" x14ac:dyDescent="0.25">
      <c r="A457" s="9">
        <v>450</v>
      </c>
      <c r="B457" s="10">
        <v>42657</v>
      </c>
      <c r="C457" s="3">
        <v>11.70296786912756</v>
      </c>
      <c r="D457" s="3">
        <v>11.809358891967625</v>
      </c>
      <c r="E457" s="3">
        <v>11.569979597887475</v>
      </c>
      <c r="F457" s="3">
        <v>11.676370620727539</v>
      </c>
      <c r="G457" s="3">
        <v>140800</v>
      </c>
      <c r="H457" s="3">
        <v>0</v>
      </c>
      <c r="I457" s="3">
        <v>0</v>
      </c>
      <c r="J457" s="3" t="str">
        <v>AB</v>
      </c>
      <c r="K457" s="23">
        <v>42656</v>
      </c>
      <c r="L457" s="22">
        <v>11.623175621032715</v>
      </c>
    </row>
    <row r="458" spans="1:12" x14ac:dyDescent="0.25">
      <c r="A458" s="9">
        <v>451</v>
      </c>
      <c r="B458" s="10">
        <v>42660</v>
      </c>
      <c r="C458" s="3">
        <v>11.676371134794747</v>
      </c>
      <c r="D458" s="3">
        <v>11.782761147698778</v>
      </c>
      <c r="E458" s="3">
        <v>11.596577356841681</v>
      </c>
      <c r="F458" s="3">
        <v>11.623175621032715</v>
      </c>
      <c r="G458" s="3">
        <v>119300</v>
      </c>
      <c r="H458" s="3">
        <v>0</v>
      </c>
      <c r="I458" s="3">
        <v>0</v>
      </c>
      <c r="J458" s="3" t="str">
        <v>AB</v>
      </c>
      <c r="K458" s="23">
        <v>42657</v>
      </c>
      <c r="L458" s="22">
        <v>11.676370620727539</v>
      </c>
    </row>
    <row r="459" spans="1:12" x14ac:dyDescent="0.25">
      <c r="A459" s="9">
        <v>452</v>
      </c>
      <c r="B459" s="10">
        <v>42661</v>
      </c>
      <c r="C459" s="3">
        <v>11.702967712086238</v>
      </c>
      <c r="D459" s="3">
        <v>11.756163222792445</v>
      </c>
      <c r="E459" s="3">
        <v>11.596576690673828</v>
      </c>
      <c r="F459" s="3">
        <v>11.596576690673828</v>
      </c>
      <c r="G459" s="3">
        <v>116500</v>
      </c>
      <c r="H459" s="3">
        <v>0</v>
      </c>
      <c r="I459" s="3">
        <v>0</v>
      </c>
      <c r="J459" s="3" t="str">
        <v>AB</v>
      </c>
      <c r="K459" s="23">
        <v>42660</v>
      </c>
      <c r="L459" s="22">
        <v>11.623175621032715</v>
      </c>
    </row>
    <row r="460" spans="1:12" x14ac:dyDescent="0.25">
      <c r="A460" s="9">
        <v>453</v>
      </c>
      <c r="B460" s="10">
        <v>42662</v>
      </c>
      <c r="C460" s="3">
        <v>11.70296573638916</v>
      </c>
      <c r="D460" s="3">
        <v>11.835953983393582</v>
      </c>
      <c r="E460" s="3">
        <v>11.64977023466343</v>
      </c>
      <c r="F460" s="3">
        <v>11.70296573638916</v>
      </c>
      <c r="G460" s="3">
        <v>146900</v>
      </c>
      <c r="H460" s="3">
        <v>0</v>
      </c>
      <c r="I460" s="3">
        <v>0</v>
      </c>
      <c r="J460" s="3" t="str">
        <v>AB</v>
      </c>
      <c r="K460" s="23">
        <v>42661</v>
      </c>
      <c r="L460" s="22">
        <v>11.596576690673828</v>
      </c>
    </row>
    <row r="461" spans="1:12" x14ac:dyDescent="0.25">
      <c r="A461" s="9">
        <v>454</v>
      </c>
      <c r="B461" s="10">
        <v>42663</v>
      </c>
      <c r="C461" s="3">
        <v>11.623172991110467</v>
      </c>
      <c r="D461" s="3">
        <v>11.75616123811489</v>
      </c>
      <c r="E461" s="3">
        <v>11.5965747329377</v>
      </c>
      <c r="F461" s="3">
        <v>11.70296573638916</v>
      </c>
      <c r="G461" s="3">
        <v>173900</v>
      </c>
      <c r="H461" s="3">
        <v>0</v>
      </c>
      <c r="I461" s="3">
        <v>0</v>
      </c>
      <c r="J461" s="3" t="str">
        <v>AB</v>
      </c>
      <c r="K461" s="23">
        <v>42662</v>
      </c>
      <c r="L461" s="22">
        <v>11.70296573638916</v>
      </c>
    </row>
    <row r="462" spans="1:12" x14ac:dyDescent="0.25">
      <c r="A462" s="9">
        <v>455</v>
      </c>
      <c r="B462" s="10">
        <v>42664</v>
      </c>
      <c r="C462" s="3">
        <v>11.649772357707528</v>
      </c>
      <c r="D462" s="3">
        <v>11.915748900187699</v>
      </c>
      <c r="E462" s="3">
        <v>11.649772357707528</v>
      </c>
      <c r="F462" s="3">
        <v>11.676370620727539</v>
      </c>
      <c r="G462" s="3">
        <v>159300</v>
      </c>
      <c r="H462" s="3">
        <v>0</v>
      </c>
      <c r="I462" s="3">
        <v>0</v>
      </c>
      <c r="J462" s="3" t="str">
        <v>AB</v>
      </c>
      <c r="K462" s="23">
        <v>42663</v>
      </c>
      <c r="L462" s="22">
        <v>11.70296573638916</v>
      </c>
    </row>
    <row r="463" spans="1:12" x14ac:dyDescent="0.25">
      <c r="A463" s="9">
        <v>456</v>
      </c>
      <c r="B463" s="10">
        <v>42667</v>
      </c>
      <c r="C463" s="3">
        <v>11.702965282683444</v>
      </c>
      <c r="D463" s="3">
        <v>11.835953524532119</v>
      </c>
      <c r="E463" s="3">
        <v>11.543379798312939</v>
      </c>
      <c r="F463" s="3">
        <v>11.64976978302002</v>
      </c>
      <c r="G463" s="3">
        <v>174500</v>
      </c>
      <c r="H463" s="3">
        <v>0</v>
      </c>
      <c r="I463" s="3">
        <v>0</v>
      </c>
      <c r="J463" s="3" t="str">
        <v>AB</v>
      </c>
      <c r="K463" s="23">
        <v>42664</v>
      </c>
      <c r="L463" s="22">
        <v>11.676370620727539</v>
      </c>
    </row>
    <row r="464" spans="1:12" x14ac:dyDescent="0.25">
      <c r="A464" s="9">
        <v>457</v>
      </c>
      <c r="B464" s="10">
        <v>42668</v>
      </c>
      <c r="C464" s="3">
        <v>11.649771467713476</v>
      </c>
      <c r="D464" s="3">
        <v>11.702966975069593</v>
      </c>
      <c r="E464" s="3">
        <v>11.490185960265038</v>
      </c>
      <c r="F464" s="3">
        <v>11.569978713989258</v>
      </c>
      <c r="G464" s="3">
        <v>301100</v>
      </c>
      <c r="H464" s="3">
        <v>0</v>
      </c>
      <c r="I464" s="3">
        <v>0</v>
      </c>
      <c r="J464" s="3" t="str">
        <v>AB</v>
      </c>
      <c r="K464" s="23">
        <v>42667</v>
      </c>
      <c r="L464" s="22">
        <v>11.64976978302002</v>
      </c>
    </row>
    <row r="465" spans="1:12" x14ac:dyDescent="0.25">
      <c r="A465" s="9">
        <v>458</v>
      </c>
      <c r="B465" s="10">
        <v>42669</v>
      </c>
      <c r="C465" s="3">
        <v>11.862550237878029</v>
      </c>
      <c r="D465" s="3">
        <v>12.176402555809863</v>
      </c>
      <c r="E465" s="3">
        <v>11.809355755207323</v>
      </c>
      <c r="F465" s="3">
        <v>11.915745735168457</v>
      </c>
      <c r="G465" s="3">
        <v>273200</v>
      </c>
      <c r="H465" s="3">
        <v>0</v>
      </c>
      <c r="I465" s="3">
        <v>0</v>
      </c>
      <c r="J465" s="3" t="str">
        <v>AB</v>
      </c>
      <c r="K465" s="23">
        <v>42668</v>
      </c>
      <c r="L465" s="22">
        <v>11.569978713989258</v>
      </c>
    </row>
    <row r="466" spans="1:12" x14ac:dyDescent="0.25">
      <c r="A466" s="9">
        <v>459</v>
      </c>
      <c r="B466" s="10">
        <v>42670</v>
      </c>
      <c r="C466" s="3">
        <v>11.995540743598369</v>
      </c>
      <c r="D466" s="3">
        <v>11.995540743598369</v>
      </c>
      <c r="E466" s="3">
        <v>11.543381467621154</v>
      </c>
      <c r="F466" s="3">
        <v>11.569978713989258</v>
      </c>
      <c r="G466" s="3">
        <v>212900</v>
      </c>
      <c r="H466" s="3">
        <v>0</v>
      </c>
      <c r="I466" s="3">
        <v>0</v>
      </c>
      <c r="J466" s="3" t="str">
        <v>AB</v>
      </c>
      <c r="K466" s="23">
        <v>42669</v>
      </c>
      <c r="L466" s="22">
        <v>11.915745735168457</v>
      </c>
    </row>
    <row r="467" spans="1:12" x14ac:dyDescent="0.25">
      <c r="A467" s="9">
        <v>460</v>
      </c>
      <c r="B467" s="10">
        <v>42671</v>
      </c>
      <c r="C467" s="3">
        <v>11.543382194587599</v>
      </c>
      <c r="D467" s="3">
        <v>11.702967712086238</v>
      </c>
      <c r="E467" s="3">
        <v>11.543382194587599</v>
      </c>
      <c r="F467" s="3">
        <v>11.596576690673828</v>
      </c>
      <c r="G467" s="3">
        <v>367600</v>
      </c>
      <c r="H467" s="3">
        <v>0</v>
      </c>
      <c r="I467" s="3">
        <v>0</v>
      </c>
      <c r="J467" s="3" t="str">
        <v>AB</v>
      </c>
      <c r="K467" s="23">
        <v>42670</v>
      </c>
      <c r="L467" s="22">
        <v>11.569978713989258</v>
      </c>
    </row>
    <row r="468" spans="1:12" x14ac:dyDescent="0.25">
      <c r="A468" s="9">
        <v>461</v>
      </c>
      <c r="B468" s="10">
        <v>42674</v>
      </c>
      <c r="C468" s="3">
        <v>11.623174953336919</v>
      </c>
      <c r="D468" s="3">
        <v>11.729564960129354</v>
      </c>
      <c r="E468" s="3">
        <v>11.506144626859273</v>
      </c>
      <c r="F468" s="3">
        <v>11.596576690673828</v>
      </c>
      <c r="G468" s="3">
        <v>157400</v>
      </c>
      <c r="H468" s="3">
        <v>0</v>
      </c>
      <c r="I468" s="3">
        <v>0</v>
      </c>
      <c r="J468" s="3" t="str">
        <v>AB</v>
      </c>
      <c r="K468" s="23">
        <v>42671</v>
      </c>
      <c r="L468" s="22">
        <v>11.596576690673828</v>
      </c>
    </row>
    <row r="469" spans="1:12" x14ac:dyDescent="0.25">
      <c r="A469" s="9">
        <v>462</v>
      </c>
      <c r="B469" s="10">
        <v>42675</v>
      </c>
      <c r="C469" s="3">
        <v>11.596576022720807</v>
      </c>
      <c r="D469" s="3">
        <v>11.62317428385186</v>
      </c>
      <c r="E469" s="3">
        <v>11.410393267903022</v>
      </c>
      <c r="F469" s="3">
        <v>11.463587760925293</v>
      </c>
      <c r="G469" s="3">
        <v>222900</v>
      </c>
      <c r="H469" s="3">
        <v>0</v>
      </c>
      <c r="I469" s="3">
        <v>0</v>
      </c>
      <c r="J469" s="3" t="str">
        <v>AB</v>
      </c>
      <c r="K469" s="23">
        <v>42674</v>
      </c>
      <c r="L469" s="22">
        <v>11.596576690673828</v>
      </c>
    </row>
    <row r="470" spans="1:12" x14ac:dyDescent="0.25">
      <c r="A470" s="9">
        <v>463</v>
      </c>
      <c r="B470" s="10">
        <v>42676</v>
      </c>
      <c r="C470" s="3">
        <v>11.410392595246057</v>
      </c>
      <c r="D470" s="3">
        <v>11.463587085132447</v>
      </c>
      <c r="E470" s="3">
        <v>11.277404341290367</v>
      </c>
      <c r="F470" s="3">
        <v>11.330598831176758</v>
      </c>
      <c r="G470" s="3">
        <v>209700</v>
      </c>
      <c r="H470" s="3">
        <v>0</v>
      </c>
      <c r="I470" s="3">
        <v>0</v>
      </c>
      <c r="J470" s="3" t="str">
        <v>AB</v>
      </c>
      <c r="K470" s="23">
        <v>42675</v>
      </c>
      <c r="L470" s="22">
        <v>11.463587760925293</v>
      </c>
    </row>
    <row r="471" spans="1:12" x14ac:dyDescent="0.25">
      <c r="A471" s="9">
        <v>464</v>
      </c>
      <c r="B471" s="10">
        <v>42677</v>
      </c>
      <c r="C471" s="3">
        <v>11.384943809041163</v>
      </c>
      <c r="D471" s="3">
        <v>11.602317222633635</v>
      </c>
      <c r="E471" s="3">
        <v>11.276256583985827</v>
      </c>
      <c r="F471" s="3">
        <v>11.412115097045898</v>
      </c>
      <c r="G471" s="3">
        <v>245500</v>
      </c>
      <c r="H471" s="3">
        <v>0.45</v>
      </c>
      <c r="I471" s="3">
        <v>0</v>
      </c>
      <c r="J471" s="3" t="str">
        <v>AB</v>
      </c>
      <c r="K471" s="23">
        <v>42676</v>
      </c>
      <c r="L471" s="22">
        <v>11.330598831176758</v>
      </c>
    </row>
    <row r="472" spans="1:12" x14ac:dyDescent="0.25">
      <c r="A472" s="9">
        <v>465</v>
      </c>
      <c r="B472" s="10">
        <v>42678</v>
      </c>
      <c r="C472" s="3">
        <v>11.384942707568387</v>
      </c>
      <c r="D472" s="3">
        <v>11.738174600046378</v>
      </c>
      <c r="E472" s="3">
        <v>11.330599100298366</v>
      </c>
      <c r="F472" s="3">
        <v>11.439285278320313</v>
      </c>
      <c r="G472" s="3">
        <v>254700</v>
      </c>
      <c r="H472" s="3">
        <v>0</v>
      </c>
      <c r="I472" s="3">
        <v>0</v>
      </c>
      <c r="J472" s="3" t="str">
        <v>AB</v>
      </c>
      <c r="K472" s="23">
        <v>42677</v>
      </c>
      <c r="L472" s="22">
        <v>11.412115097045898</v>
      </c>
    </row>
    <row r="473" spans="1:12" x14ac:dyDescent="0.25">
      <c r="A473" s="9">
        <v>466</v>
      </c>
      <c r="B473" s="10">
        <v>42681</v>
      </c>
      <c r="C473" s="3">
        <v>11.547973218384996</v>
      </c>
      <c r="D473" s="3">
        <v>11.73274087280061</v>
      </c>
      <c r="E473" s="3">
        <v>11.439285997016462</v>
      </c>
      <c r="F473" s="3">
        <v>11.466458320617676</v>
      </c>
      <c r="G473" s="3">
        <v>188200</v>
      </c>
      <c r="H473" s="3">
        <v>0</v>
      </c>
      <c r="I473" s="3">
        <v>0</v>
      </c>
      <c r="J473" s="3" t="str">
        <v>AB</v>
      </c>
      <c r="K473" s="23">
        <v>42678</v>
      </c>
      <c r="L473" s="22">
        <v>11.439285278320313</v>
      </c>
    </row>
    <row r="474" spans="1:12" x14ac:dyDescent="0.25">
      <c r="A474" s="9">
        <v>467</v>
      </c>
      <c r="B474" s="10">
        <v>42682</v>
      </c>
      <c r="C474" s="3">
        <v>11.412112613150722</v>
      </c>
      <c r="D474" s="3">
        <v>11.493627495941061</v>
      </c>
      <c r="E474" s="3">
        <v>11.330597730360383</v>
      </c>
      <c r="F474" s="3">
        <v>11.357769012451172</v>
      </c>
      <c r="G474" s="3">
        <v>241600</v>
      </c>
      <c r="H474" s="3">
        <v>0</v>
      </c>
      <c r="I474" s="3">
        <v>0</v>
      </c>
      <c r="J474" s="3" t="str">
        <v>AB</v>
      </c>
      <c r="K474" s="23">
        <v>42681</v>
      </c>
      <c r="L474" s="22">
        <v>11.466458320617676</v>
      </c>
    </row>
    <row r="475" spans="1:12" x14ac:dyDescent="0.25">
      <c r="A475" s="9">
        <v>468</v>
      </c>
      <c r="B475" s="10">
        <v>42683</v>
      </c>
      <c r="C475" s="3">
        <v>11.357769163848392</v>
      </c>
      <c r="D475" s="3">
        <v>11.819688221174918</v>
      </c>
      <c r="E475" s="3">
        <v>11.281688743765665</v>
      </c>
      <c r="F475" s="3">
        <v>11.765344619750977</v>
      </c>
      <c r="G475" s="3">
        <v>321500</v>
      </c>
      <c r="H475" s="3">
        <v>0</v>
      </c>
      <c r="I475" s="3">
        <v>0</v>
      </c>
      <c r="J475" s="3" t="str">
        <v>AB</v>
      </c>
      <c r="K475" s="23">
        <v>42682</v>
      </c>
      <c r="L475" s="22">
        <v>11.357769012451172</v>
      </c>
    </row>
    <row r="476" spans="1:12" x14ac:dyDescent="0.25">
      <c r="A476" s="9">
        <v>469</v>
      </c>
      <c r="B476" s="10">
        <v>42684</v>
      </c>
      <c r="C476" s="3">
        <v>11.874036613092526</v>
      </c>
      <c r="D476" s="3">
        <v>12.444642066955566</v>
      </c>
      <c r="E476" s="3">
        <v>11.841430853690799</v>
      </c>
      <c r="F476" s="3">
        <v>12.444642066955566</v>
      </c>
      <c r="G476" s="3">
        <v>492300</v>
      </c>
      <c r="H476" s="3">
        <v>0</v>
      </c>
      <c r="I476" s="3">
        <v>0</v>
      </c>
      <c r="J476" s="3" t="str">
        <v>AB</v>
      </c>
      <c r="K476" s="23">
        <v>42683</v>
      </c>
      <c r="L476" s="22">
        <v>11.765344619750977</v>
      </c>
    </row>
    <row r="477" spans="1:12" x14ac:dyDescent="0.25">
      <c r="A477" s="9">
        <v>470</v>
      </c>
      <c r="B477" s="10">
        <v>42685</v>
      </c>
      <c r="C477" s="3">
        <v>12.33595694538965</v>
      </c>
      <c r="D477" s="3">
        <v>12.558764887914018</v>
      </c>
      <c r="E477" s="3">
        <v>12.227269689101352</v>
      </c>
      <c r="F477" s="3">
        <v>12.553330421447754</v>
      </c>
      <c r="G477" s="3">
        <v>342800</v>
      </c>
      <c r="H477" s="3">
        <v>0</v>
      </c>
      <c r="I477" s="3">
        <v>0</v>
      </c>
      <c r="J477" s="3" t="str">
        <v>AB</v>
      </c>
      <c r="K477" s="23">
        <v>42684</v>
      </c>
      <c r="L477" s="22">
        <v>12.444642066955566</v>
      </c>
    </row>
    <row r="478" spans="1:12" x14ac:dyDescent="0.25">
      <c r="A478" s="9">
        <v>471</v>
      </c>
      <c r="B478" s="10">
        <v>42688</v>
      </c>
      <c r="C478" s="3">
        <v>12.634837860173993</v>
      </c>
      <c r="D478" s="3">
        <v>13.042413275018315</v>
      </c>
      <c r="E478" s="3">
        <v>12.580494264224509</v>
      </c>
      <c r="F478" s="3">
        <v>12.960898399353027</v>
      </c>
      <c r="G478" s="3">
        <v>528600</v>
      </c>
      <c r="H478" s="3">
        <v>0</v>
      </c>
      <c r="I478" s="3">
        <v>0</v>
      </c>
      <c r="J478" s="3" t="str">
        <v>AB</v>
      </c>
      <c r="K478" s="23">
        <v>42685</v>
      </c>
      <c r="L478" s="22">
        <v>12.553330421447754</v>
      </c>
    </row>
    <row r="479" spans="1:12" x14ac:dyDescent="0.25">
      <c r="A479" s="9">
        <v>472</v>
      </c>
      <c r="B479" s="10">
        <v>42689</v>
      </c>
      <c r="C479" s="3">
        <v>12.87938750488545</v>
      </c>
      <c r="D479" s="3">
        <v>12.906558793000276</v>
      </c>
      <c r="E479" s="3">
        <v>12.498983252168689</v>
      </c>
      <c r="F479" s="3">
        <v>12.662013053894043</v>
      </c>
      <c r="G479" s="3">
        <v>247600</v>
      </c>
      <c r="H479" s="3">
        <v>0</v>
      </c>
      <c r="I479" s="3">
        <v>0</v>
      </c>
      <c r="J479" s="3" t="str">
        <v>AB</v>
      </c>
      <c r="K479" s="23">
        <v>42688</v>
      </c>
      <c r="L479" s="22">
        <v>12.960898399353027</v>
      </c>
    </row>
    <row r="480" spans="1:12" x14ac:dyDescent="0.25">
      <c r="A480" s="9">
        <v>473</v>
      </c>
      <c r="B480" s="10">
        <v>42690</v>
      </c>
      <c r="C480" s="3">
        <v>12.526149964778872</v>
      </c>
      <c r="D480" s="3">
        <v>12.879382800353255</v>
      </c>
      <c r="E480" s="3">
        <v>12.526149964778872</v>
      </c>
      <c r="F480" s="3">
        <v>12.63483715057373</v>
      </c>
      <c r="G480" s="3">
        <v>183500</v>
      </c>
      <c r="H480" s="3">
        <v>0</v>
      </c>
      <c r="I480" s="3">
        <v>0</v>
      </c>
      <c r="J480" s="3" t="str">
        <v>AB</v>
      </c>
      <c r="K480" s="23">
        <v>42689</v>
      </c>
      <c r="L480" s="22">
        <v>12.662013053894043</v>
      </c>
    </row>
    <row r="481" spans="1:12" x14ac:dyDescent="0.25">
      <c r="A481" s="9">
        <v>474</v>
      </c>
      <c r="B481" s="10">
        <v>42691</v>
      </c>
      <c r="C481" s="3">
        <v>12.770700279389747</v>
      </c>
      <c r="D481" s="3">
        <v>12.960902405748127</v>
      </c>
      <c r="E481" s="3">
        <v>12.634841765779218</v>
      </c>
      <c r="F481" s="3">
        <v>12.662013053894043</v>
      </c>
      <c r="G481" s="3">
        <v>317100</v>
      </c>
      <c r="H481" s="3">
        <v>0</v>
      </c>
      <c r="I481" s="3">
        <v>0</v>
      </c>
      <c r="J481" s="3" t="str">
        <v>AB</v>
      </c>
      <c r="K481" s="23">
        <v>42690</v>
      </c>
      <c r="L481" s="22">
        <v>12.63483715057373</v>
      </c>
    </row>
    <row r="482" spans="1:12" x14ac:dyDescent="0.25">
      <c r="A482" s="9">
        <v>475</v>
      </c>
      <c r="B482" s="10">
        <v>42692</v>
      </c>
      <c r="C482" s="3">
        <v>12.716356666641895</v>
      </c>
      <c r="D482" s="3">
        <v>12.87938750488545</v>
      </c>
      <c r="E482" s="3">
        <v>12.607670477664392</v>
      </c>
      <c r="F482" s="3">
        <v>12.662013053894043</v>
      </c>
      <c r="G482" s="3">
        <v>207400</v>
      </c>
      <c r="H482" s="3">
        <v>0</v>
      </c>
      <c r="I482" s="3">
        <v>0</v>
      </c>
      <c r="J482" s="3" t="str">
        <v>AB</v>
      </c>
      <c r="K482" s="23">
        <v>42691</v>
      </c>
      <c r="L482" s="22">
        <v>12.662013053894043</v>
      </c>
    </row>
    <row r="483" spans="1:12" x14ac:dyDescent="0.25">
      <c r="A483" s="9">
        <v>476</v>
      </c>
      <c r="B483" s="10">
        <v>42695</v>
      </c>
      <c r="C483" s="3">
        <v>12.662015118839918</v>
      </c>
      <c r="D483" s="3">
        <v>12.770702362060547</v>
      </c>
      <c r="E483" s="3">
        <v>12.526156583073316</v>
      </c>
      <c r="F483" s="3">
        <v>12.770702362060547</v>
      </c>
      <c r="G483" s="3">
        <v>214400</v>
      </c>
      <c r="H483" s="3">
        <v>0</v>
      </c>
      <c r="I483" s="3">
        <v>0</v>
      </c>
      <c r="J483" s="3" t="str">
        <v>AB</v>
      </c>
      <c r="K483" s="23">
        <v>42692</v>
      </c>
      <c r="L483" s="22">
        <v>12.662013053894043</v>
      </c>
    </row>
    <row r="484" spans="1:12" x14ac:dyDescent="0.25">
      <c r="A484" s="9">
        <v>477</v>
      </c>
      <c r="B484" s="10">
        <v>42696</v>
      </c>
      <c r="C484" s="3">
        <v>12.689182905221596</v>
      </c>
      <c r="D484" s="3">
        <v>13.015243481636578</v>
      </c>
      <c r="E484" s="3">
        <v>12.553324418091853</v>
      </c>
      <c r="F484" s="3">
        <v>12.879384994506836</v>
      </c>
      <c r="G484" s="3">
        <v>359600</v>
      </c>
      <c r="H484" s="3">
        <v>0</v>
      </c>
      <c r="I484" s="3">
        <v>0</v>
      </c>
      <c r="J484" s="3" t="str">
        <v>AB</v>
      </c>
      <c r="K484" s="23">
        <v>42695</v>
      </c>
      <c r="L484" s="22">
        <v>12.770702362060547</v>
      </c>
    </row>
    <row r="485" spans="1:12" x14ac:dyDescent="0.25">
      <c r="A485" s="9">
        <v>478</v>
      </c>
      <c r="B485" s="10">
        <v>42697</v>
      </c>
      <c r="C485" s="3">
        <v>12.770700279389747</v>
      </c>
      <c r="D485" s="3">
        <v>12.852215180252424</v>
      </c>
      <c r="E485" s="3">
        <v>12.607670477664392</v>
      </c>
      <c r="F485" s="3">
        <v>12.662013053894043</v>
      </c>
      <c r="G485" s="3">
        <v>311000</v>
      </c>
      <c r="H485" s="3">
        <v>0</v>
      </c>
      <c r="I485" s="3">
        <v>0</v>
      </c>
      <c r="J485" s="3" t="str">
        <v>AB</v>
      </c>
      <c r="K485" s="23">
        <v>42696</v>
      </c>
      <c r="L485" s="22">
        <v>12.879384994506836</v>
      </c>
    </row>
    <row r="486" spans="1:12" x14ac:dyDescent="0.25">
      <c r="A486" s="9">
        <v>479</v>
      </c>
      <c r="B486" s="10">
        <v>42699</v>
      </c>
      <c r="C486" s="3">
        <v>12.66201156099336</v>
      </c>
      <c r="D486" s="3">
        <v>13.042415768858978</v>
      </c>
      <c r="E486" s="3">
        <v>12.66201156099336</v>
      </c>
      <c r="F486" s="3">
        <v>13.015244483947754</v>
      </c>
      <c r="G486" s="3">
        <v>166500</v>
      </c>
      <c r="H486" s="3">
        <v>0</v>
      </c>
      <c r="I486" s="3">
        <v>0</v>
      </c>
      <c r="J486" s="3" t="str">
        <v>AB</v>
      </c>
      <c r="K486" s="23">
        <v>42697</v>
      </c>
      <c r="L486" s="22">
        <v>12.662013053894043</v>
      </c>
    </row>
    <row r="487" spans="1:12" x14ac:dyDescent="0.25">
      <c r="A487" s="9">
        <v>480</v>
      </c>
      <c r="B487" s="10">
        <v>42702</v>
      </c>
      <c r="C487" s="3">
        <v>12.879389036444518</v>
      </c>
      <c r="D487" s="3">
        <v>12.933731619136346</v>
      </c>
      <c r="E487" s="3">
        <v>12.58049964904785</v>
      </c>
      <c r="F487" s="3">
        <v>12.580499649047852</v>
      </c>
      <c r="G487" s="3">
        <v>213000</v>
      </c>
      <c r="H487" s="3">
        <v>0</v>
      </c>
      <c r="I487" s="3">
        <v>0</v>
      </c>
      <c r="J487" s="3" t="str">
        <v>AB</v>
      </c>
      <c r="K487" s="23">
        <v>42699</v>
      </c>
      <c r="L487" s="22">
        <v>13.015244483947754</v>
      </c>
    </row>
    <row r="488" spans="1:12" x14ac:dyDescent="0.25">
      <c r="A488" s="9">
        <v>481</v>
      </c>
      <c r="B488" s="10">
        <v>42703</v>
      </c>
      <c r="C488" s="3">
        <v>12.634843010928687</v>
      </c>
      <c r="D488" s="3">
        <v>12.743530247135396</v>
      </c>
      <c r="E488" s="3">
        <v>12.254438720723513</v>
      </c>
      <c r="F488" s="3">
        <v>12.335954666137695</v>
      </c>
      <c r="G488" s="3">
        <v>288100</v>
      </c>
      <c r="H488" s="3">
        <v>0</v>
      </c>
      <c r="I488" s="3">
        <v>0</v>
      </c>
      <c r="J488" s="3" t="str">
        <v>AB</v>
      </c>
      <c r="K488" s="23">
        <v>42702</v>
      </c>
      <c r="L488" s="22">
        <v>12.580499649047852</v>
      </c>
    </row>
    <row r="489" spans="1:12" x14ac:dyDescent="0.25">
      <c r="A489" s="9">
        <v>482</v>
      </c>
      <c r="B489" s="10">
        <v>42704</v>
      </c>
      <c r="C489" s="3">
        <v>12.363123474068372</v>
      </c>
      <c r="D489" s="3">
        <v>12.553325580973043</v>
      </c>
      <c r="E489" s="3">
        <v>12.118577759974068</v>
      </c>
      <c r="F489" s="3">
        <v>12.281608581542969</v>
      </c>
      <c r="G489" s="3">
        <v>353700</v>
      </c>
      <c r="H489" s="3">
        <v>0</v>
      </c>
      <c r="I489" s="3">
        <v>0</v>
      </c>
      <c r="J489" s="3" t="str">
        <v>AB</v>
      </c>
      <c r="K489" s="23">
        <v>42703</v>
      </c>
      <c r="L489" s="22">
        <v>12.335954666137695</v>
      </c>
    </row>
    <row r="490" spans="1:12" x14ac:dyDescent="0.25">
      <c r="A490" s="9">
        <v>483</v>
      </c>
      <c r="B490" s="10">
        <v>42705</v>
      </c>
      <c r="C490" s="3">
        <v>12.281612233428527</v>
      </c>
      <c r="D490" s="3">
        <v>12.71092468119288</v>
      </c>
      <c r="E490" s="3">
        <v>12.281612233428527</v>
      </c>
      <c r="F490" s="3">
        <v>12.444642066955566</v>
      </c>
      <c r="G490" s="3">
        <v>333300</v>
      </c>
      <c r="H490" s="3">
        <v>0</v>
      </c>
      <c r="I490" s="3">
        <v>0</v>
      </c>
      <c r="J490" s="3" t="str">
        <v>AB</v>
      </c>
      <c r="K490" s="23">
        <v>42704</v>
      </c>
      <c r="L490" s="22">
        <v>12.281608581542969</v>
      </c>
    </row>
    <row r="491" spans="1:12" x14ac:dyDescent="0.25">
      <c r="A491" s="9">
        <v>484</v>
      </c>
      <c r="B491" s="10">
        <v>42706</v>
      </c>
      <c r="C491" s="3">
        <v>12.526151603091675</v>
      </c>
      <c r="D491" s="3">
        <v>12.580495203096779</v>
      </c>
      <c r="E491" s="3">
        <v>12.341383984985091</v>
      </c>
      <c r="F491" s="3">
        <v>12.390293121337891</v>
      </c>
      <c r="G491" s="3">
        <v>225400</v>
      </c>
      <c r="H491" s="3">
        <v>0</v>
      </c>
      <c r="I491" s="3">
        <v>0</v>
      </c>
      <c r="J491" s="3" t="str">
        <v>AB</v>
      </c>
      <c r="K491" s="23">
        <v>42705</v>
      </c>
      <c r="L491" s="22">
        <v>12.444642066955566</v>
      </c>
    </row>
    <row r="492" spans="1:12" x14ac:dyDescent="0.25">
      <c r="A492" s="9">
        <v>485</v>
      </c>
      <c r="B492" s="10">
        <v>42709</v>
      </c>
      <c r="C492" s="3">
        <v>12.390298443607087</v>
      </c>
      <c r="D492" s="3">
        <v>12.607672937001009</v>
      </c>
      <c r="E492" s="3">
        <v>12.390298443607087</v>
      </c>
      <c r="F492" s="3">
        <v>12.444642066955566</v>
      </c>
      <c r="G492" s="3">
        <v>210600</v>
      </c>
      <c r="H492" s="3">
        <v>0</v>
      </c>
      <c r="I492" s="3">
        <v>0</v>
      </c>
      <c r="J492" s="3" t="str">
        <v>AB</v>
      </c>
      <c r="K492" s="23">
        <v>42706</v>
      </c>
      <c r="L492" s="22">
        <v>12.390293121337891</v>
      </c>
    </row>
    <row r="493" spans="1:12" x14ac:dyDescent="0.25">
      <c r="A493" s="9">
        <v>486</v>
      </c>
      <c r="B493" s="10">
        <v>42710</v>
      </c>
      <c r="C493" s="3">
        <v>12.390297101925251</v>
      </c>
      <c r="D493" s="3">
        <v>12.580499244789715</v>
      </c>
      <c r="E493" s="3">
        <v>12.281610903515764</v>
      </c>
      <c r="F493" s="3">
        <v>12.498984336853027</v>
      </c>
      <c r="G493" s="3">
        <v>252400</v>
      </c>
      <c r="H493" s="3">
        <v>0</v>
      </c>
      <c r="I493" s="3">
        <v>0</v>
      </c>
      <c r="J493" s="3" t="str">
        <v>AB</v>
      </c>
      <c r="K493" s="23">
        <v>42709</v>
      </c>
      <c r="L493" s="22">
        <v>12.444642066955566</v>
      </c>
    </row>
    <row r="494" spans="1:12" x14ac:dyDescent="0.25">
      <c r="A494" s="9">
        <v>487</v>
      </c>
      <c r="B494" s="10">
        <v>42711</v>
      </c>
      <c r="C494" s="3">
        <v>12.417466297514567</v>
      </c>
      <c r="D494" s="3">
        <v>12.90655665831555</v>
      </c>
      <c r="E494" s="3">
        <v>12.417466297514567</v>
      </c>
      <c r="F494" s="3">
        <v>12.825041770935059</v>
      </c>
      <c r="G494" s="3">
        <v>252400</v>
      </c>
      <c r="H494" s="3">
        <v>0</v>
      </c>
      <c r="I494" s="3">
        <v>0</v>
      </c>
      <c r="J494" s="3" t="str">
        <v>AB</v>
      </c>
      <c r="K494" s="23">
        <v>42710</v>
      </c>
      <c r="L494" s="22">
        <v>12.498984336853027</v>
      </c>
    </row>
    <row r="495" spans="1:12" x14ac:dyDescent="0.25">
      <c r="A495" s="9">
        <v>488</v>
      </c>
      <c r="B495" s="10">
        <v>42712</v>
      </c>
      <c r="C495" s="3">
        <v>12.145752378115187</v>
      </c>
      <c r="D495" s="3">
        <v>12.623973931457169</v>
      </c>
      <c r="E495" s="3">
        <v>11.982721525723521</v>
      </c>
      <c r="F495" s="3">
        <v>12.498984336853027</v>
      </c>
      <c r="G495" s="3">
        <v>1270800</v>
      </c>
      <c r="H495" s="3">
        <v>0</v>
      </c>
      <c r="I495" s="3">
        <v>0</v>
      </c>
      <c r="J495" s="3" t="str">
        <v>AB</v>
      </c>
      <c r="K495" s="23">
        <v>42711</v>
      </c>
      <c r="L495" s="22">
        <v>12.825041770935059</v>
      </c>
    </row>
    <row r="496" spans="1:12" x14ac:dyDescent="0.25">
      <c r="A496" s="9">
        <v>489</v>
      </c>
      <c r="B496" s="10">
        <v>42713</v>
      </c>
      <c r="C496" s="3">
        <v>12.553327169928327</v>
      </c>
      <c r="D496" s="3">
        <v>12.689185686839851</v>
      </c>
      <c r="E496" s="3">
        <v>12.335953750173537</v>
      </c>
      <c r="F496" s="3">
        <v>12.607670783996582</v>
      </c>
      <c r="G496" s="3">
        <v>624800</v>
      </c>
      <c r="H496" s="3">
        <v>0</v>
      </c>
      <c r="I496" s="3">
        <v>0</v>
      </c>
      <c r="J496" s="3" t="str">
        <v>AB</v>
      </c>
      <c r="K496" s="23">
        <v>42712</v>
      </c>
      <c r="L496" s="22">
        <v>12.498984336853027</v>
      </c>
    </row>
    <row r="497" spans="1:12" x14ac:dyDescent="0.25">
      <c r="A497" s="9">
        <v>490</v>
      </c>
      <c r="B497" s="10">
        <v>42716</v>
      </c>
      <c r="C497" s="3">
        <v>12.526152333464763</v>
      </c>
      <c r="D497" s="3">
        <v>12.662010823140164</v>
      </c>
      <c r="E497" s="3">
        <v>12.145749184284451</v>
      </c>
      <c r="F497" s="3">
        <v>12.417466163635254</v>
      </c>
      <c r="G497" s="3">
        <v>597000</v>
      </c>
      <c r="H497" s="3">
        <v>0</v>
      </c>
      <c r="I497" s="3">
        <v>0</v>
      </c>
      <c r="J497" s="3" t="str">
        <v>AB</v>
      </c>
      <c r="K497" s="23">
        <v>42713</v>
      </c>
      <c r="L497" s="22">
        <v>12.607670783996582</v>
      </c>
    </row>
    <row r="498" spans="1:12" x14ac:dyDescent="0.25">
      <c r="A498" s="9">
        <v>491</v>
      </c>
      <c r="B498" s="10">
        <v>42717</v>
      </c>
      <c r="C498" s="3">
        <v>12.335950557850744</v>
      </c>
      <c r="D498" s="3">
        <v>12.553323921353206</v>
      </c>
      <c r="E498" s="3">
        <v>12.281606957845639</v>
      </c>
      <c r="F498" s="3">
        <v>12.390293121337891</v>
      </c>
      <c r="G498" s="3">
        <v>326800</v>
      </c>
      <c r="H498" s="3">
        <v>0</v>
      </c>
      <c r="I498" s="3">
        <v>0</v>
      </c>
      <c r="J498" s="3" t="str">
        <v>AB</v>
      </c>
      <c r="K498" s="23">
        <v>42716</v>
      </c>
      <c r="L498" s="22">
        <v>12.417466163635254</v>
      </c>
    </row>
    <row r="499" spans="1:12" x14ac:dyDescent="0.25">
      <c r="A499" s="9">
        <v>492</v>
      </c>
      <c r="B499" s="10">
        <v>42718</v>
      </c>
      <c r="C499" s="3">
        <v>12.363124826219346</v>
      </c>
      <c r="D499" s="3">
        <v>12.444639727660007</v>
      </c>
      <c r="E499" s="3">
        <v>12.118579085379151</v>
      </c>
      <c r="F499" s="3">
        <v>12.227266311645508</v>
      </c>
      <c r="G499" s="3">
        <v>427800</v>
      </c>
      <c r="H499" s="3">
        <v>0</v>
      </c>
      <c r="I499" s="3">
        <v>0</v>
      </c>
      <c r="J499" s="3" t="str">
        <v>AB</v>
      </c>
      <c r="K499" s="23">
        <v>42717</v>
      </c>
      <c r="L499" s="22">
        <v>12.390293121337891</v>
      </c>
    </row>
    <row r="500" spans="1:12" x14ac:dyDescent="0.25">
      <c r="A500" s="9">
        <v>493</v>
      </c>
      <c r="B500" s="10">
        <v>42719</v>
      </c>
      <c r="C500" s="3">
        <v>12.22726574501422</v>
      </c>
      <c r="D500" s="3">
        <v>12.444639150955284</v>
      </c>
      <c r="E500" s="3">
        <v>12.118578523784606</v>
      </c>
      <c r="F500" s="3">
        <v>12.172922134399414</v>
      </c>
      <c r="G500" s="3">
        <v>482500</v>
      </c>
      <c r="H500" s="3">
        <v>0</v>
      </c>
      <c r="I500" s="3">
        <v>0</v>
      </c>
      <c r="J500" s="3" t="str">
        <v>AB</v>
      </c>
      <c r="K500" s="23">
        <v>42718</v>
      </c>
      <c r="L500" s="22">
        <v>12.227266311645508</v>
      </c>
    </row>
    <row r="501" spans="1:12" x14ac:dyDescent="0.25">
      <c r="A501" s="9">
        <v>494</v>
      </c>
      <c r="B501" s="10">
        <v>42720</v>
      </c>
      <c r="C501" s="3">
        <v>12.009892339073154</v>
      </c>
      <c r="D501" s="3">
        <v>12.363124253292156</v>
      </c>
      <c r="E501" s="3">
        <v>12.009892339073154</v>
      </c>
      <c r="F501" s="3">
        <v>12.172922134399414</v>
      </c>
      <c r="G501" s="3">
        <v>283700</v>
      </c>
      <c r="H501" s="3">
        <v>0</v>
      </c>
      <c r="I501" s="3">
        <v>0</v>
      </c>
      <c r="J501" s="3" t="str">
        <v>AB</v>
      </c>
      <c r="K501" s="23">
        <v>42719</v>
      </c>
      <c r="L501" s="22">
        <v>12.172922134399414</v>
      </c>
    </row>
    <row r="502" spans="1:12" x14ac:dyDescent="0.25">
      <c r="A502" s="9">
        <v>495</v>
      </c>
      <c r="B502" s="10">
        <v>42723</v>
      </c>
      <c r="C502" s="3">
        <v>12.172923104732783</v>
      </c>
      <c r="D502" s="3">
        <v>12.363125238787001</v>
      </c>
      <c r="E502" s="3">
        <v>12.118579489786114</v>
      </c>
      <c r="F502" s="3">
        <v>12.308781623840332</v>
      </c>
      <c r="G502" s="3">
        <v>263100</v>
      </c>
      <c r="H502" s="3">
        <v>0</v>
      </c>
      <c r="I502" s="3">
        <v>0</v>
      </c>
      <c r="J502" s="3" t="str">
        <v>AB</v>
      </c>
      <c r="K502" s="23">
        <v>42720</v>
      </c>
      <c r="L502" s="22">
        <v>12.172922134399414</v>
      </c>
    </row>
    <row r="503" spans="1:12" x14ac:dyDescent="0.25">
      <c r="A503" s="9">
        <v>496</v>
      </c>
      <c r="B503" s="10">
        <v>42724</v>
      </c>
      <c r="C503" s="3">
        <v>12.308781623840332</v>
      </c>
      <c r="D503" s="3">
        <v>12.542458442548236</v>
      </c>
      <c r="E503" s="3">
        <v>12.308781623840332</v>
      </c>
      <c r="F503" s="3">
        <v>12.308781623840332</v>
      </c>
      <c r="G503" s="3">
        <v>405900</v>
      </c>
      <c r="H503" s="3">
        <v>0</v>
      </c>
      <c r="I503" s="3">
        <v>0</v>
      </c>
      <c r="J503" s="3" t="str">
        <v>AB</v>
      </c>
      <c r="K503" s="23">
        <v>42723</v>
      </c>
      <c r="L503" s="22">
        <v>12.308781623840332</v>
      </c>
    </row>
    <row r="504" spans="1:12" x14ac:dyDescent="0.25">
      <c r="A504" s="9">
        <v>497</v>
      </c>
      <c r="B504" s="10">
        <v>42725</v>
      </c>
      <c r="C504" s="3">
        <v>12.254434981128156</v>
      </c>
      <c r="D504" s="3">
        <v>12.580495553728481</v>
      </c>
      <c r="E504" s="3">
        <v>12.254434981128156</v>
      </c>
      <c r="F504" s="3">
        <v>12.471809387207031</v>
      </c>
      <c r="G504" s="3">
        <v>387000</v>
      </c>
      <c r="H504" s="3">
        <v>0</v>
      </c>
      <c r="I504" s="3">
        <v>0</v>
      </c>
      <c r="J504" s="3" t="str">
        <v>AB</v>
      </c>
      <c r="K504" s="23">
        <v>42724</v>
      </c>
      <c r="L504" s="22">
        <v>12.308781623840332</v>
      </c>
    </row>
    <row r="505" spans="1:12" x14ac:dyDescent="0.25">
      <c r="A505" s="9">
        <v>498</v>
      </c>
      <c r="B505" s="10">
        <v>42726</v>
      </c>
      <c r="C505" s="3">
        <v>12.498983807017398</v>
      </c>
      <c r="D505" s="3">
        <v>12.960902981102125</v>
      </c>
      <c r="E505" s="3">
        <v>12.44464019185715</v>
      </c>
      <c r="F505" s="3">
        <v>12.716357231140137</v>
      </c>
      <c r="G505" s="3">
        <v>628400</v>
      </c>
      <c r="H505" s="3">
        <v>0</v>
      </c>
      <c r="I505" s="3">
        <v>0</v>
      </c>
      <c r="J505" s="3" t="str">
        <v>AB</v>
      </c>
      <c r="K505" s="23">
        <v>42725</v>
      </c>
      <c r="L505" s="22">
        <v>12.471809387207031</v>
      </c>
    </row>
    <row r="506" spans="1:12" x14ac:dyDescent="0.25">
      <c r="A506" s="9">
        <v>499</v>
      </c>
      <c r="B506" s="10">
        <v>42727</v>
      </c>
      <c r="C506" s="3">
        <v>12.79786907301459</v>
      </c>
      <c r="D506" s="3">
        <v>13.015243481636578</v>
      </c>
      <c r="E506" s="3">
        <v>12.553324418091853</v>
      </c>
      <c r="F506" s="3">
        <v>12.879384994506836</v>
      </c>
      <c r="G506" s="3">
        <v>207100</v>
      </c>
      <c r="H506" s="3">
        <v>0</v>
      </c>
      <c r="I506" s="3">
        <v>0</v>
      </c>
      <c r="J506" s="3" t="str">
        <v>AB</v>
      </c>
      <c r="K506" s="23">
        <v>42726</v>
      </c>
      <c r="L506" s="22">
        <v>12.716357231140137</v>
      </c>
    </row>
    <row r="507" spans="1:12" x14ac:dyDescent="0.25">
      <c r="A507" s="9">
        <v>500</v>
      </c>
      <c r="B507" s="10">
        <v>42731</v>
      </c>
      <c r="C507" s="3">
        <v>12.87938675028134</v>
      </c>
      <c r="D507" s="3">
        <v>13.042416542454768</v>
      </c>
      <c r="E507" s="3">
        <v>12.797870817676486</v>
      </c>
      <c r="F507" s="3">
        <v>12.906558036804199</v>
      </c>
      <c r="G507" s="3">
        <v>358800</v>
      </c>
      <c r="H507" s="3">
        <v>0</v>
      </c>
      <c r="I507" s="3">
        <v>0</v>
      </c>
      <c r="J507" s="3" t="str">
        <v>AB</v>
      </c>
      <c r="K507" s="23">
        <v>42727</v>
      </c>
      <c r="L507" s="22">
        <v>12.879384994506836</v>
      </c>
    </row>
    <row r="508" spans="1:12" x14ac:dyDescent="0.25">
      <c r="A508" s="9">
        <v>501</v>
      </c>
      <c r="B508" s="10">
        <v>42732</v>
      </c>
      <c r="C508" s="3">
        <v>12.906560897827148</v>
      </c>
      <c r="D508" s="3">
        <v>13.096763055204065</v>
      </c>
      <c r="E508" s="3">
        <v>12.662015118839918</v>
      </c>
      <c r="F508" s="3">
        <v>12.770702362060547</v>
      </c>
      <c r="G508" s="3">
        <v>320400</v>
      </c>
      <c r="H508" s="3">
        <v>0</v>
      </c>
      <c r="I508" s="3">
        <v>0</v>
      </c>
      <c r="J508" s="3" t="str">
        <v>AB</v>
      </c>
      <c r="K508" s="23">
        <v>42731</v>
      </c>
      <c r="L508" s="22">
        <v>12.906558036804199</v>
      </c>
    </row>
    <row r="509" spans="1:12" x14ac:dyDescent="0.25">
      <c r="A509" s="9">
        <v>502</v>
      </c>
      <c r="B509" s="10">
        <v>42733</v>
      </c>
      <c r="C509" s="3">
        <v>12.743526507377092</v>
      </c>
      <c r="D509" s="3">
        <v>13.004374553901879</v>
      </c>
      <c r="E509" s="3">
        <v>12.743526507377092</v>
      </c>
      <c r="F509" s="3">
        <v>12.879384994506836</v>
      </c>
      <c r="G509" s="3">
        <v>266500</v>
      </c>
      <c r="H509" s="3">
        <v>0</v>
      </c>
      <c r="I509" s="3">
        <v>0</v>
      </c>
      <c r="J509" s="3" t="str">
        <v>AB</v>
      </c>
      <c r="K509" s="23">
        <v>42732</v>
      </c>
      <c r="L509" s="22">
        <v>12.770702362060547</v>
      </c>
    </row>
    <row r="510" spans="1:12" x14ac:dyDescent="0.25">
      <c r="A510" s="9">
        <v>503</v>
      </c>
      <c r="B510" s="10">
        <v>42734</v>
      </c>
      <c r="C510" s="3">
        <v>12.933727510781555</v>
      </c>
      <c r="D510" s="3">
        <v>12.960899830014597</v>
      </c>
      <c r="E510" s="3">
        <v>12.727223067200409</v>
      </c>
      <c r="F510" s="3">
        <v>12.743526458740234</v>
      </c>
      <c r="G510" s="3">
        <v>218300</v>
      </c>
      <c r="H510" s="3">
        <v>0</v>
      </c>
      <c r="I510" s="3">
        <v>0</v>
      </c>
      <c r="J510" s="3" t="str">
        <v>AB</v>
      </c>
      <c r="K510" s="23">
        <v>42733</v>
      </c>
      <c r="L510" s="22">
        <v>12.879384994506836</v>
      </c>
    </row>
    <row r="511" spans="1:12" x14ac:dyDescent="0.25">
      <c r="A511" s="9">
        <v>504</v>
      </c>
      <c r="B511" s="10">
        <v>42738</v>
      </c>
      <c r="C511" s="3">
        <v>12.90656074219577</v>
      </c>
      <c r="D511" s="3">
        <v>13.205449102670856</v>
      </c>
      <c r="E511" s="3">
        <v>12.797873500285727</v>
      </c>
      <c r="F511" s="3">
        <v>13.06959056854248</v>
      </c>
      <c r="G511" s="3">
        <v>292500</v>
      </c>
      <c r="H511" s="3">
        <v>0</v>
      </c>
      <c r="I511" s="3">
        <v>0</v>
      </c>
      <c r="J511" s="3" t="str">
        <v>AB</v>
      </c>
      <c r="K511" s="23">
        <v>42734</v>
      </c>
      <c r="L511" s="22">
        <v>12.743526458740234</v>
      </c>
    </row>
    <row r="512" spans="1:12" x14ac:dyDescent="0.25">
      <c r="A512" s="9">
        <v>505</v>
      </c>
      <c r="B512" s="10">
        <v>42739</v>
      </c>
      <c r="C512" s="3">
        <v>13.205446783623911</v>
      </c>
      <c r="D512" s="3">
        <v>13.259790395035493</v>
      </c>
      <c r="E512" s="3">
        <v>13.069588273354043</v>
      </c>
      <c r="F512" s="3">
        <v>13.123931884765625</v>
      </c>
      <c r="G512" s="3">
        <v>428900</v>
      </c>
      <c r="H512" s="3">
        <v>0</v>
      </c>
      <c r="I512" s="3">
        <v>0</v>
      </c>
      <c r="J512" s="3" t="str">
        <v>AB</v>
      </c>
      <c r="K512" s="23">
        <v>42738</v>
      </c>
      <c r="L512" s="22">
        <v>13.06959056854248</v>
      </c>
    </row>
    <row r="513" spans="1:12" x14ac:dyDescent="0.25">
      <c r="A513" s="9">
        <v>506</v>
      </c>
      <c r="B513" s="10">
        <v>42740</v>
      </c>
      <c r="C513" s="3">
        <v>13.123933007139591</v>
      </c>
      <c r="D513" s="3">
        <v>13.259791529028238</v>
      </c>
      <c r="E513" s="3">
        <v>13.042418101310055</v>
      </c>
      <c r="F513" s="3">
        <v>13.232620239257813</v>
      </c>
      <c r="G513" s="3">
        <v>241000</v>
      </c>
      <c r="H513" s="3">
        <v>0</v>
      </c>
      <c r="I513" s="3">
        <v>0</v>
      </c>
      <c r="J513" s="3" t="str">
        <v>AB</v>
      </c>
      <c r="K513" s="23">
        <v>42739</v>
      </c>
      <c r="L513" s="22">
        <v>13.123931884765625</v>
      </c>
    </row>
    <row r="514" spans="1:12" x14ac:dyDescent="0.25">
      <c r="A514" s="9">
        <v>507</v>
      </c>
      <c r="B514" s="10">
        <v>42741</v>
      </c>
      <c r="C514" s="3">
        <v>13.259791529028238</v>
      </c>
      <c r="D514" s="3">
        <v>13.585852188864642</v>
      </c>
      <c r="E514" s="3">
        <v>13.205447912969126</v>
      </c>
      <c r="F514" s="3">
        <v>13.232620239257813</v>
      </c>
      <c r="G514" s="3">
        <v>492900</v>
      </c>
      <c r="H514" s="3">
        <v>0</v>
      </c>
      <c r="I514" s="3">
        <v>0</v>
      </c>
      <c r="J514" s="3" t="str">
        <v>AB</v>
      </c>
      <c r="K514" s="23">
        <v>42740</v>
      </c>
      <c r="L514" s="22">
        <v>13.232620239257813</v>
      </c>
    </row>
    <row r="515" spans="1:12" x14ac:dyDescent="0.25">
      <c r="A515" s="9">
        <v>508</v>
      </c>
      <c r="B515" s="10">
        <v>42744</v>
      </c>
      <c r="C515" s="3">
        <v>13.341301497963668</v>
      </c>
      <c r="D515" s="3">
        <v>13.341301497963668</v>
      </c>
      <c r="E515" s="3">
        <v>12.906554803403543</v>
      </c>
      <c r="F515" s="3">
        <v>12.960898399353027</v>
      </c>
      <c r="G515" s="3">
        <v>364700</v>
      </c>
      <c r="H515" s="3">
        <v>0</v>
      </c>
      <c r="I515" s="3">
        <v>0</v>
      </c>
      <c r="J515" s="3" t="str">
        <v>AB</v>
      </c>
      <c r="K515" s="23">
        <v>42741</v>
      </c>
      <c r="L515" s="22">
        <v>13.232620239257813</v>
      </c>
    </row>
    <row r="516" spans="1:12" x14ac:dyDescent="0.25">
      <c r="A516" s="9">
        <v>509</v>
      </c>
      <c r="B516" s="10">
        <v>42745</v>
      </c>
      <c r="C516" s="3">
        <v>13.015243725510622</v>
      </c>
      <c r="D516" s="3">
        <v>13.096758612012259</v>
      </c>
      <c r="E516" s="3">
        <v>12.281607673959853</v>
      </c>
      <c r="F516" s="3">
        <v>12.417466163635254</v>
      </c>
      <c r="G516" s="3">
        <v>1044600</v>
      </c>
      <c r="H516" s="3">
        <v>0</v>
      </c>
      <c r="I516" s="3">
        <v>0</v>
      </c>
      <c r="J516" s="3" t="str">
        <v>AB</v>
      </c>
      <c r="K516" s="23">
        <v>42744</v>
      </c>
      <c r="L516" s="22">
        <v>12.960898399353027</v>
      </c>
    </row>
    <row r="517" spans="1:12" x14ac:dyDescent="0.25">
      <c r="A517" s="9">
        <v>510</v>
      </c>
      <c r="B517" s="10">
        <v>42746</v>
      </c>
      <c r="C517" s="3">
        <v>12.390299537015306</v>
      </c>
      <c r="D517" s="3">
        <v>12.656583211269787</v>
      </c>
      <c r="E517" s="3">
        <v>12.363128241202478</v>
      </c>
      <c r="F517" s="3">
        <v>12.553330421447754</v>
      </c>
      <c r="G517" s="3">
        <v>243900</v>
      </c>
      <c r="H517" s="3">
        <v>0</v>
      </c>
      <c r="I517" s="3">
        <v>0</v>
      </c>
      <c r="J517" s="3" t="str">
        <v>AB</v>
      </c>
      <c r="K517" s="23">
        <v>42745</v>
      </c>
      <c r="L517" s="22">
        <v>12.417466163635254</v>
      </c>
    </row>
    <row r="518" spans="1:12" x14ac:dyDescent="0.25">
      <c r="A518" s="9">
        <v>511</v>
      </c>
      <c r="B518" s="10">
        <v>42747</v>
      </c>
      <c r="C518" s="3">
        <v>12.49898076823283</v>
      </c>
      <c r="D518" s="3">
        <v>12.770697741455281</v>
      </c>
      <c r="E518" s="3">
        <v>12.335950998906556</v>
      </c>
      <c r="F518" s="3">
        <v>12.743526458740234</v>
      </c>
      <c r="G518" s="3">
        <v>190300</v>
      </c>
      <c r="H518" s="3">
        <v>0</v>
      </c>
      <c r="I518" s="3">
        <v>0</v>
      </c>
      <c r="J518" s="3" t="str">
        <v>AB</v>
      </c>
      <c r="K518" s="23">
        <v>42746</v>
      </c>
      <c r="L518" s="22">
        <v>12.553330421447754</v>
      </c>
    </row>
    <row r="519" spans="1:12" x14ac:dyDescent="0.25">
      <c r="A519" s="9">
        <v>512</v>
      </c>
      <c r="B519" s="10">
        <v>42748</v>
      </c>
      <c r="C519" s="3">
        <v>12.79786907301459</v>
      </c>
      <c r="D519" s="3">
        <v>13.069586047274077</v>
      </c>
      <c r="E519" s="3">
        <v>12.743526507377092</v>
      </c>
      <c r="F519" s="3">
        <v>12.879384994506836</v>
      </c>
      <c r="G519" s="3">
        <v>259600</v>
      </c>
      <c r="H519" s="3">
        <v>0</v>
      </c>
      <c r="I519" s="3">
        <v>0</v>
      </c>
      <c r="J519" s="3" t="str">
        <v>AB</v>
      </c>
      <c r="K519" s="23">
        <v>42747</v>
      </c>
      <c r="L519" s="22">
        <v>12.743526458740234</v>
      </c>
    </row>
    <row r="520" spans="1:12" x14ac:dyDescent="0.25">
      <c r="A520" s="9">
        <v>513</v>
      </c>
      <c r="B520" s="10">
        <v>42752</v>
      </c>
      <c r="C520" s="3">
        <v>12.879389036444518</v>
      </c>
      <c r="D520" s="3">
        <v>12.906560327790432</v>
      </c>
      <c r="E520" s="3">
        <v>12.553328357701938</v>
      </c>
      <c r="F520" s="3">
        <v>12.580499649047852</v>
      </c>
      <c r="G520" s="3">
        <v>233100</v>
      </c>
      <c r="H520" s="3">
        <v>0</v>
      </c>
      <c r="I520" s="3">
        <v>0</v>
      </c>
      <c r="J520" s="3" t="str">
        <v>AB</v>
      </c>
      <c r="K520" s="23">
        <v>42748</v>
      </c>
      <c r="L520" s="22">
        <v>12.879384994506836</v>
      </c>
    </row>
    <row r="521" spans="1:12" x14ac:dyDescent="0.25">
      <c r="A521" s="9">
        <v>514</v>
      </c>
      <c r="B521" s="10">
        <v>42753</v>
      </c>
      <c r="C521" s="3">
        <v>12.607669495483632</v>
      </c>
      <c r="D521" s="3">
        <v>12.667446531983051</v>
      </c>
      <c r="E521" s="3">
        <v>12.444638669940739</v>
      </c>
      <c r="F521" s="3">
        <v>12.526153564453125</v>
      </c>
      <c r="G521" s="3">
        <v>198100</v>
      </c>
      <c r="H521" s="3">
        <v>0</v>
      </c>
      <c r="I521" s="3">
        <v>0</v>
      </c>
      <c r="J521" s="3" t="str">
        <v>AB</v>
      </c>
      <c r="K521" s="23">
        <v>42752</v>
      </c>
      <c r="L521" s="22">
        <v>12.580499649047852</v>
      </c>
    </row>
    <row r="522" spans="1:12" x14ac:dyDescent="0.25">
      <c r="A522" s="9">
        <v>515</v>
      </c>
      <c r="B522" s="10">
        <v>42754</v>
      </c>
      <c r="C522" s="3">
        <v>12.553330421447754</v>
      </c>
      <c r="D522" s="3">
        <v>12.580501717260582</v>
      </c>
      <c r="E522" s="3">
        <v>12.471815497490777</v>
      </c>
      <c r="F522" s="3">
        <v>12.553330421447754</v>
      </c>
      <c r="G522" s="3">
        <v>136500</v>
      </c>
      <c r="H522" s="3">
        <v>0</v>
      </c>
      <c r="I522" s="3">
        <v>0</v>
      </c>
      <c r="J522" s="3" t="str">
        <v>AB</v>
      </c>
      <c r="K522" s="23">
        <v>42753</v>
      </c>
      <c r="L522" s="22">
        <v>12.526153564453125</v>
      </c>
    </row>
    <row r="523" spans="1:12" x14ac:dyDescent="0.25">
      <c r="A523" s="9">
        <v>516</v>
      </c>
      <c r="B523" s="10">
        <v>42755</v>
      </c>
      <c r="C523" s="3">
        <v>12.553330421447754</v>
      </c>
      <c r="D523" s="3">
        <v>12.662016641217557</v>
      </c>
      <c r="E523" s="3">
        <v>12.471815497490777</v>
      </c>
      <c r="F523" s="3">
        <v>12.553330421447754</v>
      </c>
      <c r="G523" s="3">
        <v>175100</v>
      </c>
      <c r="H523" s="3">
        <v>0</v>
      </c>
      <c r="I523" s="3">
        <v>0</v>
      </c>
      <c r="J523" s="3" t="str">
        <v>AB</v>
      </c>
      <c r="K523" s="23">
        <v>42754</v>
      </c>
      <c r="L523" s="22">
        <v>12.553330421447754</v>
      </c>
    </row>
    <row r="524" spans="1:12" x14ac:dyDescent="0.25">
      <c r="A524" s="9">
        <v>517</v>
      </c>
      <c r="B524" s="10">
        <v>42758</v>
      </c>
      <c r="C524" s="3">
        <v>12.553330421447754</v>
      </c>
      <c r="D524" s="3">
        <v>12.662016641217557</v>
      </c>
      <c r="E524" s="3">
        <v>12.526158089116432</v>
      </c>
      <c r="F524" s="3">
        <v>12.553330421447754</v>
      </c>
      <c r="G524" s="3">
        <v>181000</v>
      </c>
      <c r="H524" s="3">
        <v>0</v>
      </c>
      <c r="I524" s="3">
        <v>0</v>
      </c>
      <c r="J524" s="3" t="str">
        <v>AB</v>
      </c>
      <c r="K524" s="23">
        <v>42755</v>
      </c>
      <c r="L524" s="22">
        <v>12.553330421447754</v>
      </c>
    </row>
    <row r="525" spans="1:12" x14ac:dyDescent="0.25">
      <c r="A525" s="9">
        <v>518</v>
      </c>
      <c r="B525" s="10">
        <v>42759</v>
      </c>
      <c r="C525" s="3">
        <v>12.607671037337891</v>
      </c>
      <c r="D525" s="3">
        <v>12.825044461460632</v>
      </c>
      <c r="E525" s="3">
        <v>12.580498711498644</v>
      </c>
      <c r="F525" s="3">
        <v>12.716357231140137</v>
      </c>
      <c r="G525" s="3">
        <v>204400</v>
      </c>
      <c r="H525" s="3">
        <v>0</v>
      </c>
      <c r="I525" s="3">
        <v>0</v>
      </c>
      <c r="J525" s="3" t="str">
        <v>AB</v>
      </c>
      <c r="K525" s="23">
        <v>42758</v>
      </c>
      <c r="L525" s="22">
        <v>12.553330421447754</v>
      </c>
    </row>
    <row r="526" spans="1:12" x14ac:dyDescent="0.25">
      <c r="A526" s="9">
        <v>519</v>
      </c>
      <c r="B526" s="10">
        <v>42760</v>
      </c>
      <c r="C526" s="3">
        <v>12.770697741455281</v>
      </c>
      <c r="D526" s="3">
        <v>12.841343698425202</v>
      </c>
      <c r="E526" s="3">
        <v>12.689182856792145</v>
      </c>
      <c r="F526" s="3">
        <v>12.743526458740234</v>
      </c>
      <c r="G526" s="3">
        <v>267300</v>
      </c>
      <c r="H526" s="3">
        <v>0</v>
      </c>
      <c r="I526" s="3">
        <v>0</v>
      </c>
      <c r="J526" s="3" t="str">
        <v>AB</v>
      </c>
      <c r="K526" s="23">
        <v>42759</v>
      </c>
      <c r="L526" s="22">
        <v>12.716357231140137</v>
      </c>
    </row>
    <row r="527" spans="1:12" x14ac:dyDescent="0.25">
      <c r="A527" s="9">
        <v>520</v>
      </c>
      <c r="B527" s="10">
        <v>42761</v>
      </c>
      <c r="C527" s="3">
        <v>12.743530669771369</v>
      </c>
      <c r="D527" s="3">
        <v>12.814176650085873</v>
      </c>
      <c r="E527" s="3">
        <v>12.662014721653732</v>
      </c>
      <c r="F527" s="3">
        <v>12.689187049865723</v>
      </c>
      <c r="G527" s="3">
        <v>254700</v>
      </c>
      <c r="H527" s="3">
        <v>0</v>
      </c>
      <c r="I527" s="3">
        <v>0</v>
      </c>
      <c r="J527" s="3" t="str">
        <v>AB</v>
      </c>
      <c r="K527" s="23">
        <v>42760</v>
      </c>
      <c r="L527" s="22">
        <v>12.743526458740234</v>
      </c>
    </row>
    <row r="528" spans="1:12" x14ac:dyDescent="0.25">
      <c r="A528" s="9">
        <v>521</v>
      </c>
      <c r="B528" s="10">
        <v>42762</v>
      </c>
      <c r="C528" s="3">
        <v>12.689186887468152</v>
      </c>
      <c r="D528" s="3">
        <v>12.743530506678303</v>
      </c>
      <c r="E528" s="3">
        <v>12.526156029837701</v>
      </c>
      <c r="F528" s="3">
        <v>12.580499649047852</v>
      </c>
      <c r="G528" s="3">
        <v>177100</v>
      </c>
      <c r="H528" s="3">
        <v>0</v>
      </c>
      <c r="I528" s="3">
        <v>0</v>
      </c>
      <c r="J528" s="3" t="str">
        <v>AB</v>
      </c>
      <c r="K528" s="23">
        <v>42761</v>
      </c>
      <c r="L528" s="22">
        <v>12.689187049865723</v>
      </c>
    </row>
    <row r="529" spans="1:12" x14ac:dyDescent="0.25">
      <c r="A529" s="9">
        <v>522</v>
      </c>
      <c r="B529" s="10">
        <v>42765</v>
      </c>
      <c r="C529" s="3">
        <v>12.580498153031366</v>
      </c>
      <c r="D529" s="3">
        <v>12.754396884609932</v>
      </c>
      <c r="E529" s="3">
        <v>12.498983252168689</v>
      </c>
      <c r="F529" s="3">
        <v>12.662013053894043</v>
      </c>
      <c r="G529" s="3">
        <v>256700</v>
      </c>
      <c r="H529" s="3">
        <v>0</v>
      </c>
      <c r="I529" s="3">
        <v>0</v>
      </c>
      <c r="J529" s="3" t="str">
        <v>AB</v>
      </c>
      <c r="K529" s="23">
        <v>42762</v>
      </c>
      <c r="L529" s="22">
        <v>12.580499649047852</v>
      </c>
    </row>
    <row r="530" spans="1:12" x14ac:dyDescent="0.25">
      <c r="A530" s="9">
        <v>523</v>
      </c>
      <c r="B530" s="10">
        <v>42766</v>
      </c>
      <c r="C530" s="3">
        <v>12.662014721653732</v>
      </c>
      <c r="D530" s="3">
        <v>12.797873253158679</v>
      </c>
      <c r="E530" s="3">
        <v>12.553328518360775</v>
      </c>
      <c r="F530" s="3">
        <v>12.689187049865723</v>
      </c>
      <c r="G530" s="3">
        <v>222500</v>
      </c>
      <c r="H530" s="3">
        <v>0</v>
      </c>
      <c r="I530" s="3">
        <v>0</v>
      </c>
      <c r="J530" s="3" t="str">
        <v>AB</v>
      </c>
      <c r="K530" s="23">
        <v>42765</v>
      </c>
      <c r="L530" s="22">
        <v>12.662013053894043</v>
      </c>
    </row>
    <row r="531" spans="1:12" x14ac:dyDescent="0.25">
      <c r="A531" s="9">
        <v>524</v>
      </c>
      <c r="B531" s="10">
        <v>42767</v>
      </c>
      <c r="C531" s="3">
        <v>12.743524336368591</v>
      </c>
      <c r="D531" s="3">
        <v>12.85221048564563</v>
      </c>
      <c r="E531" s="3">
        <v>12.580493557676302</v>
      </c>
      <c r="F531" s="3">
        <v>12.63483715057373</v>
      </c>
      <c r="G531" s="3">
        <v>306000</v>
      </c>
      <c r="H531" s="3">
        <v>0</v>
      </c>
      <c r="I531" s="3">
        <v>0</v>
      </c>
      <c r="J531" s="3" t="str">
        <v>AB</v>
      </c>
      <c r="K531" s="23">
        <v>42766</v>
      </c>
      <c r="L531" s="22">
        <v>12.689187049865723</v>
      </c>
    </row>
    <row r="532" spans="1:12" x14ac:dyDescent="0.25">
      <c r="A532" s="9">
        <v>525</v>
      </c>
      <c r="B532" s="10">
        <v>42768</v>
      </c>
      <c r="C532" s="3">
        <v>12.662010959656044</v>
      </c>
      <c r="D532" s="3">
        <v>12.87938537469473</v>
      </c>
      <c r="E532" s="3">
        <v>12.662010959656044</v>
      </c>
      <c r="F532" s="3">
        <v>12.825041770935059</v>
      </c>
      <c r="G532" s="3">
        <v>306900</v>
      </c>
      <c r="H532" s="3">
        <v>0</v>
      </c>
      <c r="I532" s="3">
        <v>0</v>
      </c>
      <c r="J532" s="3" t="str">
        <v>AB</v>
      </c>
      <c r="K532" s="23">
        <v>42767</v>
      </c>
      <c r="L532" s="22">
        <v>12.63483715057373</v>
      </c>
    </row>
    <row r="533" spans="1:12" x14ac:dyDescent="0.25">
      <c r="A533" s="9">
        <v>526</v>
      </c>
      <c r="B533" s="10">
        <v>42769</v>
      </c>
      <c r="C533" s="3">
        <v>12.988072932890912</v>
      </c>
      <c r="D533" s="3">
        <v>13.02611314863017</v>
      </c>
      <c r="E533" s="3">
        <v>12.797870817676486</v>
      </c>
      <c r="F533" s="3">
        <v>12.906558036804199</v>
      </c>
      <c r="G533" s="3">
        <v>365500</v>
      </c>
      <c r="H533" s="3">
        <v>0</v>
      </c>
      <c r="I533" s="3">
        <v>0</v>
      </c>
      <c r="J533" s="3" t="str">
        <v>AB</v>
      </c>
      <c r="K533" s="23">
        <v>42768</v>
      </c>
      <c r="L533" s="22">
        <v>12.825041770935059</v>
      </c>
    </row>
    <row r="534" spans="1:12" x14ac:dyDescent="0.25">
      <c r="A534" s="9">
        <v>527</v>
      </c>
      <c r="B534" s="10">
        <v>42772</v>
      </c>
      <c r="C534" s="3">
        <v>12.933727510781555</v>
      </c>
      <c r="D534" s="3">
        <v>13.042414714677735</v>
      </c>
      <c r="E534" s="3">
        <v>12.689182856792145</v>
      </c>
      <c r="F534" s="3">
        <v>12.743526458740234</v>
      </c>
      <c r="G534" s="3">
        <v>391400</v>
      </c>
      <c r="H534" s="3">
        <v>0</v>
      </c>
      <c r="I534" s="3">
        <v>0</v>
      </c>
      <c r="J534" s="3" t="str">
        <v>AB</v>
      </c>
      <c r="K534" s="23">
        <v>42769</v>
      </c>
      <c r="L534" s="22">
        <v>12.906558036804199</v>
      </c>
    </row>
    <row r="535" spans="1:12" x14ac:dyDescent="0.25">
      <c r="A535" s="9">
        <v>528</v>
      </c>
      <c r="B535" s="10">
        <v>42773</v>
      </c>
      <c r="C535" s="3">
        <v>12.770695614558395</v>
      </c>
      <c r="D535" s="3">
        <v>12.781564540441446</v>
      </c>
      <c r="E535" s="3">
        <v>12.607665872383928</v>
      </c>
      <c r="F535" s="3">
        <v>12.63483715057373</v>
      </c>
      <c r="G535" s="3">
        <v>275000</v>
      </c>
      <c r="H535" s="3">
        <v>0</v>
      </c>
      <c r="I535" s="3">
        <v>0</v>
      </c>
      <c r="J535" s="3" t="str">
        <v>AB</v>
      </c>
      <c r="K535" s="23">
        <v>42772</v>
      </c>
      <c r="L535" s="22">
        <v>12.743526458740234</v>
      </c>
    </row>
    <row r="536" spans="1:12" x14ac:dyDescent="0.25">
      <c r="A536" s="9">
        <v>529</v>
      </c>
      <c r="B536" s="10">
        <v>42774</v>
      </c>
      <c r="C536" s="3">
        <v>12.634845345404729</v>
      </c>
      <c r="D536" s="3">
        <v>12.743532601693028</v>
      </c>
      <c r="E536" s="3">
        <v>12.526158089116432</v>
      </c>
      <c r="F536" s="3">
        <v>12.553330421447754</v>
      </c>
      <c r="G536" s="3">
        <v>296100</v>
      </c>
      <c r="H536" s="3">
        <v>0</v>
      </c>
      <c r="I536" s="3">
        <v>0</v>
      </c>
      <c r="J536" s="3" t="str">
        <v>AB</v>
      </c>
      <c r="K536" s="23">
        <v>42773</v>
      </c>
      <c r="L536" s="22">
        <v>12.63483715057373</v>
      </c>
    </row>
    <row r="537" spans="1:12" x14ac:dyDescent="0.25">
      <c r="A537" s="9">
        <v>530</v>
      </c>
      <c r="B537" s="10">
        <v>42775</v>
      </c>
      <c r="C537" s="3">
        <v>12.634837150573732</v>
      </c>
      <c r="D537" s="3">
        <v>12.662008428763535</v>
      </c>
      <c r="E537" s="3">
        <v>12.553322279486498</v>
      </c>
      <c r="F537" s="3">
        <v>12.63483715057373</v>
      </c>
      <c r="G537" s="3">
        <v>183900</v>
      </c>
      <c r="H537" s="3">
        <v>0</v>
      </c>
      <c r="I537" s="3">
        <v>0</v>
      </c>
      <c r="J537" s="3" t="str">
        <v>AB</v>
      </c>
      <c r="K537" s="23">
        <v>42774</v>
      </c>
      <c r="L537" s="22">
        <v>12.553330421447754</v>
      </c>
    </row>
    <row r="538" spans="1:12" x14ac:dyDescent="0.25">
      <c r="A538" s="9">
        <v>531</v>
      </c>
      <c r="B538" s="10">
        <v>42776</v>
      </c>
      <c r="C538" s="3">
        <v>12.689185941819138</v>
      </c>
      <c r="D538" s="3">
        <v>12.825044461460632</v>
      </c>
      <c r="E538" s="3">
        <v>12.634842326658891</v>
      </c>
      <c r="F538" s="3">
        <v>12.716357231140137</v>
      </c>
      <c r="G538" s="3">
        <v>392400</v>
      </c>
      <c r="H538" s="3">
        <v>0</v>
      </c>
      <c r="I538" s="3">
        <v>0</v>
      </c>
      <c r="J538" s="3" t="str">
        <v>AB</v>
      </c>
      <c r="K538" s="23">
        <v>42775</v>
      </c>
      <c r="L538" s="22">
        <v>12.63483715057373</v>
      </c>
    </row>
    <row r="539" spans="1:12" x14ac:dyDescent="0.25">
      <c r="A539" s="9">
        <v>532</v>
      </c>
      <c r="B539" s="10">
        <v>42779</v>
      </c>
      <c r="C539" s="3">
        <v>12.743528244630768</v>
      </c>
      <c r="D539" s="3">
        <v>12.960901646368054</v>
      </c>
      <c r="E539" s="3">
        <v>12.743528244630768</v>
      </c>
      <c r="F539" s="3">
        <v>12.906558036804199</v>
      </c>
      <c r="G539" s="3">
        <v>392400</v>
      </c>
      <c r="H539" s="3">
        <v>0</v>
      </c>
      <c r="I539" s="3">
        <v>0</v>
      </c>
      <c r="J539" s="3" t="str">
        <v>AB</v>
      </c>
      <c r="K539" s="23">
        <v>42776</v>
      </c>
      <c r="L539" s="22">
        <v>12.716357231140137</v>
      </c>
    </row>
    <row r="540" spans="1:12" x14ac:dyDescent="0.25">
      <c r="A540" s="9">
        <v>533</v>
      </c>
      <c r="B540" s="10">
        <v>42780</v>
      </c>
      <c r="C540" s="3">
        <v>13.314130783081055</v>
      </c>
      <c r="D540" s="3">
        <v>13.531504139582875</v>
      </c>
      <c r="E540" s="3">
        <v>13.205443586571183</v>
      </c>
      <c r="F540" s="3">
        <v>13.314130783081055</v>
      </c>
      <c r="G540" s="3">
        <v>673500</v>
      </c>
      <c r="H540" s="3">
        <v>0</v>
      </c>
      <c r="I540" s="3">
        <v>0</v>
      </c>
      <c r="J540" s="3" t="str">
        <v>AB</v>
      </c>
      <c r="K540" s="23">
        <v>42779</v>
      </c>
      <c r="L540" s="22">
        <v>12.906558036804199</v>
      </c>
    </row>
    <row r="541" spans="1:12" x14ac:dyDescent="0.25">
      <c r="A541" s="9">
        <v>534</v>
      </c>
      <c r="B541" s="10">
        <v>42781</v>
      </c>
      <c r="C541" s="3">
        <v>13.15110610825681</v>
      </c>
      <c r="D541" s="3">
        <v>13.15110610825681</v>
      </c>
      <c r="E541" s="3">
        <v>12.79787310132016</v>
      </c>
      <c r="F541" s="3">
        <v>12.852216720581055</v>
      </c>
      <c r="G541" s="3">
        <v>990600</v>
      </c>
      <c r="H541" s="3">
        <v>0</v>
      </c>
      <c r="I541" s="3">
        <v>0</v>
      </c>
      <c r="J541" s="3" t="str">
        <v>AB</v>
      </c>
      <c r="K541" s="23">
        <v>42780</v>
      </c>
      <c r="L541" s="22">
        <v>13.314130783081055</v>
      </c>
    </row>
    <row r="542" spans="1:12" x14ac:dyDescent="0.25">
      <c r="A542" s="9">
        <v>535</v>
      </c>
      <c r="B542" s="10">
        <v>42782</v>
      </c>
      <c r="C542" s="3">
        <v>12.906554803403543</v>
      </c>
      <c r="D542" s="3">
        <v>13.151100466917288</v>
      </c>
      <c r="E542" s="3">
        <v>12.906554803403543</v>
      </c>
      <c r="F542" s="3">
        <v>12.960898399353027</v>
      </c>
      <c r="G542" s="3">
        <v>562300</v>
      </c>
      <c r="H542" s="3">
        <v>0</v>
      </c>
      <c r="I542" s="3">
        <v>0</v>
      </c>
      <c r="J542" s="3" t="str">
        <v>AB</v>
      </c>
      <c r="K542" s="23">
        <v>42781</v>
      </c>
      <c r="L542" s="22">
        <v>12.852216720581055</v>
      </c>
    </row>
    <row r="543" spans="1:12" x14ac:dyDescent="0.25">
      <c r="A543" s="9">
        <v>536</v>
      </c>
      <c r="B543" s="10">
        <v>42783</v>
      </c>
      <c r="C543" s="3">
        <v>12.960900915229439</v>
      </c>
      <c r="D543" s="3">
        <v>13.205445589694548</v>
      </c>
      <c r="E543" s="3">
        <v>12.770698810744522</v>
      </c>
      <c r="F543" s="3">
        <v>13.151103019714355</v>
      </c>
      <c r="G543" s="3">
        <v>419000</v>
      </c>
      <c r="H543" s="3">
        <v>0</v>
      </c>
      <c r="I543" s="3">
        <v>0</v>
      </c>
      <c r="J543" s="3" t="str">
        <v>AB</v>
      </c>
      <c r="K543" s="23">
        <v>42782</v>
      </c>
      <c r="L543" s="22">
        <v>12.960898399353027</v>
      </c>
    </row>
    <row r="544" spans="1:12" x14ac:dyDescent="0.25">
      <c r="A544" s="9">
        <v>537</v>
      </c>
      <c r="B544" s="10">
        <v>42787</v>
      </c>
      <c r="C544" s="3">
        <v>13.314133823591414</v>
      </c>
      <c r="D544" s="3">
        <v>13.656496808701489</v>
      </c>
      <c r="E544" s="3">
        <v>13.23261892585265</v>
      </c>
      <c r="F544" s="3">
        <v>13.422821044921875</v>
      </c>
      <c r="G544" s="3">
        <v>990900</v>
      </c>
      <c r="H544" s="3">
        <v>0</v>
      </c>
      <c r="I544" s="3">
        <v>0</v>
      </c>
      <c r="J544" s="3" t="str">
        <v>AB</v>
      </c>
      <c r="K544" s="23">
        <v>42783</v>
      </c>
      <c r="L544" s="22">
        <v>13.151103019714355</v>
      </c>
    </row>
    <row r="545" spans="1:12" x14ac:dyDescent="0.25">
      <c r="A545" s="9">
        <v>538</v>
      </c>
      <c r="B545" s="10">
        <v>42788</v>
      </c>
      <c r="C545" s="3">
        <v>13.406063277848109</v>
      </c>
      <c r="D545" s="3">
        <v>13.43399215017635</v>
      </c>
      <c r="E545" s="3">
        <v>13.266416785370524</v>
      </c>
      <c r="F545" s="3">
        <v>13.350204467773438</v>
      </c>
      <c r="G545" s="3">
        <v>340100</v>
      </c>
      <c r="H545" s="3">
        <v>0.67</v>
      </c>
      <c r="I545" s="3">
        <v>0</v>
      </c>
      <c r="J545" s="3" t="str">
        <v>AB</v>
      </c>
      <c r="K545" s="23">
        <v>42787</v>
      </c>
      <c r="L545" s="22">
        <v>13.422821044921875</v>
      </c>
    </row>
    <row r="546" spans="1:12" x14ac:dyDescent="0.25">
      <c r="A546" s="9">
        <v>539</v>
      </c>
      <c r="B546" s="10">
        <v>42789</v>
      </c>
      <c r="C546" s="3">
        <v>13.378130139307506</v>
      </c>
      <c r="D546" s="3">
        <v>13.433987866151268</v>
      </c>
      <c r="E546" s="3">
        <v>13.26641255478429</v>
      </c>
      <c r="F546" s="3">
        <v>13.322271347045898</v>
      </c>
      <c r="G546" s="3">
        <v>224500</v>
      </c>
      <c r="H546" s="3">
        <v>0</v>
      </c>
      <c r="I546" s="3">
        <v>0</v>
      </c>
      <c r="J546" s="3" t="str">
        <v>AB</v>
      </c>
      <c r="K546" s="23">
        <v>42788</v>
      </c>
      <c r="L546" s="22">
        <v>13.350204467773438</v>
      </c>
    </row>
    <row r="547" spans="1:12" x14ac:dyDescent="0.25">
      <c r="A547" s="9">
        <v>540</v>
      </c>
      <c r="B547" s="10">
        <v>42790</v>
      </c>
      <c r="C547" s="3">
        <v>13.266418025940906</v>
      </c>
      <c r="D547" s="3">
        <v>13.283175990155836</v>
      </c>
      <c r="E547" s="3">
        <v>13.154700395344616</v>
      </c>
      <c r="F547" s="3">
        <v>13.238489151000977</v>
      </c>
      <c r="G547" s="3">
        <v>222700</v>
      </c>
      <c r="H547" s="3">
        <v>0</v>
      </c>
      <c r="I547" s="3">
        <v>0</v>
      </c>
      <c r="J547" s="3" t="str">
        <v>AB</v>
      </c>
      <c r="K547" s="23">
        <v>42789</v>
      </c>
      <c r="L547" s="22">
        <v>13.322271347045898</v>
      </c>
    </row>
    <row r="548" spans="1:12" x14ac:dyDescent="0.25">
      <c r="A548" s="9">
        <v>541</v>
      </c>
      <c r="B548" s="10">
        <v>42793</v>
      </c>
      <c r="C548" s="3">
        <v>13.238486919598261</v>
      </c>
      <c r="D548" s="3">
        <v>13.294344660063063</v>
      </c>
      <c r="E548" s="3">
        <v>13.070910501949536</v>
      </c>
      <c r="F548" s="3">
        <v>13.210556983947754</v>
      </c>
      <c r="G548" s="3">
        <v>396800</v>
      </c>
      <c r="H548" s="3">
        <v>0</v>
      </c>
      <c r="I548" s="3">
        <v>0</v>
      </c>
      <c r="J548" s="3" t="str">
        <v>AB</v>
      </c>
      <c r="K548" s="23">
        <v>42790</v>
      </c>
      <c r="L548" s="22">
        <v>13.238489151000977</v>
      </c>
    </row>
    <row r="549" spans="1:12" x14ac:dyDescent="0.25">
      <c r="A549" s="9">
        <v>542</v>
      </c>
      <c r="B549" s="10">
        <v>42794</v>
      </c>
      <c r="C549" s="3">
        <v>13.238489151000977</v>
      </c>
      <c r="D549" s="3">
        <v>13.266418025940906</v>
      </c>
      <c r="E549" s="3">
        <v>13.126771520404686</v>
      </c>
      <c r="F549" s="3">
        <v>13.238489151000977</v>
      </c>
      <c r="G549" s="3">
        <v>240500</v>
      </c>
      <c r="H549" s="3">
        <v>0</v>
      </c>
      <c r="I549" s="3">
        <v>0</v>
      </c>
      <c r="J549" s="3" t="str">
        <v>AB</v>
      </c>
      <c r="K549" s="23">
        <v>42793</v>
      </c>
      <c r="L549" s="22">
        <v>13.210556983947754</v>
      </c>
    </row>
    <row r="550" spans="1:12" x14ac:dyDescent="0.25">
      <c r="A550" s="9">
        <v>543</v>
      </c>
      <c r="B550" s="10">
        <v>42795</v>
      </c>
      <c r="C550" s="3">
        <v>13.350204189758788</v>
      </c>
      <c r="D550" s="3">
        <v>13.406062998670214</v>
      </c>
      <c r="E550" s="3">
        <v>13.042982338873195</v>
      </c>
      <c r="F550" s="3">
        <v>13.12677001953125</v>
      </c>
      <c r="G550" s="3">
        <v>448800</v>
      </c>
      <c r="H550" s="3">
        <v>0</v>
      </c>
      <c r="I550" s="3">
        <v>0</v>
      </c>
      <c r="J550" s="3" t="str">
        <v>AB</v>
      </c>
      <c r="K550" s="23">
        <v>42794</v>
      </c>
      <c r="L550" s="22">
        <v>13.238489151000977</v>
      </c>
    </row>
    <row r="551" spans="1:12" x14ac:dyDescent="0.25">
      <c r="A551" s="9">
        <v>544</v>
      </c>
      <c r="B551" s="10">
        <v>42796</v>
      </c>
      <c r="C551" s="3">
        <v>13.098839951576418</v>
      </c>
      <c r="D551" s="3">
        <v>13.154697689968657</v>
      </c>
      <c r="E551" s="3">
        <v>13.015051213151928</v>
      </c>
      <c r="F551" s="3">
        <v>13.042981147766113</v>
      </c>
      <c r="G551" s="3">
        <v>160400</v>
      </c>
      <c r="H551" s="3">
        <v>0</v>
      </c>
      <c r="I551" s="3">
        <v>0</v>
      </c>
      <c r="J551" s="3" t="str">
        <v>AB</v>
      </c>
      <c r="K551" s="23">
        <v>42795</v>
      </c>
      <c r="L551" s="22">
        <v>13.12677001953125</v>
      </c>
    </row>
    <row r="552" spans="1:12" x14ac:dyDescent="0.25">
      <c r="A552" s="9">
        <v>545</v>
      </c>
      <c r="B552" s="10">
        <v>42797</v>
      </c>
      <c r="C552" s="3">
        <v>13.042981814441955</v>
      </c>
      <c r="D552" s="3">
        <v>13.13235547893944</v>
      </c>
      <c r="E552" s="3">
        <v>12.819547653198242</v>
      </c>
      <c r="F552" s="3">
        <v>12.819547653198242</v>
      </c>
      <c r="G552" s="3">
        <v>340400</v>
      </c>
      <c r="H552" s="3">
        <v>0</v>
      </c>
      <c r="I552" s="3">
        <v>0</v>
      </c>
      <c r="J552" s="3" t="str">
        <v>AB</v>
      </c>
      <c r="K552" s="23">
        <v>42796</v>
      </c>
      <c r="L552" s="22">
        <v>13.042981147766113</v>
      </c>
    </row>
    <row r="553" spans="1:12" x14ac:dyDescent="0.25">
      <c r="A553" s="9">
        <v>546</v>
      </c>
      <c r="B553" s="10">
        <v>42800</v>
      </c>
      <c r="C553" s="3">
        <v>12.847476005554199</v>
      </c>
      <c r="D553" s="3">
        <v>13.015051353372458</v>
      </c>
      <c r="E553" s="3">
        <v>12.819547136057183</v>
      </c>
      <c r="F553" s="3">
        <v>12.847476005554199</v>
      </c>
      <c r="G553" s="3">
        <v>320300</v>
      </c>
      <c r="H553" s="3">
        <v>0</v>
      </c>
      <c r="I553" s="3">
        <v>0</v>
      </c>
      <c r="J553" s="3" t="str">
        <v>AB</v>
      </c>
      <c r="K553" s="23">
        <v>42797</v>
      </c>
      <c r="L553" s="22">
        <v>12.819547653198242</v>
      </c>
    </row>
    <row r="554" spans="1:12" x14ac:dyDescent="0.25">
      <c r="A554" s="9">
        <v>547</v>
      </c>
      <c r="B554" s="10">
        <v>42801</v>
      </c>
      <c r="C554" s="3">
        <v>12.791617201142088</v>
      </c>
      <c r="D554" s="3">
        <v>13.015051353372458</v>
      </c>
      <c r="E554" s="3">
        <v>12.791617201142088</v>
      </c>
      <c r="F554" s="3">
        <v>12.847476005554199</v>
      </c>
      <c r="G554" s="3">
        <v>339300</v>
      </c>
      <c r="H554" s="3">
        <v>0</v>
      </c>
      <c r="I554" s="3">
        <v>0</v>
      </c>
      <c r="J554" s="3" t="str">
        <v>AB</v>
      </c>
      <c r="K554" s="23">
        <v>42800</v>
      </c>
      <c r="L554" s="22">
        <v>12.847476005554199</v>
      </c>
    </row>
    <row r="555" spans="1:12" x14ac:dyDescent="0.25">
      <c r="A555" s="9">
        <v>548</v>
      </c>
      <c r="B555" s="10">
        <v>42802</v>
      </c>
      <c r="C555" s="3">
        <v>12.959195741585717</v>
      </c>
      <c r="D555" s="3">
        <v>13.015053489748608</v>
      </c>
      <c r="E555" s="3">
        <v>12.76369042676084</v>
      </c>
      <c r="F555" s="3">
        <v>12.791619300842285</v>
      </c>
      <c r="G555" s="3">
        <v>174500</v>
      </c>
      <c r="H555" s="3">
        <v>0</v>
      </c>
      <c r="I555" s="3">
        <v>0</v>
      </c>
      <c r="J555" s="3" t="str">
        <v>AB</v>
      </c>
      <c r="K555" s="23">
        <v>42801</v>
      </c>
      <c r="L555" s="22">
        <v>12.847476005554199</v>
      </c>
    </row>
    <row r="556" spans="1:12" x14ac:dyDescent="0.25">
      <c r="A556" s="9">
        <v>549</v>
      </c>
      <c r="B556" s="10">
        <v>42803</v>
      </c>
      <c r="C556" s="3">
        <v>12.903336165954055</v>
      </c>
      <c r="D556" s="3">
        <v>12.959194976236267</v>
      </c>
      <c r="E556" s="3">
        <v>12.707830862675412</v>
      </c>
      <c r="F556" s="3">
        <v>12.735759735107422</v>
      </c>
      <c r="G556" s="3">
        <v>263600</v>
      </c>
      <c r="H556" s="3">
        <v>0</v>
      </c>
      <c r="I556" s="3">
        <v>0</v>
      </c>
      <c r="J556" s="3" t="str">
        <v>AB</v>
      </c>
      <c r="K556" s="23">
        <v>42802</v>
      </c>
      <c r="L556" s="22">
        <v>12.791619300842285</v>
      </c>
    </row>
    <row r="557" spans="1:12" x14ac:dyDescent="0.25">
      <c r="A557" s="9">
        <v>550</v>
      </c>
      <c r="B557" s="10">
        <v>42804</v>
      </c>
      <c r="C557" s="3">
        <v>12.735760256326481</v>
      </c>
      <c r="D557" s="3">
        <v>12.875406755038036</v>
      </c>
      <c r="E557" s="3">
        <v>12.651972570183196</v>
      </c>
      <c r="F557" s="3">
        <v>12.707831382751465</v>
      </c>
      <c r="G557" s="3">
        <v>199500</v>
      </c>
      <c r="H557" s="3">
        <v>0</v>
      </c>
      <c r="I557" s="3">
        <v>0</v>
      </c>
      <c r="J557" s="3" t="str">
        <v>AB</v>
      </c>
      <c r="K557" s="23">
        <v>42803</v>
      </c>
      <c r="L557" s="22">
        <v>12.735759735107422</v>
      </c>
    </row>
    <row r="558" spans="1:12" x14ac:dyDescent="0.25">
      <c r="A558" s="9">
        <v>551</v>
      </c>
      <c r="B558" s="10">
        <v>42807</v>
      </c>
      <c r="C558" s="3">
        <v>12.707831382751463</v>
      </c>
      <c r="D558" s="3">
        <v>12.763690195319732</v>
      </c>
      <c r="E558" s="3">
        <v>12.624043696608178</v>
      </c>
      <c r="F558" s="3">
        <v>12.707831382751465</v>
      </c>
      <c r="G558" s="3">
        <v>259400</v>
      </c>
      <c r="H558" s="3">
        <v>0</v>
      </c>
      <c r="I558" s="3">
        <v>0</v>
      </c>
      <c r="J558" s="3" t="str">
        <v>AB</v>
      </c>
      <c r="K558" s="23">
        <v>42804</v>
      </c>
      <c r="L558" s="22">
        <v>12.707831382751465</v>
      </c>
    </row>
    <row r="559" spans="1:12" x14ac:dyDescent="0.25">
      <c r="A559" s="9">
        <v>552</v>
      </c>
      <c r="B559" s="10">
        <v>42808</v>
      </c>
      <c r="C559" s="3">
        <v>12.6799009928232</v>
      </c>
      <c r="D559" s="3">
        <v>12.6799009928232</v>
      </c>
      <c r="E559" s="3">
        <v>12.568183381046655</v>
      </c>
      <c r="F559" s="3">
        <v>12.596112251281738</v>
      </c>
      <c r="G559" s="3">
        <v>151900</v>
      </c>
      <c r="H559" s="3">
        <v>0</v>
      </c>
      <c r="I559" s="3">
        <v>0</v>
      </c>
      <c r="J559" s="3" t="str">
        <v>AB</v>
      </c>
      <c r="K559" s="23">
        <v>42807</v>
      </c>
      <c r="L559" s="22">
        <v>12.707831382751465</v>
      </c>
    </row>
    <row r="560" spans="1:12" x14ac:dyDescent="0.25">
      <c r="A560" s="9">
        <v>553</v>
      </c>
      <c r="B560" s="10">
        <v>42809</v>
      </c>
      <c r="C560" s="3">
        <v>12.596112251281738</v>
      </c>
      <c r="D560" s="3">
        <v>12.6799009928232</v>
      </c>
      <c r="E560" s="3">
        <v>12.484395704923298</v>
      </c>
      <c r="F560" s="3">
        <v>12.596112251281738</v>
      </c>
      <c r="G560" s="3">
        <v>400600</v>
      </c>
      <c r="H560" s="3">
        <v>0</v>
      </c>
      <c r="I560" s="3">
        <v>0</v>
      </c>
      <c r="J560" s="3" t="str">
        <v>AB</v>
      </c>
      <c r="K560" s="23">
        <v>42808</v>
      </c>
      <c r="L560" s="22">
        <v>12.596112251281738</v>
      </c>
    </row>
    <row r="561" spans="1:12" x14ac:dyDescent="0.25">
      <c r="A561" s="9">
        <v>554</v>
      </c>
      <c r="B561" s="10">
        <v>42810</v>
      </c>
      <c r="C561" s="3">
        <v>12.624040090396855</v>
      </c>
      <c r="D561" s="3">
        <v>12.791615414813489</v>
      </c>
      <c r="E561" s="3">
        <v>12.624040090396855</v>
      </c>
      <c r="F561" s="3">
        <v>12.651968955993652</v>
      </c>
      <c r="G561" s="3">
        <v>320700</v>
      </c>
      <c r="H561" s="3">
        <v>0</v>
      </c>
      <c r="I561" s="3">
        <v>0</v>
      </c>
      <c r="J561" s="3" t="str">
        <v>AB</v>
      </c>
      <c r="K561" s="23">
        <v>42809</v>
      </c>
      <c r="L561" s="22">
        <v>12.596112251281738</v>
      </c>
    </row>
    <row r="562" spans="1:12" x14ac:dyDescent="0.25">
      <c r="A562" s="9">
        <v>555</v>
      </c>
      <c r="B562" s="10">
        <v>42811</v>
      </c>
      <c r="C562" s="3">
        <v>12.707832085392551</v>
      </c>
      <c r="D562" s="3">
        <v>12.719004061607572</v>
      </c>
      <c r="E562" s="3">
        <v>12.484397888183594</v>
      </c>
      <c r="F562" s="3">
        <v>12.484397888183594</v>
      </c>
      <c r="G562" s="3">
        <v>296900</v>
      </c>
      <c r="H562" s="3">
        <v>0</v>
      </c>
      <c r="I562" s="3">
        <v>0</v>
      </c>
      <c r="J562" s="3" t="str">
        <v>AB</v>
      </c>
      <c r="K562" s="23">
        <v>42810</v>
      </c>
      <c r="L562" s="22">
        <v>12.651968955993652</v>
      </c>
    </row>
    <row r="563" spans="1:12" x14ac:dyDescent="0.25">
      <c r="A563" s="9">
        <v>556</v>
      </c>
      <c r="B563" s="10">
        <v>42814</v>
      </c>
      <c r="C563" s="3">
        <v>12.512326763302854</v>
      </c>
      <c r="D563" s="3">
        <v>12.596114454078926</v>
      </c>
      <c r="E563" s="3">
        <v>12.42853907252678</v>
      </c>
      <c r="F563" s="3">
        <v>12.484397888183594</v>
      </c>
      <c r="G563" s="3">
        <v>302600</v>
      </c>
      <c r="H563" s="3">
        <v>0</v>
      </c>
      <c r="I563" s="3">
        <v>0</v>
      </c>
      <c r="J563" s="3" t="str">
        <v>AB</v>
      </c>
      <c r="K563" s="23">
        <v>42811</v>
      </c>
      <c r="L563" s="22">
        <v>12.484397888183594</v>
      </c>
    </row>
    <row r="564" spans="1:12" x14ac:dyDescent="0.25">
      <c r="A564" s="9">
        <v>557</v>
      </c>
      <c r="B564" s="10">
        <v>42815</v>
      </c>
      <c r="C564" s="3">
        <v>12.512324560671818</v>
      </c>
      <c r="D564" s="3">
        <v>12.596112236698167</v>
      </c>
      <c r="E564" s="3">
        <v>12.233031596971919</v>
      </c>
      <c r="F564" s="3">
        <v>12.260961532592773</v>
      </c>
      <c r="G564" s="3">
        <v>289400</v>
      </c>
      <c r="H564" s="3">
        <v>0</v>
      </c>
      <c r="I564" s="3">
        <v>0</v>
      </c>
      <c r="J564" s="3" t="str">
        <v>AB</v>
      </c>
      <c r="K564" s="23">
        <v>42814</v>
      </c>
      <c r="L564" s="22">
        <v>12.484397888183594</v>
      </c>
    </row>
    <row r="565" spans="1:12" x14ac:dyDescent="0.25">
      <c r="A565" s="9">
        <v>558</v>
      </c>
      <c r="B565" s="10">
        <v>42816</v>
      </c>
      <c r="C565" s="3">
        <v>12.177171784555258</v>
      </c>
      <c r="D565" s="3">
        <v>12.233030585761441</v>
      </c>
      <c r="E565" s="3">
        <v>12.121314048767092</v>
      </c>
      <c r="F565" s="3">
        <v>12.12131404876709</v>
      </c>
      <c r="G565" s="3">
        <v>468500</v>
      </c>
      <c r="H565" s="3">
        <v>0</v>
      </c>
      <c r="I565" s="3">
        <v>0</v>
      </c>
      <c r="J565" s="3" t="str">
        <v>AB</v>
      </c>
      <c r="K565" s="23">
        <v>42815</v>
      </c>
      <c r="L565" s="22">
        <v>12.260961532592773</v>
      </c>
    </row>
    <row r="566" spans="1:12" x14ac:dyDescent="0.25">
      <c r="A566" s="9">
        <v>559</v>
      </c>
      <c r="B566" s="10">
        <v>42817</v>
      </c>
      <c r="C566" s="3">
        <v>12.121312765743943</v>
      </c>
      <c r="D566" s="3">
        <v>12.260959221269021</v>
      </c>
      <c r="E566" s="3">
        <v>12.093382835388185</v>
      </c>
      <c r="F566" s="3">
        <v>12.093382835388184</v>
      </c>
      <c r="G566" s="3">
        <v>607800</v>
      </c>
      <c r="H566" s="3">
        <v>0</v>
      </c>
      <c r="I566" s="3">
        <v>0</v>
      </c>
      <c r="J566" s="3" t="str">
        <v>AB</v>
      </c>
      <c r="K566" s="23">
        <v>42816</v>
      </c>
      <c r="L566" s="22">
        <v>12.12131404876709</v>
      </c>
    </row>
    <row r="567" spans="1:12" x14ac:dyDescent="0.25">
      <c r="A567" s="9">
        <v>560</v>
      </c>
      <c r="B567" s="10">
        <v>42818</v>
      </c>
      <c r="C567" s="3">
        <v>12.09338411545499</v>
      </c>
      <c r="D567" s="3">
        <v>12.177171784555258</v>
      </c>
      <c r="E567" s="3">
        <v>12.065455247560907</v>
      </c>
      <c r="F567" s="3">
        <v>12.12131404876709</v>
      </c>
      <c r="G567" s="3">
        <v>194700</v>
      </c>
      <c r="H567" s="3">
        <v>0</v>
      </c>
      <c r="I567" s="3">
        <v>0</v>
      </c>
      <c r="J567" s="3" t="str">
        <v>AB</v>
      </c>
      <c r="K567" s="23">
        <v>42817</v>
      </c>
      <c r="L567" s="22">
        <v>12.093382835388184</v>
      </c>
    </row>
    <row r="568" spans="1:12" x14ac:dyDescent="0.25">
      <c r="A568" s="9">
        <v>561</v>
      </c>
      <c r="B568" s="10">
        <v>42821</v>
      </c>
      <c r="C568" s="3">
        <v>12.121314238788404</v>
      </c>
      <c r="D568" s="3">
        <v>12.121314238788404</v>
      </c>
      <c r="E568" s="3">
        <v>11.925808964210907</v>
      </c>
      <c r="F568" s="3">
        <v>12.065455436706543</v>
      </c>
      <c r="G568" s="3">
        <v>390700</v>
      </c>
      <c r="H568" s="3">
        <v>0</v>
      </c>
      <c r="I568" s="3">
        <v>0</v>
      </c>
      <c r="J568" s="3" t="str">
        <v>AB</v>
      </c>
      <c r="K568" s="23">
        <v>42818</v>
      </c>
      <c r="L568" s="22">
        <v>12.12131404876709</v>
      </c>
    </row>
    <row r="569" spans="1:12" x14ac:dyDescent="0.25">
      <c r="A569" s="9">
        <v>562</v>
      </c>
      <c r="B569" s="10">
        <v>42822</v>
      </c>
      <c r="C569" s="3">
        <v>12.065456244919224</v>
      </c>
      <c r="D569" s="3">
        <v>12.400608014442723</v>
      </c>
      <c r="E569" s="3">
        <v>12.03752630929837</v>
      </c>
      <c r="F569" s="3">
        <v>12.260961532592773</v>
      </c>
      <c r="G569" s="3">
        <v>388400</v>
      </c>
      <c r="H569" s="3">
        <v>0</v>
      </c>
      <c r="I569" s="3">
        <v>0</v>
      </c>
      <c r="J569" s="3" t="str">
        <v>AB</v>
      </c>
      <c r="K569" s="23">
        <v>42821</v>
      </c>
      <c r="L569" s="22">
        <v>12.065455436706543</v>
      </c>
    </row>
    <row r="570" spans="1:12" x14ac:dyDescent="0.25">
      <c r="A570" s="9">
        <v>563</v>
      </c>
      <c r="B570" s="10">
        <v>42823</v>
      </c>
      <c r="C570" s="3">
        <v>12.260961532592773</v>
      </c>
      <c r="D570" s="3">
        <v>12.344749208619122</v>
      </c>
      <c r="E570" s="3">
        <v>12.149243920945572</v>
      </c>
      <c r="F570" s="3">
        <v>12.260961532592773</v>
      </c>
      <c r="G570" s="3">
        <v>270700</v>
      </c>
      <c r="H570" s="3">
        <v>0</v>
      </c>
      <c r="I570" s="3">
        <v>0</v>
      </c>
      <c r="J570" s="3" t="str">
        <v>AB</v>
      </c>
      <c r="K570" s="23">
        <v>42822</v>
      </c>
      <c r="L570" s="22">
        <v>12.260961532592773</v>
      </c>
    </row>
    <row r="571" spans="1:12" x14ac:dyDescent="0.25">
      <c r="A571" s="9">
        <v>564</v>
      </c>
      <c r="B571" s="10">
        <v>42824</v>
      </c>
      <c r="C571" s="3">
        <v>12.288889058430989</v>
      </c>
      <c r="D571" s="3">
        <v>12.679899591002807</v>
      </c>
      <c r="E571" s="3">
        <v>12.288889058430989</v>
      </c>
      <c r="F571" s="3">
        <v>12.568181991577148</v>
      </c>
      <c r="G571" s="3">
        <v>234500</v>
      </c>
      <c r="H571" s="3">
        <v>0</v>
      </c>
      <c r="I571" s="3">
        <v>0</v>
      </c>
      <c r="J571" s="3" t="str">
        <v>AB</v>
      </c>
      <c r="K571" s="23">
        <v>42823</v>
      </c>
      <c r="L571" s="22">
        <v>12.260961532592773</v>
      </c>
    </row>
    <row r="572" spans="1:12" x14ac:dyDescent="0.25">
      <c r="A572" s="9">
        <v>565</v>
      </c>
      <c r="B572" s="10">
        <v>42825</v>
      </c>
      <c r="C572" s="3">
        <v>12.568181869403633</v>
      </c>
      <c r="D572" s="3">
        <v>12.819545932958897</v>
      </c>
      <c r="E572" s="3">
        <v>12.484394203357871</v>
      </c>
      <c r="F572" s="3">
        <v>12.763687133789063</v>
      </c>
      <c r="G572" s="3">
        <v>298100</v>
      </c>
      <c r="H572" s="3">
        <v>0</v>
      </c>
      <c r="I572" s="3">
        <v>0</v>
      </c>
      <c r="J572" s="3" t="str">
        <v>AB</v>
      </c>
      <c r="K572" s="23">
        <v>42824</v>
      </c>
      <c r="L572" s="22">
        <v>12.568181991577148</v>
      </c>
    </row>
    <row r="573" spans="1:12" x14ac:dyDescent="0.25">
      <c r="A573" s="9">
        <v>566</v>
      </c>
      <c r="B573" s="10">
        <v>42828</v>
      </c>
      <c r="C573" s="3">
        <v>12.763689960806408</v>
      </c>
      <c r="D573" s="3">
        <v>12.819548772348357</v>
      </c>
      <c r="E573" s="3">
        <v>12.568184653118697</v>
      </c>
      <c r="F573" s="3">
        <v>12.624043464660645</v>
      </c>
      <c r="G573" s="3">
        <v>209600</v>
      </c>
      <c r="H573" s="3">
        <v>0</v>
      </c>
      <c r="I573" s="3">
        <v>0</v>
      </c>
      <c r="J573" s="3" t="str">
        <v>AB</v>
      </c>
      <c r="K573" s="23">
        <v>42825</v>
      </c>
      <c r="L573" s="22">
        <v>12.763687133789063</v>
      </c>
    </row>
    <row r="574" spans="1:12" x14ac:dyDescent="0.25">
      <c r="A574" s="9">
        <v>567</v>
      </c>
      <c r="B574" s="10">
        <v>42829</v>
      </c>
      <c r="C574" s="3">
        <v>12.484395704923298</v>
      </c>
      <c r="D574" s="3">
        <v>12.624042186934927</v>
      </c>
      <c r="E574" s="3">
        <v>12.344749222911668</v>
      </c>
      <c r="F574" s="3">
        <v>12.596112251281738</v>
      </c>
      <c r="G574" s="3">
        <v>312100</v>
      </c>
      <c r="H574" s="3">
        <v>0</v>
      </c>
      <c r="I574" s="3">
        <v>0</v>
      </c>
      <c r="J574" s="3" t="str">
        <v>AB</v>
      </c>
      <c r="K574" s="23">
        <v>42828</v>
      </c>
      <c r="L574" s="22">
        <v>12.624043464660645</v>
      </c>
    </row>
    <row r="575" spans="1:12" x14ac:dyDescent="0.25">
      <c r="A575" s="9">
        <v>568</v>
      </c>
      <c r="B575" s="10">
        <v>42830</v>
      </c>
      <c r="C575" s="3">
        <v>12.596114249575788</v>
      </c>
      <c r="D575" s="3">
        <v>12.763690693825552</v>
      </c>
      <c r="E575" s="3">
        <v>12.540256500244141</v>
      </c>
      <c r="F575" s="3">
        <v>12.540256500244141</v>
      </c>
      <c r="G575" s="3">
        <v>308100</v>
      </c>
      <c r="H575" s="3">
        <v>0</v>
      </c>
      <c r="I575" s="3">
        <v>0</v>
      </c>
      <c r="J575" s="3" t="str">
        <v>AB</v>
      </c>
      <c r="K575" s="23">
        <v>42829</v>
      </c>
      <c r="L575" s="22">
        <v>12.596112251281738</v>
      </c>
    </row>
    <row r="576" spans="1:12" x14ac:dyDescent="0.25">
      <c r="A576" s="9">
        <v>569</v>
      </c>
      <c r="B576" s="10">
        <v>42831</v>
      </c>
      <c r="C576" s="3">
        <v>12.5123230702338</v>
      </c>
      <c r="D576" s="3">
        <v>12.791616000664991</v>
      </c>
      <c r="E576" s="3">
        <v>12.484394203357871</v>
      </c>
      <c r="F576" s="3">
        <v>12.763687133789063</v>
      </c>
      <c r="G576" s="3">
        <v>262400</v>
      </c>
      <c r="H576" s="3">
        <v>0</v>
      </c>
      <c r="I576" s="3">
        <v>0</v>
      </c>
      <c r="J576" s="3" t="str">
        <v>AB</v>
      </c>
      <c r="K576" s="23">
        <v>42830</v>
      </c>
      <c r="L576" s="22">
        <v>12.540256500244141</v>
      </c>
    </row>
    <row r="577" spans="1:12" x14ac:dyDescent="0.25">
      <c r="A577" s="9">
        <v>570</v>
      </c>
      <c r="B577" s="10">
        <v>42832</v>
      </c>
      <c r="C577" s="3">
        <v>12.763686549216693</v>
      </c>
      <c r="D577" s="3">
        <v>12.819545345828214</v>
      </c>
      <c r="E577" s="3">
        <v>12.640796983587762</v>
      </c>
      <c r="F577" s="3">
        <v>12.651968955993652</v>
      </c>
      <c r="G577" s="3">
        <v>469400</v>
      </c>
      <c r="H577" s="3">
        <v>0</v>
      </c>
      <c r="I577" s="3">
        <v>0</v>
      </c>
      <c r="J577" s="3" t="str">
        <v>AB</v>
      </c>
      <c r="K577" s="23">
        <v>42831</v>
      </c>
      <c r="L577" s="22">
        <v>12.763687133789063</v>
      </c>
    </row>
    <row r="578" spans="1:12" x14ac:dyDescent="0.25">
      <c r="A578" s="9">
        <v>571</v>
      </c>
      <c r="B578" s="10">
        <v>42835</v>
      </c>
      <c r="C578" s="3">
        <v>12.679899215698242</v>
      </c>
      <c r="D578" s="3">
        <v>12.875403410779555</v>
      </c>
      <c r="E578" s="3">
        <v>12.635212390334235</v>
      </c>
      <c r="F578" s="3">
        <v>12.679899215698242</v>
      </c>
      <c r="G578" s="3">
        <v>722900</v>
      </c>
      <c r="H578" s="3">
        <v>0</v>
      </c>
      <c r="I578" s="3">
        <v>0</v>
      </c>
      <c r="J578" s="3" t="str">
        <v>AB</v>
      </c>
      <c r="K578" s="23">
        <v>42832</v>
      </c>
      <c r="L578" s="22">
        <v>12.651968955993652</v>
      </c>
    </row>
    <row r="579" spans="1:12" x14ac:dyDescent="0.25">
      <c r="A579" s="9">
        <v>572</v>
      </c>
      <c r="B579" s="10">
        <v>42836</v>
      </c>
      <c r="C579" s="3">
        <v>12.651973269735738</v>
      </c>
      <c r="D579" s="3">
        <v>12.707832085392551</v>
      </c>
      <c r="E579" s="3">
        <v>12.372680256869968</v>
      </c>
      <c r="F579" s="3">
        <v>12.484397888183594</v>
      </c>
      <c r="G579" s="3">
        <v>622200</v>
      </c>
      <c r="H579" s="3">
        <v>0</v>
      </c>
      <c r="I579" s="3">
        <v>0</v>
      </c>
      <c r="J579" s="3" t="str">
        <v>AB</v>
      </c>
      <c r="K579" s="23">
        <v>42835</v>
      </c>
      <c r="L579" s="22">
        <v>12.679899215698242</v>
      </c>
    </row>
    <row r="580" spans="1:12" x14ac:dyDescent="0.25">
      <c r="A580" s="9">
        <v>573</v>
      </c>
      <c r="B580" s="10">
        <v>42837</v>
      </c>
      <c r="C580" s="3">
        <v>12.903335330487369</v>
      </c>
      <c r="D580" s="3">
        <v>12.931264201111038</v>
      </c>
      <c r="E580" s="3">
        <v>12.596112426536408</v>
      </c>
      <c r="F580" s="3">
        <v>12.819547653198242</v>
      </c>
      <c r="G580" s="3">
        <v>616400</v>
      </c>
      <c r="H580" s="3">
        <v>0</v>
      </c>
      <c r="I580" s="3">
        <v>0</v>
      </c>
      <c r="J580" s="3" t="str">
        <v>AB</v>
      </c>
      <c r="K580" s="23">
        <v>42836</v>
      </c>
      <c r="L580" s="22">
        <v>12.484397888183594</v>
      </c>
    </row>
    <row r="581" spans="1:12" x14ac:dyDescent="0.25">
      <c r="A581" s="9">
        <v>574</v>
      </c>
      <c r="B581" s="10">
        <v>42838</v>
      </c>
      <c r="C581" s="3">
        <v>12.847476523821911</v>
      </c>
      <c r="D581" s="3">
        <v>12.847476523821911</v>
      </c>
      <c r="E581" s="3">
        <v>12.707830039867325</v>
      </c>
      <c r="F581" s="3">
        <v>12.819547653198242</v>
      </c>
      <c r="G581" s="3">
        <v>321200</v>
      </c>
      <c r="H581" s="3">
        <v>0</v>
      </c>
      <c r="I581" s="3">
        <v>0</v>
      </c>
      <c r="J581" s="3" t="str">
        <v>AB</v>
      </c>
      <c r="K581" s="23">
        <v>42837</v>
      </c>
      <c r="L581" s="22">
        <v>12.819547653198242</v>
      </c>
    </row>
    <row r="582" spans="1:12" x14ac:dyDescent="0.25">
      <c r="A582" s="9">
        <v>575</v>
      </c>
      <c r="B582" s="10">
        <v>42842</v>
      </c>
      <c r="C582" s="3">
        <v>12.903339070418802</v>
      </c>
      <c r="D582" s="3">
        <v>12.931267949137437</v>
      </c>
      <c r="E582" s="3">
        <v>12.819551368844468</v>
      </c>
      <c r="F582" s="3">
        <v>12.875409126281738</v>
      </c>
      <c r="G582" s="3">
        <v>278000</v>
      </c>
      <c r="H582" s="3">
        <v>0</v>
      </c>
      <c r="I582" s="3">
        <v>0</v>
      </c>
      <c r="J582" s="3" t="str">
        <v>AB</v>
      </c>
      <c r="K582" s="23">
        <v>42838</v>
      </c>
      <c r="L582" s="22">
        <v>12.819547653198242</v>
      </c>
    </row>
    <row r="583" spans="1:12" x14ac:dyDescent="0.25">
      <c r="A583" s="9">
        <v>576</v>
      </c>
      <c r="B583" s="10">
        <v>42843</v>
      </c>
      <c r="C583" s="3">
        <v>12.847480247563103</v>
      </c>
      <c r="D583" s="3">
        <v>12.903339070418802</v>
      </c>
      <c r="E583" s="3">
        <v>12.707833723133069</v>
      </c>
      <c r="F583" s="3">
        <v>12.875409126281738</v>
      </c>
      <c r="G583" s="3">
        <v>208400</v>
      </c>
      <c r="H583" s="3">
        <v>0</v>
      </c>
      <c r="I583" s="3">
        <v>0</v>
      </c>
      <c r="J583" s="3" t="str">
        <v>AB</v>
      </c>
      <c r="K583" s="23">
        <v>42842</v>
      </c>
      <c r="L583" s="22">
        <v>12.875409126281738</v>
      </c>
    </row>
    <row r="584" spans="1:12" x14ac:dyDescent="0.25">
      <c r="A584" s="9">
        <v>577</v>
      </c>
      <c r="B584" s="10">
        <v>42844</v>
      </c>
      <c r="C584" s="3">
        <v>12.959193614378425</v>
      </c>
      <c r="D584" s="3">
        <v>12.959193614378425</v>
      </c>
      <c r="E584" s="3">
        <v>12.735758396729976</v>
      </c>
      <c r="F584" s="3">
        <v>12.847476005554199</v>
      </c>
      <c r="G584" s="3">
        <v>233400</v>
      </c>
      <c r="H584" s="3">
        <v>0</v>
      </c>
      <c r="I584" s="3">
        <v>0</v>
      </c>
      <c r="J584" s="3" t="str">
        <v>AB</v>
      </c>
      <c r="K584" s="23">
        <v>42843</v>
      </c>
      <c r="L584" s="22">
        <v>12.875409126281738</v>
      </c>
    </row>
    <row r="585" spans="1:12" x14ac:dyDescent="0.25">
      <c r="A585" s="9">
        <v>578</v>
      </c>
      <c r="B585" s="10">
        <v>42845</v>
      </c>
      <c r="C585" s="3">
        <v>12.903339070418802</v>
      </c>
      <c r="D585" s="3">
        <v>12.959197893274501</v>
      </c>
      <c r="E585" s="3">
        <v>12.791621424707403</v>
      </c>
      <c r="F585" s="3">
        <v>12.875409126281738</v>
      </c>
      <c r="G585" s="3">
        <v>203700</v>
      </c>
      <c r="H585" s="3">
        <v>0</v>
      </c>
      <c r="I585" s="3">
        <v>0</v>
      </c>
      <c r="J585" s="3" t="str">
        <v>AB</v>
      </c>
      <c r="K585" s="23">
        <v>42844</v>
      </c>
      <c r="L585" s="22">
        <v>12.847476005554199</v>
      </c>
    </row>
    <row r="586" spans="1:12" x14ac:dyDescent="0.25">
      <c r="A586" s="9">
        <v>579</v>
      </c>
      <c r="B586" s="10">
        <v>42846</v>
      </c>
      <c r="C586" s="3">
        <v>12.903336928004574</v>
      </c>
      <c r="D586" s="3">
        <v>12.959195741585717</v>
      </c>
      <c r="E586" s="3">
        <v>12.76369042676084</v>
      </c>
      <c r="F586" s="3">
        <v>12.791619300842285</v>
      </c>
      <c r="G586" s="3">
        <v>180800</v>
      </c>
      <c r="H586" s="3">
        <v>0</v>
      </c>
      <c r="I586" s="3">
        <v>0</v>
      </c>
      <c r="J586" s="3" t="str">
        <v>AB</v>
      </c>
      <c r="K586" s="23">
        <v>42845</v>
      </c>
      <c r="L586" s="22">
        <v>12.875409126281738</v>
      </c>
    </row>
    <row r="587" spans="1:12" x14ac:dyDescent="0.25">
      <c r="A587" s="9">
        <v>580</v>
      </c>
      <c r="B587" s="10">
        <v>42849</v>
      </c>
      <c r="C587" s="3">
        <v>12.987124380174572</v>
      </c>
      <c r="D587" s="3">
        <v>12.992710367973222</v>
      </c>
      <c r="E587" s="3">
        <v>12.707831382751463</v>
      </c>
      <c r="F587" s="3">
        <v>12.707831382751465</v>
      </c>
      <c r="G587" s="3">
        <v>323100</v>
      </c>
      <c r="H587" s="3">
        <v>0</v>
      </c>
      <c r="I587" s="3">
        <v>0</v>
      </c>
      <c r="J587" s="3" t="str">
        <v>AB</v>
      </c>
      <c r="K587" s="23">
        <v>42846</v>
      </c>
      <c r="L587" s="22">
        <v>12.791619300842285</v>
      </c>
    </row>
    <row r="588" spans="1:12" x14ac:dyDescent="0.25">
      <c r="A588" s="9">
        <v>581</v>
      </c>
      <c r="B588" s="10">
        <v>42850</v>
      </c>
      <c r="C588" s="3">
        <v>12.819548483239833</v>
      </c>
      <c r="D588" s="3">
        <v>12.847477355671844</v>
      </c>
      <c r="E588" s="3">
        <v>12.6519720523932</v>
      </c>
      <c r="F588" s="3">
        <v>12.735759735107422</v>
      </c>
      <c r="G588" s="3">
        <v>566300</v>
      </c>
      <c r="H588" s="3">
        <v>0</v>
      </c>
      <c r="I588" s="3">
        <v>0</v>
      </c>
      <c r="J588" s="3" t="str">
        <v>AB</v>
      </c>
      <c r="K588" s="23">
        <v>42849</v>
      </c>
      <c r="L588" s="22">
        <v>12.707831382751465</v>
      </c>
    </row>
    <row r="589" spans="1:12" x14ac:dyDescent="0.25">
      <c r="A589" s="9">
        <v>582</v>
      </c>
      <c r="B589" s="10">
        <v>42851</v>
      </c>
      <c r="C589" s="3">
        <v>12.707831382751463</v>
      </c>
      <c r="D589" s="3">
        <v>12.903336694031287</v>
      </c>
      <c r="E589" s="3">
        <v>12.679902509176447</v>
      </c>
      <c r="F589" s="3">
        <v>12.707831382751465</v>
      </c>
      <c r="G589" s="3">
        <v>764800</v>
      </c>
      <c r="H589" s="3">
        <v>0</v>
      </c>
      <c r="I589" s="3">
        <v>0</v>
      </c>
      <c r="J589" s="3" t="str">
        <v>AB</v>
      </c>
      <c r="K589" s="23">
        <v>42850</v>
      </c>
      <c r="L589" s="22">
        <v>12.735759735107422</v>
      </c>
    </row>
    <row r="590" spans="1:12" x14ac:dyDescent="0.25">
      <c r="A590" s="9">
        <v>583</v>
      </c>
      <c r="B590" s="10">
        <v>42852</v>
      </c>
      <c r="C590" s="3">
        <v>12.847477355671844</v>
      </c>
      <c r="D590" s="3">
        <v>12.847477355671844</v>
      </c>
      <c r="E590" s="3">
        <v>12.624043179961189</v>
      </c>
      <c r="F590" s="3">
        <v>12.735759735107422</v>
      </c>
      <c r="G590" s="3">
        <v>404300</v>
      </c>
      <c r="H590" s="3">
        <v>0</v>
      </c>
      <c r="I590" s="3">
        <v>0</v>
      </c>
      <c r="J590" s="3" t="str">
        <v>AB</v>
      </c>
      <c r="K590" s="23">
        <v>42851</v>
      </c>
      <c r="L590" s="22">
        <v>12.707831382751465</v>
      </c>
    </row>
    <row r="591" spans="1:12" x14ac:dyDescent="0.25">
      <c r="A591" s="9">
        <v>584</v>
      </c>
      <c r="B591" s="10">
        <v>42853</v>
      </c>
      <c r="C591" s="3">
        <v>12.791619300842285</v>
      </c>
      <c r="D591" s="3">
        <v>12.808377264542104</v>
      </c>
      <c r="E591" s="3">
        <v>12.624043925517107</v>
      </c>
      <c r="F591" s="3">
        <v>12.791619300842285</v>
      </c>
      <c r="G591" s="3">
        <v>453700</v>
      </c>
      <c r="H591" s="3">
        <v>0</v>
      </c>
      <c r="I591" s="3">
        <v>0</v>
      </c>
      <c r="J591" s="3" t="str">
        <v>AB</v>
      </c>
      <c r="K591" s="23">
        <v>42852</v>
      </c>
      <c r="L591" s="22">
        <v>12.735759735107422</v>
      </c>
    </row>
    <row r="592" spans="1:12" x14ac:dyDescent="0.25">
      <c r="A592" s="9">
        <v>585</v>
      </c>
      <c r="B592" s="10">
        <v>42856</v>
      </c>
      <c r="C592" s="3">
        <v>12.791618225217169</v>
      </c>
      <c r="D592" s="3">
        <v>12.819548162368287</v>
      </c>
      <c r="E592" s="3">
        <v>12.28889107609684</v>
      </c>
      <c r="F592" s="3">
        <v>12.372678756713867</v>
      </c>
      <c r="G592" s="3">
        <v>1349200</v>
      </c>
      <c r="H592" s="3">
        <v>0</v>
      </c>
      <c r="I592" s="3">
        <v>0</v>
      </c>
      <c r="J592" s="3" t="str">
        <v>AB</v>
      </c>
      <c r="K592" s="23">
        <v>42853</v>
      </c>
      <c r="L592" s="22">
        <v>12.791619300842285</v>
      </c>
    </row>
    <row r="593" spans="1:12" x14ac:dyDescent="0.25">
      <c r="A593" s="9">
        <v>586</v>
      </c>
      <c r="B593" s="10">
        <v>42857</v>
      </c>
      <c r="C593" s="3">
        <v>12.400605865553926</v>
      </c>
      <c r="D593" s="3">
        <v>12.406190786292187</v>
      </c>
      <c r="E593" s="3">
        <v>12.009595357964654</v>
      </c>
      <c r="F593" s="3">
        <v>12.037524223327637</v>
      </c>
      <c r="G593" s="3">
        <v>1212800</v>
      </c>
      <c r="H593" s="3">
        <v>0</v>
      </c>
      <c r="I593" s="3">
        <v>0</v>
      </c>
      <c r="J593" s="3" t="str">
        <v>AB</v>
      </c>
      <c r="K593" s="23">
        <v>42856</v>
      </c>
      <c r="L593" s="22">
        <v>12.372678756713867</v>
      </c>
    </row>
    <row r="594" spans="1:12" x14ac:dyDescent="0.25">
      <c r="A594" s="9">
        <v>587</v>
      </c>
      <c r="B594" s="10">
        <v>42858</v>
      </c>
      <c r="C594" s="3">
        <v>12.037530044726308</v>
      </c>
      <c r="D594" s="3">
        <v>12.23303539306813</v>
      </c>
      <c r="E594" s="3">
        <v>11.897883519541928</v>
      </c>
      <c r="F594" s="3">
        <v>11.981672286987305</v>
      </c>
      <c r="G594" s="3">
        <v>822400</v>
      </c>
      <c r="H594" s="3">
        <v>0</v>
      </c>
      <c r="I594" s="3">
        <v>0</v>
      </c>
      <c r="J594" s="3" t="str">
        <v>AB</v>
      </c>
      <c r="K594" s="23">
        <v>42857</v>
      </c>
      <c r="L594" s="22">
        <v>12.037524223327637</v>
      </c>
    </row>
    <row r="595" spans="1:12" x14ac:dyDescent="0.25">
      <c r="A595" s="9">
        <v>588</v>
      </c>
      <c r="B595" s="10">
        <v>42859</v>
      </c>
      <c r="C595" s="3">
        <v>11.930292431556609</v>
      </c>
      <c r="D595" s="3">
        <v>12.072999281428737</v>
      </c>
      <c r="E595" s="3">
        <v>11.64487873181235</v>
      </c>
      <c r="F595" s="3">
        <v>11.759044647216797</v>
      </c>
      <c r="G595" s="3">
        <v>1080200</v>
      </c>
      <c r="H595" s="3">
        <v>0.46</v>
      </c>
      <c r="I595" s="3">
        <v>0</v>
      </c>
      <c r="J595" s="3" t="str">
        <v>AB</v>
      </c>
      <c r="K595" s="23">
        <v>42858</v>
      </c>
      <c r="L595" s="22">
        <v>11.981672286987305</v>
      </c>
    </row>
    <row r="596" spans="1:12" x14ac:dyDescent="0.25">
      <c r="A596" s="9">
        <v>589</v>
      </c>
      <c r="B596" s="10">
        <v>42860</v>
      </c>
      <c r="C596" s="3">
        <v>11.816126361221034</v>
      </c>
      <c r="D596" s="3">
        <v>12.015915058999909</v>
      </c>
      <c r="E596" s="3">
        <v>11.730501389296665</v>
      </c>
      <c r="F596" s="3">
        <v>11.930291175842285</v>
      </c>
      <c r="G596" s="3">
        <v>486100</v>
      </c>
      <c r="H596" s="3">
        <v>0</v>
      </c>
      <c r="I596" s="3">
        <v>0</v>
      </c>
      <c r="J596" s="3" t="str">
        <v>AB</v>
      </c>
      <c r="K596" s="23">
        <v>42859</v>
      </c>
      <c r="L596" s="22">
        <v>11.759044647216797</v>
      </c>
    </row>
    <row r="597" spans="1:12" x14ac:dyDescent="0.25">
      <c r="A597" s="9">
        <v>590</v>
      </c>
      <c r="B597" s="10">
        <v>42863</v>
      </c>
      <c r="C597" s="3">
        <v>11.958835434301536</v>
      </c>
      <c r="D597" s="3">
        <v>11.987376371106917</v>
      </c>
      <c r="E597" s="3">
        <v>11.8732104463515</v>
      </c>
      <c r="F597" s="3">
        <v>11.901752471923828</v>
      </c>
      <c r="G597" s="3">
        <v>281500</v>
      </c>
      <c r="H597" s="3">
        <v>0</v>
      </c>
      <c r="I597" s="3">
        <v>0</v>
      </c>
      <c r="J597" s="3" t="str">
        <v>AB</v>
      </c>
      <c r="K597" s="23">
        <v>42860</v>
      </c>
      <c r="L597" s="22">
        <v>11.930291175842285</v>
      </c>
    </row>
    <row r="598" spans="1:12" x14ac:dyDescent="0.25">
      <c r="A598" s="9">
        <v>591</v>
      </c>
      <c r="B598" s="10">
        <v>42864</v>
      </c>
      <c r="C598" s="3">
        <v>11.930292928603603</v>
      </c>
      <c r="D598" s="3">
        <v>12.072999784421269</v>
      </c>
      <c r="E598" s="3">
        <v>11.901751992946831</v>
      </c>
      <c r="F598" s="3">
        <v>12.01591682434082</v>
      </c>
      <c r="G598" s="3">
        <v>558700</v>
      </c>
      <c r="H598" s="3">
        <v>0</v>
      </c>
      <c r="I598" s="3">
        <v>0</v>
      </c>
      <c r="J598" s="3" t="str">
        <v>AB</v>
      </c>
      <c r="K598" s="23">
        <v>42863</v>
      </c>
      <c r="L598" s="22">
        <v>11.901752471923828</v>
      </c>
    </row>
    <row r="599" spans="1:12" x14ac:dyDescent="0.25">
      <c r="A599" s="9">
        <v>592</v>
      </c>
      <c r="B599" s="10">
        <v>42865</v>
      </c>
      <c r="C599" s="3">
        <v>11.987376371106917</v>
      </c>
      <c r="D599" s="3">
        <v>12.015917307912297</v>
      </c>
      <c r="E599" s="3">
        <v>11.844669509546119</v>
      </c>
      <c r="F599" s="3">
        <v>11.901752471923828</v>
      </c>
      <c r="G599" s="3">
        <v>823900</v>
      </c>
      <c r="H599" s="3">
        <v>0</v>
      </c>
      <c r="I599" s="3">
        <v>0</v>
      </c>
      <c r="J599" s="3" t="str">
        <v>AB</v>
      </c>
      <c r="K599" s="23">
        <v>42864</v>
      </c>
      <c r="L599" s="22">
        <v>12.01591682434082</v>
      </c>
    </row>
    <row r="600" spans="1:12" x14ac:dyDescent="0.25">
      <c r="A600" s="9">
        <v>593</v>
      </c>
      <c r="B600" s="10">
        <v>42866</v>
      </c>
      <c r="C600" s="3">
        <v>11.873212335918574</v>
      </c>
      <c r="D600" s="3">
        <v>12.130085163114915</v>
      </c>
      <c r="E600" s="3">
        <v>11.873212335918574</v>
      </c>
      <c r="F600" s="3">
        <v>12.044461250305176</v>
      </c>
      <c r="G600" s="3">
        <v>737400</v>
      </c>
      <c r="H600" s="3">
        <v>0</v>
      </c>
      <c r="I600" s="3">
        <v>0</v>
      </c>
      <c r="J600" s="3" t="str">
        <v>AB</v>
      </c>
      <c r="K600" s="23">
        <v>42865</v>
      </c>
      <c r="L600" s="22">
        <v>11.901752471923828</v>
      </c>
    </row>
    <row r="601" spans="1:12" x14ac:dyDescent="0.25">
      <c r="A601" s="9">
        <v>594</v>
      </c>
      <c r="B601" s="10">
        <v>42867</v>
      </c>
      <c r="C601" s="3">
        <v>12.13008291510693</v>
      </c>
      <c r="D601" s="3">
        <v>12.158623851165121</v>
      </c>
      <c r="E601" s="3">
        <v>11.930293096398845</v>
      </c>
      <c r="F601" s="3">
        <v>12.072999954223633</v>
      </c>
      <c r="G601" s="3">
        <v>481400</v>
      </c>
      <c r="H601" s="3">
        <v>0</v>
      </c>
      <c r="I601" s="3">
        <v>0</v>
      </c>
      <c r="J601" s="3" t="str">
        <v>AB</v>
      </c>
      <c r="K601" s="23">
        <v>42866</v>
      </c>
      <c r="L601" s="22">
        <v>12.044461250305176</v>
      </c>
    </row>
    <row r="602" spans="1:12" x14ac:dyDescent="0.25">
      <c r="A602" s="9">
        <v>595</v>
      </c>
      <c r="B602" s="10">
        <v>42870</v>
      </c>
      <c r="C602" s="3">
        <v>12.072998224055011</v>
      </c>
      <c r="D602" s="3">
        <v>12.215705061428633</v>
      </c>
      <c r="E602" s="3">
        <v>12.01591527135221</v>
      </c>
      <c r="F602" s="3">
        <v>12.130081176757813</v>
      </c>
      <c r="G602" s="3">
        <v>685800</v>
      </c>
      <c r="H602" s="3">
        <v>0</v>
      </c>
      <c r="I602" s="3">
        <v>0</v>
      </c>
      <c r="J602" s="3" t="str">
        <v>AB</v>
      </c>
      <c r="K602" s="23">
        <v>42867</v>
      </c>
      <c r="L602" s="22">
        <v>12.072999954223633</v>
      </c>
    </row>
    <row r="603" spans="1:12" x14ac:dyDescent="0.25">
      <c r="A603" s="9">
        <v>596</v>
      </c>
      <c r="B603" s="10">
        <v>42871</v>
      </c>
      <c r="C603" s="3">
        <v>12.187164129460614</v>
      </c>
      <c r="D603" s="3">
        <v>12.187164129460614</v>
      </c>
      <c r="E603" s="3">
        <v>12.044457292086994</v>
      </c>
      <c r="F603" s="3">
        <v>12.130081176757813</v>
      </c>
      <c r="G603" s="3">
        <v>363300</v>
      </c>
      <c r="H603" s="3">
        <v>0</v>
      </c>
      <c r="I603" s="3">
        <v>0</v>
      </c>
      <c r="J603" s="3" t="str">
        <v>AB</v>
      </c>
      <c r="K603" s="23">
        <v>42870</v>
      </c>
      <c r="L603" s="22">
        <v>12.130081176757813</v>
      </c>
    </row>
    <row r="604" spans="1:12" x14ac:dyDescent="0.25">
      <c r="A604" s="9">
        <v>597</v>
      </c>
      <c r="B604" s="10">
        <v>42872</v>
      </c>
      <c r="C604" s="3">
        <v>12.101542136324065</v>
      </c>
      <c r="D604" s="3">
        <v>12.187166034378347</v>
      </c>
      <c r="E604" s="3">
        <v>11.901752315019449</v>
      </c>
      <c r="F604" s="3">
        <v>11.98737621307373</v>
      </c>
      <c r="G604" s="3">
        <v>622300</v>
      </c>
      <c r="H604" s="3">
        <v>0</v>
      </c>
      <c r="I604" s="3">
        <v>0</v>
      </c>
      <c r="J604" s="3" t="str">
        <v>AB</v>
      </c>
      <c r="K604" s="23">
        <v>42871</v>
      </c>
      <c r="L604" s="22">
        <v>12.130081176757813</v>
      </c>
    </row>
    <row r="605" spans="1:12" x14ac:dyDescent="0.25">
      <c r="A605" s="9">
        <v>598</v>
      </c>
      <c r="B605" s="10">
        <v>42873</v>
      </c>
      <c r="C605" s="3">
        <v>11.98737621307373</v>
      </c>
      <c r="D605" s="3">
        <v>12.015917149502847</v>
      </c>
      <c r="E605" s="3">
        <v>11.759045455339999</v>
      </c>
      <c r="F605" s="3">
        <v>11.98737621307373</v>
      </c>
      <c r="G605" s="3">
        <v>537400</v>
      </c>
      <c r="H605" s="3">
        <v>0</v>
      </c>
      <c r="I605" s="3">
        <v>0</v>
      </c>
      <c r="J605" s="3" t="str">
        <v>AB</v>
      </c>
      <c r="K605" s="23">
        <v>42872</v>
      </c>
      <c r="L605" s="22">
        <v>11.98737621307373</v>
      </c>
    </row>
    <row r="606" spans="1:12" x14ac:dyDescent="0.25">
      <c r="A606" s="9">
        <v>599</v>
      </c>
      <c r="B606" s="10">
        <v>42874</v>
      </c>
      <c r="C606" s="3">
        <v>12.044460462691561</v>
      </c>
      <c r="D606" s="3">
        <v>12.073001402172746</v>
      </c>
      <c r="E606" s="3">
        <v>11.93029452723272</v>
      </c>
      <c r="F606" s="3">
        <v>11.958836555480957</v>
      </c>
      <c r="G606" s="3">
        <v>677300</v>
      </c>
      <c r="H606" s="3">
        <v>0</v>
      </c>
      <c r="I606" s="3">
        <v>0</v>
      </c>
      <c r="J606" s="3" t="str">
        <v>AB</v>
      </c>
      <c r="K606" s="23">
        <v>42873</v>
      </c>
      <c r="L606" s="22">
        <v>11.98737621307373</v>
      </c>
    </row>
    <row r="607" spans="1:12" x14ac:dyDescent="0.25">
      <c r="A607" s="9">
        <v>600</v>
      </c>
      <c r="B607" s="10">
        <v>42877</v>
      </c>
      <c r="C607" s="3">
        <v>11.901753587751536</v>
      </c>
      <c r="D607" s="3">
        <v>12.061584590873451</v>
      </c>
      <c r="E607" s="3">
        <v>11.844670620022116</v>
      </c>
      <c r="F607" s="3">
        <v>11.958836555480957</v>
      </c>
      <c r="G607" s="3">
        <v>1091400</v>
      </c>
      <c r="H607" s="3">
        <v>0</v>
      </c>
      <c r="I607" s="3">
        <v>0</v>
      </c>
      <c r="J607" s="3" t="str">
        <v>AB</v>
      </c>
      <c r="K607" s="23">
        <v>42874</v>
      </c>
      <c r="L607" s="22">
        <v>11.958836555480957</v>
      </c>
    </row>
    <row r="608" spans="1:12" x14ac:dyDescent="0.25">
      <c r="A608" s="9">
        <v>601</v>
      </c>
      <c r="B608" s="10">
        <v>42878</v>
      </c>
      <c r="C608" s="3">
        <v>12.015919220190513</v>
      </c>
      <c r="D608" s="3">
        <v>12.187168134577115</v>
      </c>
      <c r="E608" s="3">
        <v>11.947420525449571</v>
      </c>
      <c r="F608" s="3">
        <v>12.044461250305176</v>
      </c>
      <c r="G608" s="3">
        <v>856200</v>
      </c>
      <c r="H608" s="3">
        <v>0</v>
      </c>
      <c r="I608" s="3">
        <v>0</v>
      </c>
      <c r="J608" s="3" t="str">
        <v>AB</v>
      </c>
      <c r="K608" s="23">
        <v>42877</v>
      </c>
      <c r="L608" s="22">
        <v>11.958836555480957</v>
      </c>
    </row>
    <row r="609" spans="1:12" x14ac:dyDescent="0.25">
      <c r="A609" s="9">
        <v>602</v>
      </c>
      <c r="B609" s="10">
        <v>42879</v>
      </c>
      <c r="C609" s="3">
        <v>12.044460462691561</v>
      </c>
      <c r="D609" s="3">
        <v>12.147209586851108</v>
      </c>
      <c r="E609" s="3">
        <v>11.901753587751536</v>
      </c>
      <c r="F609" s="3">
        <v>11.958836555480957</v>
      </c>
      <c r="G609" s="3">
        <v>567600</v>
      </c>
      <c r="H609" s="3">
        <v>0</v>
      </c>
      <c r="I609" s="3">
        <v>0</v>
      </c>
      <c r="J609" s="3" t="str">
        <v>AB</v>
      </c>
      <c r="K609" s="23">
        <v>42878</v>
      </c>
      <c r="L609" s="22">
        <v>12.044461250305176</v>
      </c>
    </row>
    <row r="610" spans="1:12" x14ac:dyDescent="0.25">
      <c r="A610" s="9">
        <v>603</v>
      </c>
      <c r="B610" s="10">
        <v>42880</v>
      </c>
      <c r="C610" s="3">
        <v>11.93029138668139</v>
      </c>
      <c r="D610" s="3">
        <v>12.244247082163415</v>
      </c>
      <c r="E610" s="3">
        <v>11.93029138668139</v>
      </c>
      <c r="F610" s="3">
        <v>12.130081176757813</v>
      </c>
      <c r="G610" s="3">
        <v>484700</v>
      </c>
      <c r="H610" s="3">
        <v>0</v>
      </c>
      <c r="I610" s="3">
        <v>0</v>
      </c>
      <c r="J610" s="3" t="str">
        <v>AB</v>
      </c>
      <c r="K610" s="23">
        <v>42879</v>
      </c>
      <c r="L610" s="22">
        <v>11.958836555480957</v>
      </c>
    </row>
    <row r="611" spans="1:12" x14ac:dyDescent="0.25">
      <c r="A611" s="9">
        <v>604</v>
      </c>
      <c r="B611" s="10">
        <v>42881</v>
      </c>
      <c r="C611" s="3">
        <v>12.072998903466345</v>
      </c>
      <c r="D611" s="3">
        <v>12.50111943967981</v>
      </c>
      <c r="E611" s="3">
        <v>12.044457969892179</v>
      </c>
      <c r="F611" s="3">
        <v>12.444036483764648</v>
      </c>
      <c r="G611" s="3">
        <v>514500</v>
      </c>
      <c r="H611" s="3">
        <v>0</v>
      </c>
      <c r="I611" s="3">
        <v>0</v>
      </c>
      <c r="J611" s="3" t="str">
        <v>AB</v>
      </c>
      <c r="K611" s="23">
        <v>42880</v>
      </c>
      <c r="L611" s="22">
        <v>12.130081176757813</v>
      </c>
    </row>
    <row r="612" spans="1:12" x14ac:dyDescent="0.25">
      <c r="A612" s="9">
        <v>605</v>
      </c>
      <c r="B612" s="10">
        <v>42885</v>
      </c>
      <c r="C612" s="3">
        <v>12.501123408664903</v>
      </c>
      <c r="D612" s="3">
        <v>12.729454216051529</v>
      </c>
      <c r="E612" s="3">
        <v>12.415499491990813</v>
      </c>
      <c r="F612" s="3">
        <v>12.643830299377441</v>
      </c>
      <c r="G612" s="3">
        <v>812500</v>
      </c>
      <c r="H612" s="3">
        <v>0</v>
      </c>
      <c r="I612" s="3">
        <v>0</v>
      </c>
      <c r="J612" s="3" t="str">
        <v>AB</v>
      </c>
      <c r="K612" s="23">
        <v>42881</v>
      </c>
      <c r="L612" s="22">
        <v>12.444036483764648</v>
      </c>
    </row>
    <row r="613" spans="1:12" x14ac:dyDescent="0.25">
      <c r="A613" s="9">
        <v>606</v>
      </c>
      <c r="B613" s="10">
        <v>42886</v>
      </c>
      <c r="C613" s="3">
        <v>12.672368383116643</v>
      </c>
      <c r="D613" s="3">
        <v>12.974906200370432</v>
      </c>
      <c r="E613" s="3">
        <v>12.501119514348302</v>
      </c>
      <c r="F613" s="3">
        <v>12.872157096862793</v>
      </c>
      <c r="G613" s="3">
        <v>963900</v>
      </c>
      <c r="H613" s="3">
        <v>0</v>
      </c>
      <c r="I613" s="3">
        <v>0</v>
      </c>
      <c r="J613" s="3" t="str">
        <v>AB</v>
      </c>
      <c r="K613" s="23">
        <v>42885</v>
      </c>
      <c r="L613" s="22">
        <v>12.643830299377441</v>
      </c>
    </row>
    <row r="614" spans="1:12" x14ac:dyDescent="0.25">
      <c r="A614" s="9">
        <v>607</v>
      </c>
      <c r="B614" s="10">
        <v>42887</v>
      </c>
      <c r="C614" s="3">
        <v>12.872157461613192</v>
      </c>
      <c r="D614" s="3">
        <v>13.186113185534772</v>
      </c>
      <c r="E614" s="3">
        <v>12.815075592506416</v>
      </c>
      <c r="F614" s="3">
        <v>13.129030227661133</v>
      </c>
      <c r="G614" s="3">
        <v>949200</v>
      </c>
      <c r="H614" s="3">
        <v>0</v>
      </c>
      <c r="I614" s="3">
        <v>0</v>
      </c>
      <c r="J614" s="3" t="str">
        <v>AB</v>
      </c>
      <c r="K614" s="23">
        <v>42886</v>
      </c>
      <c r="L614" s="22">
        <v>12.872157096862793</v>
      </c>
    </row>
    <row r="615" spans="1:12" x14ac:dyDescent="0.25">
      <c r="A615" s="9">
        <v>608</v>
      </c>
      <c r="B615" s="10">
        <v>42888</v>
      </c>
      <c r="C615" s="3">
        <v>12.957785898263953</v>
      </c>
      <c r="D615" s="3">
        <v>13.100492786620309</v>
      </c>
      <c r="E615" s="3">
        <v>12.843619952072007</v>
      </c>
      <c r="F615" s="3">
        <v>13.014867782592773</v>
      </c>
      <c r="G615" s="3">
        <v>703900</v>
      </c>
      <c r="H615" s="3">
        <v>0</v>
      </c>
      <c r="I615" s="3">
        <v>0</v>
      </c>
      <c r="J615" s="3" t="str">
        <v>AB</v>
      </c>
      <c r="K615" s="23">
        <v>42887</v>
      </c>
      <c r="L615" s="22">
        <v>13.129030227661133</v>
      </c>
    </row>
    <row r="616" spans="1:12" x14ac:dyDescent="0.25">
      <c r="A616" s="9">
        <v>609</v>
      </c>
      <c r="B616" s="10">
        <v>42891</v>
      </c>
      <c r="C616" s="3">
        <v>12.986323183768285</v>
      </c>
      <c r="D616" s="3">
        <v>13.100489097813647</v>
      </c>
      <c r="E616" s="3">
        <v>12.889282483459782</v>
      </c>
      <c r="F616" s="3">
        <v>12.929240226745605</v>
      </c>
      <c r="G616" s="3">
        <v>523600</v>
      </c>
      <c r="H616" s="3">
        <v>0</v>
      </c>
      <c r="I616" s="3">
        <v>0</v>
      </c>
      <c r="J616" s="3" t="str">
        <v>AB</v>
      </c>
      <c r="K616" s="23">
        <v>42888</v>
      </c>
      <c r="L616" s="22">
        <v>13.014867782592773</v>
      </c>
    </row>
    <row r="617" spans="1:12" x14ac:dyDescent="0.25">
      <c r="A617" s="9">
        <v>610</v>
      </c>
      <c r="B617" s="10">
        <v>42892</v>
      </c>
      <c r="C617" s="3">
        <v>12.843620279333093</v>
      </c>
      <c r="D617" s="3">
        <v>13.100493120426629</v>
      </c>
      <c r="E617" s="3">
        <v>12.843620279333093</v>
      </c>
      <c r="F617" s="3">
        <v>12.986327171325684</v>
      </c>
      <c r="G617" s="3">
        <v>328300</v>
      </c>
      <c r="H617" s="3">
        <v>0</v>
      </c>
      <c r="I617" s="3">
        <v>0</v>
      </c>
      <c r="J617" s="3" t="str">
        <v>AB</v>
      </c>
      <c r="K617" s="23">
        <v>42891</v>
      </c>
      <c r="L617" s="22">
        <v>12.929240226745605</v>
      </c>
    </row>
    <row r="618" spans="1:12" x14ac:dyDescent="0.25">
      <c r="A618" s="9">
        <v>611</v>
      </c>
      <c r="B618" s="10">
        <v>42893</v>
      </c>
      <c r="C618" s="3">
        <v>12.986326996188216</v>
      </c>
      <c r="D618" s="3">
        <v>13.14615910502056</v>
      </c>
      <c r="E618" s="3">
        <v>12.934952428662363</v>
      </c>
      <c r="F618" s="3">
        <v>13.071950912475586</v>
      </c>
      <c r="G618" s="3">
        <v>361500</v>
      </c>
      <c r="H618" s="3">
        <v>0</v>
      </c>
      <c r="I618" s="3">
        <v>0</v>
      </c>
      <c r="J618" s="3" t="str">
        <v>AB</v>
      </c>
      <c r="K618" s="23">
        <v>42892</v>
      </c>
      <c r="L618" s="22">
        <v>12.986327171325684</v>
      </c>
    </row>
    <row r="619" spans="1:12" x14ac:dyDescent="0.25">
      <c r="A619" s="9">
        <v>612</v>
      </c>
      <c r="B619" s="10">
        <v>42894</v>
      </c>
      <c r="C619" s="3">
        <v>13.043406335234106</v>
      </c>
      <c r="D619" s="3">
        <v>13.24319614340841</v>
      </c>
      <c r="E619" s="3">
        <v>13.043406335234106</v>
      </c>
      <c r="F619" s="3">
        <v>13.129030227661133</v>
      </c>
      <c r="G619" s="3">
        <v>305300</v>
      </c>
      <c r="H619" s="3">
        <v>0</v>
      </c>
      <c r="I619" s="3">
        <v>0</v>
      </c>
      <c r="J619" s="3" t="str">
        <v>AB</v>
      </c>
      <c r="K619" s="23">
        <v>42893</v>
      </c>
      <c r="L619" s="22">
        <v>13.071950912475586</v>
      </c>
    </row>
    <row r="620" spans="1:12" x14ac:dyDescent="0.25">
      <c r="A620" s="9">
        <v>613</v>
      </c>
      <c r="B620" s="10">
        <v>42895</v>
      </c>
      <c r="C620" s="3">
        <v>13.129029304750505</v>
      </c>
      <c r="D620" s="3">
        <v>13.442983917835649</v>
      </c>
      <c r="E620" s="3">
        <v>13.129029304750505</v>
      </c>
      <c r="F620" s="3">
        <v>13.271736145019531</v>
      </c>
      <c r="G620" s="3">
        <v>496100</v>
      </c>
      <c r="H620" s="3">
        <v>0</v>
      </c>
      <c r="I620" s="3">
        <v>0</v>
      </c>
      <c r="J620" s="3" t="str">
        <v>AB</v>
      </c>
      <c r="K620" s="23">
        <v>42894</v>
      </c>
      <c r="L620" s="22">
        <v>13.129030227661133</v>
      </c>
    </row>
    <row r="621" spans="1:12" x14ac:dyDescent="0.25">
      <c r="A621" s="9">
        <v>614</v>
      </c>
      <c r="B621" s="10">
        <v>42898</v>
      </c>
      <c r="C621" s="3">
        <v>13.243197273965007</v>
      </c>
      <c r="D621" s="3">
        <v>13.300279147944797</v>
      </c>
      <c r="E621" s="3">
        <v>13.157572285461411</v>
      </c>
      <c r="F621" s="3">
        <v>13.186114311218262</v>
      </c>
      <c r="G621" s="3">
        <v>335500</v>
      </c>
      <c r="H621" s="3">
        <v>0</v>
      </c>
      <c r="I621" s="3">
        <v>0</v>
      </c>
      <c r="J621" s="3" t="str">
        <v>AB</v>
      </c>
      <c r="K621" s="23">
        <v>42895</v>
      </c>
      <c r="L621" s="22">
        <v>13.271736145019531</v>
      </c>
    </row>
    <row r="622" spans="1:12" x14ac:dyDescent="0.25">
      <c r="A622" s="9">
        <v>615</v>
      </c>
      <c r="B622" s="10">
        <v>42899</v>
      </c>
      <c r="C622" s="3">
        <v>13.157570237297595</v>
      </c>
      <c r="D622" s="3">
        <v>13.414442985288559</v>
      </c>
      <c r="E622" s="3">
        <v>13.129029304750505</v>
      </c>
      <c r="F622" s="3">
        <v>13.271736145019531</v>
      </c>
      <c r="G622" s="3">
        <v>525200</v>
      </c>
      <c r="H622" s="3">
        <v>0</v>
      </c>
      <c r="I622" s="3">
        <v>0</v>
      </c>
      <c r="J622" s="3" t="str">
        <v>AB</v>
      </c>
      <c r="K622" s="23">
        <v>42898</v>
      </c>
      <c r="L622" s="22">
        <v>13.186114311218262</v>
      </c>
    </row>
    <row r="623" spans="1:12" x14ac:dyDescent="0.25">
      <c r="A623" s="9">
        <v>616</v>
      </c>
      <c r="B623" s="10">
        <v>42900</v>
      </c>
      <c r="C623" s="3">
        <v>13.186115722042492</v>
      </c>
      <c r="D623" s="3">
        <v>13.414446508692352</v>
      </c>
      <c r="E623" s="3">
        <v>13.157573693231839</v>
      </c>
      <c r="F623" s="3">
        <v>13.300280570983887</v>
      </c>
      <c r="G623" s="3">
        <v>303600</v>
      </c>
      <c r="H623" s="3">
        <v>0</v>
      </c>
      <c r="I623" s="3">
        <v>0</v>
      </c>
      <c r="J623" s="3" t="str">
        <v>AB</v>
      </c>
      <c r="K623" s="23">
        <v>42899</v>
      </c>
      <c r="L623" s="22">
        <v>13.271736145019531</v>
      </c>
    </row>
    <row r="624" spans="1:12" x14ac:dyDescent="0.25">
      <c r="A624" s="9">
        <v>617</v>
      </c>
      <c r="B624" s="10">
        <v>42901</v>
      </c>
      <c r="C624" s="3">
        <v>13.186114311218262</v>
      </c>
      <c r="D624" s="3">
        <v>13.300279147944797</v>
      </c>
      <c r="E624" s="3">
        <v>13.100490411481621</v>
      </c>
      <c r="F624" s="3">
        <v>13.186114311218262</v>
      </c>
      <c r="G624" s="3">
        <v>314600</v>
      </c>
      <c r="H624" s="3">
        <v>0</v>
      </c>
      <c r="I624" s="3">
        <v>0</v>
      </c>
      <c r="J624" s="3" t="str">
        <v>AB</v>
      </c>
      <c r="K624" s="23">
        <v>42900</v>
      </c>
      <c r="L624" s="22">
        <v>13.300280570983887</v>
      </c>
    </row>
    <row r="625" spans="1:12" x14ac:dyDescent="0.25">
      <c r="A625" s="9">
        <v>618</v>
      </c>
      <c r="B625" s="10">
        <v>42902</v>
      </c>
      <c r="C625" s="3">
        <v>13.129032753188259</v>
      </c>
      <c r="D625" s="3">
        <v>13.300280570983885</v>
      </c>
      <c r="E625" s="3">
        <v>13.077658190096157</v>
      </c>
      <c r="F625" s="3">
        <v>13.300280570983887</v>
      </c>
      <c r="G625" s="3">
        <v>196100</v>
      </c>
      <c r="H625" s="3">
        <v>0</v>
      </c>
      <c r="I625" s="3">
        <v>0</v>
      </c>
      <c r="J625" s="3" t="str">
        <v>AB</v>
      </c>
      <c r="K625" s="23">
        <v>42901</v>
      </c>
      <c r="L625" s="22">
        <v>13.186114311218262</v>
      </c>
    </row>
    <row r="626" spans="1:12" x14ac:dyDescent="0.25">
      <c r="A626" s="9">
        <v>619</v>
      </c>
      <c r="B626" s="10">
        <v>42905</v>
      </c>
      <c r="C626" s="3">
        <v>13.300277077566623</v>
      </c>
      <c r="D626" s="3">
        <v>13.340235907406051</v>
      </c>
      <c r="E626" s="3">
        <v>13.214653191158563</v>
      </c>
      <c r="F626" s="3">
        <v>13.271736145019531</v>
      </c>
      <c r="G626" s="3">
        <v>308500</v>
      </c>
      <c r="H626" s="3">
        <v>0</v>
      </c>
      <c r="I626" s="3">
        <v>0</v>
      </c>
      <c r="J626" s="3" t="str">
        <v>AB</v>
      </c>
      <c r="K626" s="23">
        <v>42902</v>
      </c>
      <c r="L626" s="22">
        <v>13.300280570983887</v>
      </c>
    </row>
    <row r="627" spans="1:12" x14ac:dyDescent="0.25">
      <c r="A627" s="9">
        <v>620</v>
      </c>
      <c r="B627" s="10">
        <v>42906</v>
      </c>
      <c r="C627" s="3">
        <v>13.071949784334025</v>
      </c>
      <c r="D627" s="3">
        <v>13.40302969716809</v>
      </c>
      <c r="E627" s="3">
        <v>13.014866815479794</v>
      </c>
      <c r="F627" s="3">
        <v>13.300280570983887</v>
      </c>
      <c r="G627" s="3">
        <v>424200</v>
      </c>
      <c r="H627" s="3">
        <v>0</v>
      </c>
      <c r="I627" s="3">
        <v>0</v>
      </c>
      <c r="J627" s="3" t="str">
        <v>AB</v>
      </c>
      <c r="K627" s="23">
        <v>42905</v>
      </c>
      <c r="L627" s="22">
        <v>13.271736145019531</v>
      </c>
    </row>
    <row r="628" spans="1:12" x14ac:dyDescent="0.25">
      <c r="A628" s="9">
        <v>621</v>
      </c>
      <c r="B628" s="10">
        <v>42907</v>
      </c>
      <c r="C628" s="3">
        <v>13.243198690896726</v>
      </c>
      <c r="D628" s="3">
        <v>13.40302969716809</v>
      </c>
      <c r="E628" s="3">
        <v>13.231781879372464</v>
      </c>
      <c r="F628" s="3">
        <v>13.300280570983887</v>
      </c>
      <c r="G628" s="3">
        <v>309700</v>
      </c>
      <c r="H628" s="3">
        <v>0</v>
      </c>
      <c r="I628" s="3">
        <v>0</v>
      </c>
      <c r="J628" s="3" t="str">
        <v>AB</v>
      </c>
      <c r="K628" s="23">
        <v>42906</v>
      </c>
      <c r="L628" s="22">
        <v>13.300280570983887</v>
      </c>
    </row>
    <row r="629" spans="1:12" x14ac:dyDescent="0.25">
      <c r="A629" s="9">
        <v>622</v>
      </c>
      <c r="B629" s="10">
        <v>42908</v>
      </c>
      <c r="C629" s="3">
        <v>13.271739330682511</v>
      </c>
      <c r="D629" s="3">
        <v>13.585694019127322</v>
      </c>
      <c r="E629" s="3">
        <v>13.271739330682511</v>
      </c>
      <c r="F629" s="3">
        <v>13.385905265808105</v>
      </c>
      <c r="G629" s="3">
        <v>321000</v>
      </c>
      <c r="H629" s="3">
        <v>0</v>
      </c>
      <c r="I629" s="3">
        <v>0</v>
      </c>
      <c r="J629" s="3" t="str">
        <v>AB</v>
      </c>
      <c r="K629" s="23">
        <v>42907</v>
      </c>
      <c r="L629" s="22">
        <v>13.300280570983887</v>
      </c>
    </row>
    <row r="630" spans="1:12" x14ac:dyDescent="0.25">
      <c r="A630" s="9">
        <v>623</v>
      </c>
      <c r="B630" s="10">
        <v>42909</v>
      </c>
      <c r="C630" s="3">
        <v>13.385904938375461</v>
      </c>
      <c r="D630" s="3">
        <v>13.55715274810791</v>
      </c>
      <c r="E630" s="3">
        <v>13.328821972208971</v>
      </c>
      <c r="F630" s="3">
        <v>13.414445877075195</v>
      </c>
      <c r="G630" s="3">
        <v>234500</v>
      </c>
      <c r="H630" s="3">
        <v>0</v>
      </c>
      <c r="I630" s="3">
        <v>0</v>
      </c>
      <c r="J630" s="3" t="str">
        <v>AB</v>
      </c>
      <c r="K630" s="23">
        <v>42908</v>
      </c>
      <c r="L630" s="22">
        <v>13.385905265808105</v>
      </c>
    </row>
    <row r="631" spans="1:12" x14ac:dyDescent="0.25">
      <c r="A631" s="9">
        <v>624</v>
      </c>
      <c r="B631" s="10">
        <v>42912</v>
      </c>
      <c r="C631" s="3">
        <v>13.500069946004594</v>
      </c>
      <c r="D631" s="3">
        <v>13.671318846585212</v>
      </c>
      <c r="E631" s="3">
        <v>13.414446040097802</v>
      </c>
      <c r="F631" s="3">
        <v>13.471529006958008</v>
      </c>
      <c r="G631" s="3">
        <v>324000</v>
      </c>
      <c r="H631" s="3">
        <v>0</v>
      </c>
      <c r="I631" s="3">
        <v>0</v>
      </c>
      <c r="J631" s="3" t="str">
        <v>AB</v>
      </c>
      <c r="K631" s="23">
        <v>42909</v>
      </c>
      <c r="L631" s="22">
        <v>13.414445877075195</v>
      </c>
    </row>
    <row r="632" spans="1:12" x14ac:dyDescent="0.25">
      <c r="A632" s="9">
        <v>625</v>
      </c>
      <c r="B632" s="10">
        <v>42913</v>
      </c>
      <c r="C632" s="3">
        <v>13.442983917835649</v>
      </c>
      <c r="D632" s="3">
        <v>13.56285822982036</v>
      </c>
      <c r="E632" s="3">
        <v>13.271736145019531</v>
      </c>
      <c r="F632" s="3">
        <v>13.271736145019531</v>
      </c>
      <c r="G632" s="3">
        <v>269600</v>
      </c>
      <c r="H632" s="3">
        <v>0</v>
      </c>
      <c r="I632" s="3">
        <v>0</v>
      </c>
      <c r="J632" s="3" t="str">
        <v>AB</v>
      </c>
      <c r="K632" s="23">
        <v>42912</v>
      </c>
      <c r="L632" s="22">
        <v>13.471529006958008</v>
      </c>
    </row>
    <row r="633" spans="1:12" x14ac:dyDescent="0.25">
      <c r="A633" s="9">
        <v>626</v>
      </c>
      <c r="B633" s="10">
        <v>42914</v>
      </c>
      <c r="C633" s="3">
        <v>13.271738219467617</v>
      </c>
      <c r="D633" s="3">
        <v>13.431570297507632</v>
      </c>
      <c r="E633" s="3">
        <v>13.231780472149351</v>
      </c>
      <c r="F633" s="3">
        <v>13.328821182250977</v>
      </c>
      <c r="G633" s="3">
        <v>254200</v>
      </c>
      <c r="H633" s="3">
        <v>0</v>
      </c>
      <c r="I633" s="3">
        <v>0</v>
      </c>
      <c r="J633" s="3" t="str">
        <v>AB</v>
      </c>
      <c r="K633" s="23">
        <v>42913</v>
      </c>
      <c r="L633" s="22">
        <v>13.271736145019531</v>
      </c>
    </row>
    <row r="634" spans="1:12" x14ac:dyDescent="0.25">
      <c r="A634" s="9">
        <v>627</v>
      </c>
      <c r="B634" s="10">
        <v>42915</v>
      </c>
      <c r="C634" s="3">
        <v>13.328822599794538</v>
      </c>
      <c r="D634" s="3">
        <v>13.442987448735932</v>
      </c>
      <c r="E634" s="3">
        <v>13.271739630940306</v>
      </c>
      <c r="F634" s="3">
        <v>13.300280570983887</v>
      </c>
      <c r="G634" s="3">
        <v>240900</v>
      </c>
      <c r="H634" s="3">
        <v>0</v>
      </c>
      <c r="I634" s="3">
        <v>0</v>
      </c>
      <c r="J634" s="3" t="str">
        <v>AB</v>
      </c>
      <c r="K634" s="23">
        <v>42914</v>
      </c>
      <c r="L634" s="22">
        <v>13.328821182250977</v>
      </c>
    </row>
    <row r="635" spans="1:12" x14ac:dyDescent="0.25">
      <c r="A635" s="9">
        <v>628</v>
      </c>
      <c r="B635" s="10">
        <v>42916</v>
      </c>
      <c r="C635" s="3">
        <v>13.271737907550609</v>
      </c>
      <c r="D635" s="3">
        <v>13.642775523771755</v>
      </c>
      <c r="E635" s="3">
        <v>13.271737907550609</v>
      </c>
      <c r="F635" s="3">
        <v>13.500068664550781</v>
      </c>
      <c r="G635" s="3">
        <v>231600</v>
      </c>
      <c r="H635" s="3">
        <v>0</v>
      </c>
      <c r="I635" s="3">
        <v>0</v>
      </c>
      <c r="J635" s="3" t="str">
        <v>AB</v>
      </c>
      <c r="K635" s="23">
        <v>42915</v>
      </c>
      <c r="L635" s="22">
        <v>13.300280570983887</v>
      </c>
    </row>
    <row r="636" spans="1:12" x14ac:dyDescent="0.25">
      <c r="A636" s="9">
        <v>629</v>
      </c>
      <c r="B636" s="10">
        <v>42919</v>
      </c>
      <c r="C636" s="3">
        <v>13.471528518560561</v>
      </c>
      <c r="D636" s="3">
        <v>13.699859288956436</v>
      </c>
      <c r="E636" s="3">
        <v>13.471528518560561</v>
      </c>
      <c r="F636" s="3">
        <v>13.585693359375</v>
      </c>
      <c r="G636" s="3">
        <v>246300</v>
      </c>
      <c r="H636" s="3">
        <v>0</v>
      </c>
      <c r="I636" s="3">
        <v>0</v>
      </c>
      <c r="J636" s="3" t="str">
        <v>AB</v>
      </c>
      <c r="K636" s="23">
        <v>42916</v>
      </c>
      <c r="L636" s="22">
        <v>13.500068664550781</v>
      </c>
    </row>
    <row r="637" spans="1:12" x14ac:dyDescent="0.25">
      <c r="A637" s="9">
        <v>630</v>
      </c>
      <c r="B637" s="10">
        <v>42921</v>
      </c>
      <c r="C637" s="3">
        <v>13.557151625992557</v>
      </c>
      <c r="D637" s="3">
        <v>13.671317548876109</v>
      </c>
      <c r="E637" s="3">
        <v>13.471527728213358</v>
      </c>
      <c r="F637" s="3">
        <v>13.500068664550781</v>
      </c>
      <c r="G637" s="3">
        <v>175700</v>
      </c>
      <c r="H637" s="3">
        <v>0</v>
      </c>
      <c r="I637" s="3">
        <v>0</v>
      </c>
      <c r="J637" s="3" t="str">
        <v>AB</v>
      </c>
      <c r="K637" s="23">
        <v>42919</v>
      </c>
      <c r="L637" s="22">
        <v>13.585693359375</v>
      </c>
    </row>
    <row r="638" spans="1:12" x14ac:dyDescent="0.25">
      <c r="A638" s="9">
        <v>631</v>
      </c>
      <c r="B638" s="10">
        <v>42922</v>
      </c>
      <c r="C638" s="3">
        <v>13.414444598688165</v>
      </c>
      <c r="D638" s="3">
        <v>13.528610520141216</v>
      </c>
      <c r="E638" s="3">
        <v>13.414444598688165</v>
      </c>
      <c r="F638" s="3">
        <v>13.442985534667969</v>
      </c>
      <c r="G638" s="3">
        <v>150300</v>
      </c>
      <c r="H638" s="3">
        <v>0</v>
      </c>
      <c r="I638" s="3">
        <v>0</v>
      </c>
      <c r="J638" s="3" t="str">
        <v>AB</v>
      </c>
      <c r="K638" s="23">
        <v>42921</v>
      </c>
      <c r="L638" s="22">
        <v>13.500068664550781</v>
      </c>
    </row>
    <row r="639" spans="1:12" x14ac:dyDescent="0.25">
      <c r="A639" s="9">
        <v>632</v>
      </c>
      <c r="B639" s="10">
        <v>42923</v>
      </c>
      <c r="C639" s="3">
        <v>13.442989623153608</v>
      </c>
      <c r="D639" s="3">
        <v>13.785486402911147</v>
      </c>
      <c r="E639" s="3">
        <v>13.4144486784935</v>
      </c>
      <c r="F639" s="3">
        <v>13.699862480163574</v>
      </c>
      <c r="G639" s="3">
        <v>308100</v>
      </c>
      <c r="H639" s="3">
        <v>0</v>
      </c>
      <c r="I639" s="3">
        <v>0</v>
      </c>
      <c r="J639" s="3" t="str">
        <v>AB</v>
      </c>
      <c r="K639" s="23">
        <v>42922</v>
      </c>
      <c r="L639" s="22">
        <v>13.442985534667969</v>
      </c>
    </row>
    <row r="640" spans="1:12" x14ac:dyDescent="0.25">
      <c r="A640" s="9">
        <v>633</v>
      </c>
      <c r="B640" s="10">
        <v>42926</v>
      </c>
      <c r="C640" s="3">
        <v>13.642776327583684</v>
      </c>
      <c r="D640" s="3">
        <v>13.871107098036765</v>
      </c>
      <c r="E640" s="3">
        <v>13.625652200279076</v>
      </c>
      <c r="F640" s="3">
        <v>13.728400230407715</v>
      </c>
      <c r="G640" s="3">
        <v>314400</v>
      </c>
      <c r="H640" s="3">
        <v>0</v>
      </c>
      <c r="I640" s="3">
        <v>0</v>
      </c>
      <c r="J640" s="3" t="str">
        <v>AB</v>
      </c>
      <c r="K640" s="23">
        <v>42923</v>
      </c>
      <c r="L640" s="22">
        <v>13.699862480163574</v>
      </c>
    </row>
    <row r="641" spans="1:12" x14ac:dyDescent="0.25">
      <c r="A641" s="9">
        <v>634</v>
      </c>
      <c r="B641" s="10">
        <v>42927</v>
      </c>
      <c r="C641" s="3">
        <v>13.728403424823682</v>
      </c>
      <c r="D641" s="3">
        <v>13.842569380998611</v>
      </c>
      <c r="E641" s="3">
        <v>13.585696523988645</v>
      </c>
      <c r="F641" s="3">
        <v>13.699862480163574</v>
      </c>
      <c r="G641" s="3">
        <v>212100</v>
      </c>
      <c r="H641" s="3">
        <v>0</v>
      </c>
      <c r="I641" s="3">
        <v>0</v>
      </c>
      <c r="J641" s="3" t="str">
        <v>AB</v>
      </c>
      <c r="K641" s="23">
        <v>42926</v>
      </c>
      <c r="L641" s="22">
        <v>13.728400230407715</v>
      </c>
    </row>
    <row r="642" spans="1:12" x14ac:dyDescent="0.25">
      <c r="A642" s="9">
        <v>635</v>
      </c>
      <c r="B642" s="10">
        <v>42928</v>
      </c>
      <c r="C642" s="3">
        <v>13.728399612031428</v>
      </c>
      <c r="D642" s="3">
        <v>13.985272397700044</v>
      </c>
      <c r="E642" s="3">
        <v>13.728399612031428</v>
      </c>
      <c r="F642" s="3">
        <v>13.842565536499023</v>
      </c>
      <c r="G642" s="3">
        <v>243600</v>
      </c>
      <c r="H642" s="3">
        <v>0</v>
      </c>
      <c r="I642" s="3">
        <v>0</v>
      </c>
      <c r="J642" s="3" t="str">
        <v>AB</v>
      </c>
      <c r="K642" s="23">
        <v>42927</v>
      </c>
      <c r="L642" s="22">
        <v>13.699862480163574</v>
      </c>
    </row>
    <row r="643" spans="1:12" x14ac:dyDescent="0.25">
      <c r="A643" s="9">
        <v>636</v>
      </c>
      <c r="B643" s="10">
        <v>42929</v>
      </c>
      <c r="C643" s="3">
        <v>13.842567108762383</v>
      </c>
      <c r="D643" s="3">
        <v>14.042356954889687</v>
      </c>
      <c r="E643" s="3">
        <v>13.831150297265491</v>
      </c>
      <c r="F643" s="3">
        <v>14.013814926147461</v>
      </c>
      <c r="G643" s="3">
        <v>212800</v>
      </c>
      <c r="H643" s="3">
        <v>0</v>
      </c>
      <c r="I643" s="3">
        <v>0</v>
      </c>
      <c r="J643" s="3" t="str">
        <v>AB</v>
      </c>
      <c r="K643" s="23">
        <v>42928</v>
      </c>
      <c r="L643" s="22">
        <v>13.842565536499023</v>
      </c>
    </row>
    <row r="644" spans="1:12" x14ac:dyDescent="0.25">
      <c r="A644" s="9">
        <v>637</v>
      </c>
      <c r="B644" s="10">
        <v>42930</v>
      </c>
      <c r="C644" s="3">
        <v>13.956729567322103</v>
      </c>
      <c r="D644" s="3">
        <v>14.070894387532906</v>
      </c>
      <c r="E644" s="3">
        <v>13.956729567322103</v>
      </c>
      <c r="F644" s="3">
        <v>13.985270500183105</v>
      </c>
      <c r="G644" s="3">
        <v>202100</v>
      </c>
      <c r="H644" s="3">
        <v>0</v>
      </c>
      <c r="I644" s="3">
        <v>0</v>
      </c>
      <c r="J644" s="3" t="str">
        <v>AB</v>
      </c>
      <c r="K644" s="23">
        <v>42929</v>
      </c>
      <c r="L644" s="22">
        <v>14.013814926147461</v>
      </c>
    </row>
    <row r="645" spans="1:12" x14ac:dyDescent="0.25">
      <c r="A645" s="9">
        <v>638</v>
      </c>
      <c r="B645" s="10">
        <v>42933</v>
      </c>
      <c r="C645" s="3">
        <v>13.871105556203565</v>
      </c>
      <c r="D645" s="3">
        <v>14.213602218196701</v>
      </c>
      <c r="E645" s="3">
        <v>13.871105556203565</v>
      </c>
      <c r="F645" s="3">
        <v>14.127978324890137</v>
      </c>
      <c r="G645" s="3">
        <v>280600</v>
      </c>
      <c r="H645" s="3">
        <v>0</v>
      </c>
      <c r="I645" s="3">
        <v>0</v>
      </c>
      <c r="J645" s="3" t="str">
        <v>AB</v>
      </c>
      <c r="K645" s="23">
        <v>42930</v>
      </c>
      <c r="L645" s="22">
        <v>13.985270500183105</v>
      </c>
    </row>
    <row r="646" spans="1:12" x14ac:dyDescent="0.25">
      <c r="A646" s="9">
        <v>639</v>
      </c>
      <c r="B646" s="10">
        <v>42934</v>
      </c>
      <c r="C646" s="3">
        <v>13.985272250614935</v>
      </c>
      <c r="D646" s="3">
        <v>14.156520046748344</v>
      </c>
      <c r="E646" s="3">
        <v>13.928189288981487</v>
      </c>
      <c r="F646" s="3">
        <v>14.070896148681641</v>
      </c>
      <c r="G646" s="3">
        <v>179900</v>
      </c>
      <c r="H646" s="3">
        <v>0</v>
      </c>
      <c r="I646" s="3">
        <v>0</v>
      </c>
      <c r="J646" s="3" t="str">
        <v>AB</v>
      </c>
      <c r="K646" s="23">
        <v>42933</v>
      </c>
      <c r="L646" s="22">
        <v>14.127978324890137</v>
      </c>
    </row>
    <row r="647" spans="1:12" x14ac:dyDescent="0.25">
      <c r="A647" s="9">
        <v>640</v>
      </c>
      <c r="B647" s="10">
        <v>42935</v>
      </c>
      <c r="C647" s="3">
        <v>14.070891882379545</v>
      </c>
      <c r="D647" s="3">
        <v>14.213598698810914</v>
      </c>
      <c r="E647" s="3">
        <v>13.985268010274046</v>
      </c>
      <c r="F647" s="3">
        <v>14.099433898925781</v>
      </c>
      <c r="G647" s="3">
        <v>176600</v>
      </c>
      <c r="H647" s="3">
        <v>0</v>
      </c>
      <c r="I647" s="3">
        <v>0</v>
      </c>
      <c r="J647" s="3" t="str">
        <v>AB</v>
      </c>
      <c r="K647" s="23">
        <v>42934</v>
      </c>
      <c r="L647" s="22">
        <v>14.070896148681641</v>
      </c>
    </row>
    <row r="648" spans="1:12" x14ac:dyDescent="0.25">
      <c r="A648" s="9">
        <v>641</v>
      </c>
      <c r="B648" s="10">
        <v>42936</v>
      </c>
      <c r="C648" s="3">
        <v>13.985272250614935</v>
      </c>
      <c r="D648" s="3">
        <v>14.202186198301716</v>
      </c>
      <c r="E648" s="3">
        <v>13.985272250614935</v>
      </c>
      <c r="F648" s="3">
        <v>14.070896148681641</v>
      </c>
      <c r="G648" s="3">
        <v>196000</v>
      </c>
      <c r="H648" s="3">
        <v>0</v>
      </c>
      <c r="I648" s="3">
        <v>0</v>
      </c>
      <c r="J648" s="3" t="str">
        <v>AB</v>
      </c>
      <c r="K648" s="23">
        <v>42935</v>
      </c>
      <c r="L648" s="22">
        <v>14.099433898925781</v>
      </c>
    </row>
    <row r="649" spans="1:12" x14ac:dyDescent="0.25">
      <c r="A649" s="9">
        <v>642</v>
      </c>
      <c r="B649" s="10">
        <v>42937</v>
      </c>
      <c r="C649" s="3">
        <v>14.04235443158357</v>
      </c>
      <c r="D649" s="3">
        <v>14.185061283350137</v>
      </c>
      <c r="E649" s="3">
        <v>14.04235443158357</v>
      </c>
      <c r="F649" s="3">
        <v>14.127978324890137</v>
      </c>
      <c r="G649" s="3">
        <v>125900</v>
      </c>
      <c r="H649" s="3">
        <v>0</v>
      </c>
      <c r="I649" s="3">
        <v>0</v>
      </c>
      <c r="J649" s="3" t="str">
        <v>AB</v>
      </c>
      <c r="K649" s="23">
        <v>42936</v>
      </c>
      <c r="L649" s="22">
        <v>14.070896148681641</v>
      </c>
    </row>
    <row r="650" spans="1:12" x14ac:dyDescent="0.25">
      <c r="A650" s="9">
        <v>643</v>
      </c>
      <c r="B650" s="10">
        <v>42940</v>
      </c>
      <c r="C650" s="3">
        <v>14.070895366430134</v>
      </c>
      <c r="D650" s="3">
        <v>14.185061283350137</v>
      </c>
      <c r="E650" s="3">
        <v>14.04235443158357</v>
      </c>
      <c r="F650" s="3">
        <v>14.127978324890137</v>
      </c>
      <c r="G650" s="3">
        <v>232500</v>
      </c>
      <c r="H650" s="3">
        <v>0</v>
      </c>
      <c r="I650" s="3">
        <v>0</v>
      </c>
      <c r="J650" s="3" t="str">
        <v>AB</v>
      </c>
      <c r="K650" s="23">
        <v>42937</v>
      </c>
      <c r="L650" s="22">
        <v>14.127978324890137</v>
      </c>
    </row>
    <row r="651" spans="1:12" x14ac:dyDescent="0.25">
      <c r="A651" s="9">
        <v>644</v>
      </c>
      <c r="B651" s="10">
        <v>42941</v>
      </c>
      <c r="C651" s="3">
        <v>14.127974751415865</v>
      </c>
      <c r="D651" s="3">
        <v>14.356305438735932</v>
      </c>
      <c r="E651" s="3">
        <v>14.099433823788331</v>
      </c>
      <c r="F651" s="3">
        <v>14.327764511108398</v>
      </c>
      <c r="G651" s="3">
        <v>260700</v>
      </c>
      <c r="H651" s="3">
        <v>0</v>
      </c>
      <c r="I651" s="3">
        <v>0</v>
      </c>
      <c r="J651" s="3" t="str">
        <v>AB</v>
      </c>
      <c r="K651" s="23">
        <v>42940</v>
      </c>
      <c r="L651" s="22">
        <v>14.127978324890137</v>
      </c>
    </row>
    <row r="652" spans="1:12" x14ac:dyDescent="0.25">
      <c r="A652" s="9">
        <v>645</v>
      </c>
      <c r="B652" s="10">
        <v>42942</v>
      </c>
      <c r="C652" s="3">
        <v>14.270686938897665</v>
      </c>
      <c r="D652" s="3">
        <v>14.441934746657633</v>
      </c>
      <c r="E652" s="3">
        <v>14.185063035017681</v>
      </c>
      <c r="F652" s="3">
        <v>14.213603973388672</v>
      </c>
      <c r="G652" s="3">
        <v>309100</v>
      </c>
      <c r="H652" s="3">
        <v>0</v>
      </c>
      <c r="I652" s="3">
        <v>0</v>
      </c>
      <c r="J652" s="3" t="str">
        <v>AB</v>
      </c>
      <c r="K652" s="23">
        <v>42941</v>
      </c>
      <c r="L652" s="22">
        <v>14.327764511108398</v>
      </c>
    </row>
    <row r="653" spans="1:12" x14ac:dyDescent="0.25">
      <c r="A653" s="9">
        <v>646</v>
      </c>
      <c r="B653" s="10">
        <v>42943</v>
      </c>
      <c r="C653" s="3">
        <v>14.299230575561523</v>
      </c>
      <c r="D653" s="3">
        <v>14.927141137114379</v>
      </c>
      <c r="E653" s="3">
        <v>14.242148688048077</v>
      </c>
      <c r="F653" s="3">
        <v>14.299230575561523</v>
      </c>
      <c r="G653" s="3">
        <v>331600</v>
      </c>
      <c r="H653" s="3">
        <v>0</v>
      </c>
      <c r="I653" s="3">
        <v>0</v>
      </c>
      <c r="J653" s="3" t="str">
        <v>AB</v>
      </c>
      <c r="K653" s="23">
        <v>42942</v>
      </c>
      <c r="L653" s="22">
        <v>14.213603973388672</v>
      </c>
    </row>
    <row r="654" spans="1:12" x14ac:dyDescent="0.25">
      <c r="A654" s="9">
        <v>647</v>
      </c>
      <c r="B654" s="10">
        <v>42944</v>
      </c>
      <c r="C654" s="3">
        <v>13.785482574265226</v>
      </c>
      <c r="D654" s="3">
        <v>14.01381333443347</v>
      </c>
      <c r="E654" s="3">
        <v>13.500068851863183</v>
      </c>
      <c r="F654" s="3">
        <v>13.842565536499023</v>
      </c>
      <c r="G654" s="3">
        <v>536300</v>
      </c>
      <c r="H654" s="3">
        <v>0</v>
      </c>
      <c r="I654" s="3">
        <v>0</v>
      </c>
      <c r="J654" s="3" t="str">
        <v>AB</v>
      </c>
      <c r="K654" s="23">
        <v>42943</v>
      </c>
      <c r="L654" s="22">
        <v>14.299230575561523</v>
      </c>
    </row>
    <row r="655" spans="1:12" x14ac:dyDescent="0.25">
      <c r="A655" s="9">
        <v>648</v>
      </c>
      <c r="B655" s="10">
        <v>42947</v>
      </c>
      <c r="C655" s="3">
        <v>13.842564621357001</v>
      </c>
      <c r="D655" s="3">
        <v>14.156519259736699</v>
      </c>
      <c r="E655" s="3">
        <v>13.814023686510438</v>
      </c>
      <c r="F655" s="3">
        <v>14.127978324890137</v>
      </c>
      <c r="G655" s="3">
        <v>279400</v>
      </c>
      <c r="H655" s="3">
        <v>0</v>
      </c>
      <c r="I655" s="3">
        <v>0</v>
      </c>
      <c r="J655" s="3" t="str">
        <v>AB</v>
      </c>
      <c r="K655" s="23">
        <v>42944</v>
      </c>
      <c r="L655" s="22">
        <v>13.842565536499023</v>
      </c>
    </row>
    <row r="656" spans="1:12" x14ac:dyDescent="0.25">
      <c r="A656" s="9">
        <v>649</v>
      </c>
      <c r="B656" s="10">
        <v>42948</v>
      </c>
      <c r="C656" s="3">
        <v>14.127977718957883</v>
      </c>
      <c r="D656" s="3">
        <v>14.270684564603922</v>
      </c>
      <c r="E656" s="3">
        <v>14.042353829323625</v>
      </c>
      <c r="F656" s="3">
        <v>14.242143630981445</v>
      </c>
      <c r="G656" s="3">
        <v>265100</v>
      </c>
      <c r="H656" s="3">
        <v>0</v>
      </c>
      <c r="I656" s="3">
        <v>0</v>
      </c>
      <c r="J656" s="3" t="str">
        <v>AB</v>
      </c>
      <c r="K656" s="23">
        <v>42947</v>
      </c>
      <c r="L656" s="22">
        <v>14.127978324890137</v>
      </c>
    </row>
    <row r="657" spans="1:12" x14ac:dyDescent="0.25">
      <c r="A657" s="9">
        <v>650</v>
      </c>
      <c r="B657" s="10">
        <v>42949</v>
      </c>
      <c r="C657" s="3">
        <v>14.185059047924089</v>
      </c>
      <c r="D657" s="3">
        <v>14.242141997388378</v>
      </c>
      <c r="E657" s="3">
        <v>14.042352218646718</v>
      </c>
      <c r="F657" s="3">
        <v>14.156517028808594</v>
      </c>
      <c r="G657" s="3">
        <v>267500</v>
      </c>
      <c r="H657" s="3">
        <v>0</v>
      </c>
      <c r="I657" s="3">
        <v>0</v>
      </c>
      <c r="J657" s="3" t="str">
        <v>AB</v>
      </c>
      <c r="K657" s="23">
        <v>42948</v>
      </c>
      <c r="L657" s="22">
        <v>14.242143630981445</v>
      </c>
    </row>
    <row r="658" spans="1:12" x14ac:dyDescent="0.25">
      <c r="A658" s="9">
        <v>651</v>
      </c>
      <c r="B658" s="10">
        <v>42950</v>
      </c>
      <c r="C658" s="3">
        <v>14.034228885621634</v>
      </c>
      <c r="D658" s="3">
        <v>14.296278131997795</v>
      </c>
      <c r="E658" s="3">
        <v>14.00511156221607</v>
      </c>
      <c r="F658" s="3">
        <v>14.150694847106934</v>
      </c>
      <c r="G658" s="3">
        <v>341600</v>
      </c>
      <c r="H658" s="3">
        <v>0.49</v>
      </c>
      <c r="I658" s="3">
        <v>0</v>
      </c>
      <c r="J658" s="3" t="str">
        <v>AB</v>
      </c>
      <c r="K658" s="23">
        <v>42949</v>
      </c>
      <c r="L658" s="22">
        <v>14.156517028808594</v>
      </c>
    </row>
    <row r="659" spans="1:12" x14ac:dyDescent="0.25">
      <c r="A659" s="9">
        <v>652</v>
      </c>
      <c r="B659" s="10">
        <v>42951</v>
      </c>
      <c r="C659" s="3">
        <v>14.150694847106932</v>
      </c>
      <c r="D659" s="3">
        <v>14.238045706611304</v>
      </c>
      <c r="E659" s="3">
        <v>14.080815492358216</v>
      </c>
      <c r="F659" s="3">
        <v>14.150694847106934</v>
      </c>
      <c r="G659" s="3">
        <v>215300</v>
      </c>
      <c r="H659" s="3">
        <v>0</v>
      </c>
      <c r="I659" s="3">
        <v>0</v>
      </c>
      <c r="J659" s="3" t="str">
        <v>AB</v>
      </c>
      <c r="K659" s="23">
        <v>42950</v>
      </c>
      <c r="L659" s="22">
        <v>14.150694847106934</v>
      </c>
    </row>
    <row r="660" spans="1:12" x14ac:dyDescent="0.25">
      <c r="A660" s="9">
        <v>653</v>
      </c>
      <c r="B660" s="10">
        <v>42954</v>
      </c>
      <c r="C660" s="3">
        <v>14.092465767100119</v>
      </c>
      <c r="D660" s="3">
        <v>14.412748625606339</v>
      </c>
      <c r="E660" s="3">
        <v>14.063348436782457</v>
      </c>
      <c r="F660" s="3">
        <v>14.354515075683594</v>
      </c>
      <c r="G660" s="3">
        <v>324800</v>
      </c>
      <c r="H660" s="3">
        <v>0</v>
      </c>
      <c r="I660" s="3">
        <v>0</v>
      </c>
      <c r="J660" s="3" t="str">
        <v>AB</v>
      </c>
      <c r="K660" s="23">
        <v>42951</v>
      </c>
      <c r="L660" s="22">
        <v>14.150694847106934</v>
      </c>
    </row>
    <row r="661" spans="1:12" x14ac:dyDescent="0.25">
      <c r="A661" s="9">
        <v>654</v>
      </c>
      <c r="B661" s="10">
        <v>42955</v>
      </c>
      <c r="C661" s="3">
        <v>14.3545096186179</v>
      </c>
      <c r="D661" s="3">
        <v>14.470976674186822</v>
      </c>
      <c r="E661" s="3">
        <v>14.3020995546831</v>
      </c>
      <c r="F661" s="3">
        <v>14.383626937866211</v>
      </c>
      <c r="G661" s="3">
        <v>298800</v>
      </c>
      <c r="H661" s="3">
        <v>0</v>
      </c>
      <c r="I661" s="3">
        <v>0</v>
      </c>
      <c r="J661" s="3" t="str">
        <v>AB</v>
      </c>
      <c r="K661" s="23">
        <v>42954</v>
      </c>
      <c r="L661" s="22">
        <v>14.354515075683594</v>
      </c>
    </row>
    <row r="662" spans="1:12" x14ac:dyDescent="0.25">
      <c r="A662" s="9">
        <v>655</v>
      </c>
      <c r="B662" s="10">
        <v>42956</v>
      </c>
      <c r="C662" s="3">
        <v>14.267162600769961</v>
      </c>
      <c r="D662" s="3">
        <v>14.441862106698521</v>
      </c>
      <c r="E662" s="3">
        <v>14.17981284780568</v>
      </c>
      <c r="F662" s="3">
        <v>14.208929061889648</v>
      </c>
      <c r="G662" s="3">
        <v>214300</v>
      </c>
      <c r="H662" s="3">
        <v>0</v>
      </c>
      <c r="I662" s="3">
        <v>0</v>
      </c>
      <c r="J662" s="3" t="str">
        <v>AB</v>
      </c>
      <c r="K662" s="23">
        <v>42955</v>
      </c>
      <c r="L662" s="22">
        <v>14.383626937866211</v>
      </c>
    </row>
    <row r="663" spans="1:12" x14ac:dyDescent="0.25">
      <c r="A663" s="9">
        <v>656</v>
      </c>
      <c r="B663" s="10">
        <v>42957</v>
      </c>
      <c r="C663" s="3">
        <v>14.238047937507899</v>
      </c>
      <c r="D663" s="3">
        <v>14.238047937507899</v>
      </c>
      <c r="E663" s="3">
        <v>13.626597378733408</v>
      </c>
      <c r="F663" s="3">
        <v>13.859530448913574</v>
      </c>
      <c r="G663" s="3">
        <v>433000</v>
      </c>
      <c r="H663" s="3">
        <v>0</v>
      </c>
      <c r="I663" s="3">
        <v>0</v>
      </c>
      <c r="J663" s="3" t="str">
        <v>AB</v>
      </c>
      <c r="K663" s="23">
        <v>42956</v>
      </c>
      <c r="L663" s="22">
        <v>14.208929061889648</v>
      </c>
    </row>
    <row r="664" spans="1:12" x14ac:dyDescent="0.25">
      <c r="A664" s="9">
        <v>657</v>
      </c>
      <c r="B664" s="10">
        <v>42958</v>
      </c>
      <c r="C664" s="3">
        <v>13.684829571372584</v>
      </c>
      <c r="D664" s="3">
        <v>13.975996157997532</v>
      </c>
      <c r="E664" s="3">
        <v>13.481012738592645</v>
      </c>
      <c r="F664" s="3">
        <v>13.830412864685059</v>
      </c>
      <c r="G664" s="3">
        <v>253100</v>
      </c>
      <c r="H664" s="3">
        <v>0</v>
      </c>
      <c r="I664" s="3">
        <v>0</v>
      </c>
      <c r="J664" s="3" t="str">
        <v>AB</v>
      </c>
      <c r="K664" s="23">
        <v>42957</v>
      </c>
      <c r="L664" s="22">
        <v>13.859530448913574</v>
      </c>
    </row>
    <row r="665" spans="1:12" x14ac:dyDescent="0.25">
      <c r="A665" s="9">
        <v>658</v>
      </c>
      <c r="B665" s="10">
        <v>42961</v>
      </c>
      <c r="C665" s="3">
        <v>13.917762478574181</v>
      </c>
      <c r="D665" s="3">
        <v>14.121579309304556</v>
      </c>
      <c r="E665" s="3">
        <v>13.830412725607555</v>
      </c>
      <c r="F665" s="3">
        <v>13.975996017456055</v>
      </c>
      <c r="G665" s="3">
        <v>194100</v>
      </c>
      <c r="H665" s="3">
        <v>0</v>
      </c>
      <c r="I665" s="3">
        <v>0</v>
      </c>
      <c r="J665" s="3" t="str">
        <v>AB</v>
      </c>
      <c r="K665" s="23">
        <v>42958</v>
      </c>
      <c r="L665" s="22">
        <v>13.830412864685059</v>
      </c>
    </row>
    <row r="666" spans="1:12" x14ac:dyDescent="0.25">
      <c r="A666" s="9">
        <v>659</v>
      </c>
      <c r="B666" s="10">
        <v>42962</v>
      </c>
      <c r="C666" s="3">
        <v>13.975997797232289</v>
      </c>
      <c r="D666" s="3">
        <v>14.022584412127896</v>
      </c>
      <c r="E666" s="3">
        <v>13.859530704637015</v>
      </c>
      <c r="F666" s="3">
        <v>13.88864803314209</v>
      </c>
      <c r="G666" s="3">
        <v>202100</v>
      </c>
      <c r="H666" s="3">
        <v>0</v>
      </c>
      <c r="I666" s="3">
        <v>0</v>
      </c>
      <c r="J666" s="3" t="str">
        <v>AB</v>
      </c>
      <c r="K666" s="23">
        <v>42961</v>
      </c>
      <c r="L666" s="22">
        <v>13.975996017456055</v>
      </c>
    </row>
    <row r="667" spans="1:12" x14ac:dyDescent="0.25">
      <c r="A667" s="9">
        <v>660</v>
      </c>
      <c r="B667" s="10">
        <v>42963</v>
      </c>
      <c r="C667" s="3">
        <v>13.859529901833326</v>
      </c>
      <c r="D667" s="3">
        <v>13.9468807715763</v>
      </c>
      <c r="E667" s="3">
        <v>13.713946599878303</v>
      </c>
      <c r="F667" s="3">
        <v>13.743063926696777</v>
      </c>
      <c r="G667" s="3">
        <v>158900</v>
      </c>
      <c r="H667" s="3">
        <v>0</v>
      </c>
      <c r="I667" s="3">
        <v>0</v>
      </c>
      <c r="J667" s="3" t="str">
        <v>AB</v>
      </c>
      <c r="K667" s="23">
        <v>42962</v>
      </c>
      <c r="L667" s="22">
        <v>13.88864803314209</v>
      </c>
    </row>
    <row r="668" spans="1:12" x14ac:dyDescent="0.25">
      <c r="A668" s="9">
        <v>661</v>
      </c>
      <c r="B668" s="10">
        <v>42964</v>
      </c>
      <c r="C668" s="3">
        <v>13.655716821785864</v>
      </c>
      <c r="D668" s="3">
        <v>13.71394926531595</v>
      </c>
      <c r="E668" s="3">
        <v>13.451899937292573</v>
      </c>
      <c r="F668" s="3">
        <v>13.481016159057617</v>
      </c>
      <c r="G668" s="3">
        <v>149400</v>
      </c>
      <c r="H668" s="3">
        <v>0</v>
      </c>
      <c r="I668" s="3">
        <v>0</v>
      </c>
      <c r="J668" s="3" t="str">
        <v>AB</v>
      </c>
      <c r="K668" s="23">
        <v>42963</v>
      </c>
      <c r="L668" s="22">
        <v>13.743063926696777</v>
      </c>
    </row>
    <row r="669" spans="1:12" x14ac:dyDescent="0.25">
      <c r="A669" s="9">
        <v>662</v>
      </c>
      <c r="B669" s="10">
        <v>42965</v>
      </c>
      <c r="C669" s="3">
        <v>13.393663127392804</v>
      </c>
      <c r="D669" s="3">
        <v>13.597479962343433</v>
      </c>
      <c r="E669" s="3">
        <v>13.131612752354508</v>
      </c>
      <c r="F669" s="3">
        <v>13.451896667480469</v>
      </c>
      <c r="G669" s="3">
        <v>256600</v>
      </c>
      <c r="H669" s="3">
        <v>0</v>
      </c>
      <c r="I669" s="3">
        <v>0</v>
      </c>
      <c r="J669" s="3" t="str">
        <v>AB</v>
      </c>
      <c r="K669" s="23">
        <v>42964</v>
      </c>
      <c r="L669" s="22">
        <v>13.481016159057617</v>
      </c>
    </row>
    <row r="670" spans="1:12" x14ac:dyDescent="0.25">
      <c r="A670" s="9">
        <v>663</v>
      </c>
      <c r="B670" s="10">
        <v>42968</v>
      </c>
      <c r="C670" s="3">
        <v>13.422781084657061</v>
      </c>
      <c r="D670" s="3">
        <v>13.818767875806234</v>
      </c>
      <c r="E670" s="3">
        <v>13.422781084657061</v>
      </c>
      <c r="F670" s="3">
        <v>13.597481727600098</v>
      </c>
      <c r="G670" s="3">
        <v>285900</v>
      </c>
      <c r="H670" s="3">
        <v>0</v>
      </c>
      <c r="I670" s="3">
        <v>0</v>
      </c>
      <c r="J670" s="3" t="str">
        <v>AB</v>
      </c>
      <c r="K670" s="23">
        <v>42965</v>
      </c>
      <c r="L670" s="22">
        <v>13.451896667480469</v>
      </c>
    </row>
    <row r="671" spans="1:12" x14ac:dyDescent="0.25">
      <c r="A671" s="9">
        <v>664</v>
      </c>
      <c r="B671" s="10">
        <v>42969</v>
      </c>
      <c r="C671" s="3">
        <v>13.510130865711227</v>
      </c>
      <c r="D671" s="3">
        <v>13.801297469621275</v>
      </c>
      <c r="E671" s="3">
        <v>13.510130865711227</v>
      </c>
      <c r="F671" s="3">
        <v>13.743063926696777</v>
      </c>
      <c r="G671" s="3">
        <v>242400</v>
      </c>
      <c r="H671" s="3">
        <v>0</v>
      </c>
      <c r="I671" s="3">
        <v>0</v>
      </c>
      <c r="J671" s="3" t="str">
        <v>AB</v>
      </c>
      <c r="K671" s="23">
        <v>42968</v>
      </c>
      <c r="L671" s="22">
        <v>13.597481727600098</v>
      </c>
    </row>
    <row r="672" spans="1:12" x14ac:dyDescent="0.25">
      <c r="A672" s="9">
        <v>665</v>
      </c>
      <c r="B672" s="10">
        <v>42970</v>
      </c>
      <c r="C672" s="3">
        <v>13.539246827686311</v>
      </c>
      <c r="D672" s="3">
        <v>13.830413426131178</v>
      </c>
      <c r="E672" s="3">
        <v>13.539246827686311</v>
      </c>
      <c r="F672" s="3">
        <v>13.713946342468262</v>
      </c>
      <c r="G672" s="3">
        <v>226200</v>
      </c>
      <c r="H672" s="3">
        <v>0</v>
      </c>
      <c r="I672" s="3">
        <v>0</v>
      </c>
      <c r="J672" s="3" t="str">
        <v>AB</v>
      </c>
      <c r="K672" s="23">
        <v>42969</v>
      </c>
      <c r="L672" s="22">
        <v>13.743063926696777</v>
      </c>
    </row>
    <row r="673" spans="1:12" x14ac:dyDescent="0.25">
      <c r="A673" s="9">
        <v>666</v>
      </c>
      <c r="B673" s="10">
        <v>42971</v>
      </c>
      <c r="C673" s="3">
        <v>13.772180581217981</v>
      </c>
      <c r="D673" s="3">
        <v>13.772180581217981</v>
      </c>
      <c r="E673" s="3">
        <v>13.539247512817383</v>
      </c>
      <c r="F673" s="3">
        <v>13.539247512817383</v>
      </c>
      <c r="G673" s="3">
        <v>149400</v>
      </c>
      <c r="H673" s="3">
        <v>0</v>
      </c>
      <c r="I673" s="3">
        <v>0</v>
      </c>
      <c r="J673" s="3" t="str">
        <v>AB</v>
      </c>
      <c r="K673" s="23">
        <v>42970</v>
      </c>
      <c r="L673" s="22">
        <v>13.713946342468262</v>
      </c>
    </row>
    <row r="674" spans="1:12" x14ac:dyDescent="0.25">
      <c r="A674" s="9">
        <v>667</v>
      </c>
      <c r="B674" s="10">
        <v>42972</v>
      </c>
      <c r="C674" s="3">
        <v>13.568364398419989</v>
      </c>
      <c r="D674" s="3">
        <v>13.830414807478277</v>
      </c>
      <c r="E674" s="3">
        <v>13.53924817995242</v>
      </c>
      <c r="F674" s="3">
        <v>13.597481727600098</v>
      </c>
      <c r="G674" s="3">
        <v>184400</v>
      </c>
      <c r="H674" s="3">
        <v>0</v>
      </c>
      <c r="I674" s="3">
        <v>0</v>
      </c>
      <c r="J674" s="3" t="str">
        <v>AB</v>
      </c>
      <c r="K674" s="23">
        <v>42971</v>
      </c>
      <c r="L674" s="22">
        <v>13.539247512817383</v>
      </c>
    </row>
    <row r="675" spans="1:12" x14ac:dyDescent="0.25">
      <c r="A675" s="9">
        <v>668</v>
      </c>
      <c r="B675" s="10">
        <v>42975</v>
      </c>
      <c r="C675" s="3">
        <v>13.597477649120865</v>
      </c>
      <c r="D675" s="3">
        <v>13.684827389036101</v>
      </c>
      <c r="E675" s="3">
        <v>13.510127909205629</v>
      </c>
      <c r="F675" s="3">
        <v>13.568360328674316</v>
      </c>
      <c r="G675" s="3">
        <v>153200</v>
      </c>
      <c r="H675" s="3">
        <v>0</v>
      </c>
      <c r="I675" s="3">
        <v>0</v>
      </c>
      <c r="J675" s="3" t="str">
        <v>AB</v>
      </c>
      <c r="K675" s="23">
        <v>42972</v>
      </c>
      <c r="L675" s="22">
        <v>13.597481727600098</v>
      </c>
    </row>
    <row r="676" spans="1:12" x14ac:dyDescent="0.25">
      <c r="A676" s="9">
        <v>669</v>
      </c>
      <c r="B676" s="10">
        <v>42976</v>
      </c>
      <c r="C676" s="3">
        <v>13.39366474172445</v>
      </c>
      <c r="D676" s="3">
        <v>13.626597819438022</v>
      </c>
      <c r="E676" s="3">
        <v>13.39366474172445</v>
      </c>
      <c r="F676" s="3">
        <v>13.5101318359375</v>
      </c>
      <c r="G676" s="3">
        <v>157700</v>
      </c>
      <c r="H676" s="3">
        <v>0</v>
      </c>
      <c r="I676" s="3">
        <v>0</v>
      </c>
      <c r="J676" s="3" t="str">
        <v>AB</v>
      </c>
      <c r="K676" s="23">
        <v>42975</v>
      </c>
      <c r="L676" s="22">
        <v>13.568360328674316</v>
      </c>
    </row>
    <row r="677" spans="1:12" x14ac:dyDescent="0.25">
      <c r="A677" s="9">
        <v>670</v>
      </c>
      <c r="B677" s="10">
        <v>42977</v>
      </c>
      <c r="C677" s="3">
        <v>13.451897751006218</v>
      </c>
      <c r="D677" s="3">
        <v>13.626597274628546</v>
      </c>
      <c r="E677" s="3">
        <v>13.335430661449678</v>
      </c>
      <c r="F677" s="3">
        <v>13.539247512817383</v>
      </c>
      <c r="G677" s="3">
        <v>124700</v>
      </c>
      <c r="H677" s="3">
        <v>0</v>
      </c>
      <c r="I677" s="3">
        <v>0</v>
      </c>
      <c r="J677" s="3" t="str">
        <v>AB</v>
      </c>
      <c r="K677" s="23">
        <v>42976</v>
      </c>
      <c r="L677" s="22">
        <v>13.5101318359375</v>
      </c>
    </row>
    <row r="678" spans="1:12" x14ac:dyDescent="0.25">
      <c r="A678" s="9">
        <v>671</v>
      </c>
      <c r="B678" s="10">
        <v>42978</v>
      </c>
      <c r="C678" s="3">
        <v>13.539249786938184</v>
      </c>
      <c r="D678" s="3">
        <v>13.743066672540001</v>
      </c>
      <c r="E678" s="3">
        <v>13.539249786938184</v>
      </c>
      <c r="F678" s="3">
        <v>13.655716896057129</v>
      </c>
      <c r="G678" s="3">
        <v>149100</v>
      </c>
      <c r="H678" s="3">
        <v>0</v>
      </c>
      <c r="I678" s="3">
        <v>0</v>
      </c>
      <c r="J678" s="3" t="str">
        <v>AB</v>
      </c>
      <c r="K678" s="23">
        <v>42977</v>
      </c>
      <c r="L678" s="22">
        <v>13.539247512817383</v>
      </c>
    </row>
    <row r="679" spans="1:12" x14ac:dyDescent="0.25">
      <c r="A679" s="9">
        <v>672</v>
      </c>
      <c r="B679" s="10">
        <v>42979</v>
      </c>
      <c r="C679" s="3">
        <v>13.597480624741753</v>
      </c>
      <c r="D679" s="3">
        <v>13.830413685727301</v>
      </c>
      <c r="E679" s="3">
        <v>13.568363297923279</v>
      </c>
      <c r="F679" s="3">
        <v>13.743063926696777</v>
      </c>
      <c r="G679" s="3">
        <v>174200</v>
      </c>
      <c r="H679" s="3">
        <v>0</v>
      </c>
      <c r="I679" s="3">
        <v>0</v>
      </c>
      <c r="J679" s="3" t="str">
        <v>AB</v>
      </c>
      <c r="K679" s="23">
        <v>42978</v>
      </c>
      <c r="L679" s="22">
        <v>13.655716896057129</v>
      </c>
    </row>
    <row r="680" spans="1:12" x14ac:dyDescent="0.25">
      <c r="A680" s="9">
        <v>673</v>
      </c>
      <c r="B680" s="10">
        <v>42983</v>
      </c>
      <c r="C680" s="3">
        <v>13.597481727600099</v>
      </c>
      <c r="D680" s="3">
        <v>13.743065041363028</v>
      </c>
      <c r="E680" s="3">
        <v>13.48101463230474</v>
      </c>
      <c r="F680" s="3">
        <v>13.597481727600098</v>
      </c>
      <c r="G680" s="3">
        <v>245500</v>
      </c>
      <c r="H680" s="3">
        <v>0</v>
      </c>
      <c r="I680" s="3">
        <v>0</v>
      </c>
      <c r="J680" s="3" t="str">
        <v>AB</v>
      </c>
      <c r="K680" s="23">
        <v>42979</v>
      </c>
      <c r="L680" s="22">
        <v>13.743063926696777</v>
      </c>
    </row>
    <row r="681" spans="1:12" x14ac:dyDescent="0.25">
      <c r="A681" s="9">
        <v>674</v>
      </c>
      <c r="B681" s="10">
        <v>42984</v>
      </c>
      <c r="C681" s="3">
        <v>13.626596840847778</v>
      </c>
      <c r="D681" s="3">
        <v>13.772180142802801</v>
      </c>
      <c r="E681" s="3">
        <v>13.498483934983838</v>
      </c>
      <c r="F681" s="3">
        <v>13.743063926696777</v>
      </c>
      <c r="G681" s="3">
        <v>264600</v>
      </c>
      <c r="H681" s="3">
        <v>0</v>
      </c>
      <c r="I681" s="3">
        <v>0</v>
      </c>
      <c r="J681" s="3" t="str">
        <v>AB</v>
      </c>
      <c r="K681" s="23">
        <v>42983</v>
      </c>
      <c r="L681" s="22">
        <v>13.597481727600098</v>
      </c>
    </row>
    <row r="682" spans="1:12" x14ac:dyDescent="0.25">
      <c r="A682" s="9">
        <v>675</v>
      </c>
      <c r="B682" s="10">
        <v>42985</v>
      </c>
      <c r="C682" s="3">
        <v>13.71394771218292</v>
      </c>
      <c r="D682" s="3">
        <v>13.772181259830598</v>
      </c>
      <c r="E682" s="3">
        <v>13.545071645788441</v>
      </c>
      <c r="F682" s="3">
        <v>13.597481727600098</v>
      </c>
      <c r="G682" s="3">
        <v>155100</v>
      </c>
      <c r="H682" s="3">
        <v>0</v>
      </c>
      <c r="I682" s="3">
        <v>0</v>
      </c>
      <c r="J682" s="3" t="str">
        <v>AB</v>
      </c>
      <c r="K682" s="23">
        <v>42984</v>
      </c>
      <c r="L682" s="22">
        <v>13.743063926696777</v>
      </c>
    </row>
    <row r="683" spans="1:12" x14ac:dyDescent="0.25">
      <c r="A683" s="9">
        <v>676</v>
      </c>
      <c r="B683" s="10">
        <v>42986</v>
      </c>
      <c r="C683" s="3">
        <v>13.539248589397472</v>
      </c>
      <c r="D683" s="3">
        <v>13.801299006380516</v>
      </c>
      <c r="E683" s="3">
        <v>13.539248589397472</v>
      </c>
      <c r="F683" s="3">
        <v>13.626598358154297</v>
      </c>
      <c r="G683" s="3">
        <v>156100</v>
      </c>
      <c r="H683" s="3">
        <v>0</v>
      </c>
      <c r="I683" s="3">
        <v>0</v>
      </c>
      <c r="J683" s="3" t="str">
        <v>AB</v>
      </c>
      <c r="K683" s="23">
        <v>42985</v>
      </c>
      <c r="L683" s="22">
        <v>13.597481727600098</v>
      </c>
    </row>
    <row r="684" spans="1:12" x14ac:dyDescent="0.25">
      <c r="A684" s="9">
        <v>677</v>
      </c>
      <c r="B684" s="10">
        <v>42989</v>
      </c>
      <c r="C684" s="3">
        <v>13.684830383772278</v>
      </c>
      <c r="D684" s="3">
        <v>13.882823763288107</v>
      </c>
      <c r="E684" s="3">
        <v>13.684830383772278</v>
      </c>
      <c r="F684" s="3">
        <v>13.743063926696777</v>
      </c>
      <c r="G684" s="3">
        <v>232300</v>
      </c>
      <c r="H684" s="3">
        <v>0</v>
      </c>
      <c r="I684" s="3">
        <v>0</v>
      </c>
      <c r="J684" s="3" t="str">
        <v>AB</v>
      </c>
      <c r="K684" s="23">
        <v>42986</v>
      </c>
      <c r="L684" s="22">
        <v>13.626598358154297</v>
      </c>
    </row>
    <row r="685" spans="1:12" x14ac:dyDescent="0.25">
      <c r="A685" s="9">
        <v>678</v>
      </c>
      <c r="B685" s="10">
        <v>42990</v>
      </c>
      <c r="C685" s="3">
        <v>13.772180813243564</v>
      </c>
      <c r="D685" s="3">
        <v>13.888647904762273</v>
      </c>
      <c r="E685" s="3">
        <v>13.713947267484208</v>
      </c>
      <c r="F685" s="3">
        <v>13.801298141479492</v>
      </c>
      <c r="G685" s="3">
        <v>182200</v>
      </c>
      <c r="H685" s="3">
        <v>0</v>
      </c>
      <c r="I685" s="3">
        <v>0</v>
      </c>
      <c r="J685" s="3" t="str">
        <v>AB</v>
      </c>
      <c r="K685" s="23">
        <v>42989</v>
      </c>
      <c r="L685" s="22">
        <v>13.743063926696777</v>
      </c>
    </row>
    <row r="686" spans="1:12" x14ac:dyDescent="0.25">
      <c r="A686" s="9">
        <v>679</v>
      </c>
      <c r="B686" s="10">
        <v>42991</v>
      </c>
      <c r="C686" s="3">
        <v>13.801296511522803</v>
      </c>
      <c r="D686" s="3">
        <v>14.005112231540808</v>
      </c>
      <c r="E686" s="3">
        <v>13.801296511522803</v>
      </c>
      <c r="F686" s="3">
        <v>13.975996017456055</v>
      </c>
      <c r="G686" s="3">
        <v>246700</v>
      </c>
      <c r="H686" s="3">
        <v>0</v>
      </c>
      <c r="I686" s="3">
        <v>0</v>
      </c>
      <c r="J686" s="3" t="str">
        <v>AB</v>
      </c>
      <c r="K686" s="23">
        <v>42990</v>
      </c>
      <c r="L686" s="22">
        <v>13.801298141479492</v>
      </c>
    </row>
    <row r="687" spans="1:12" x14ac:dyDescent="0.25">
      <c r="A687" s="9">
        <v>680</v>
      </c>
      <c r="B687" s="10">
        <v>42992</v>
      </c>
      <c r="C687" s="3">
        <v>13.888646541681798</v>
      </c>
      <c r="D687" s="3">
        <v>14.034229836435879</v>
      </c>
      <c r="E687" s="3">
        <v>13.859529216303546</v>
      </c>
      <c r="F687" s="3">
        <v>13.917762756347656</v>
      </c>
      <c r="G687" s="3">
        <v>184700</v>
      </c>
      <c r="H687" s="3">
        <v>0</v>
      </c>
      <c r="I687" s="3">
        <v>0</v>
      </c>
      <c r="J687" s="3" t="str">
        <v>AB</v>
      </c>
      <c r="K687" s="23">
        <v>42991</v>
      </c>
      <c r="L687" s="22">
        <v>13.975996017456055</v>
      </c>
    </row>
    <row r="688" spans="1:12" x14ac:dyDescent="0.25">
      <c r="A688" s="9">
        <v>681</v>
      </c>
      <c r="B688" s="10">
        <v>42993</v>
      </c>
      <c r="C688" s="3">
        <v>13.859528393327983</v>
      </c>
      <c r="D688" s="3">
        <v>14.121578752609796</v>
      </c>
      <c r="E688" s="3">
        <v>13.859528393327983</v>
      </c>
      <c r="F688" s="3">
        <v>14.092462539672852</v>
      </c>
      <c r="G688" s="3">
        <v>311600</v>
      </c>
      <c r="H688" s="3">
        <v>0</v>
      </c>
      <c r="I688" s="3">
        <v>0</v>
      </c>
      <c r="J688" s="3" t="str">
        <v>AB</v>
      </c>
      <c r="K688" s="23">
        <v>42992</v>
      </c>
      <c r="L688" s="22">
        <v>13.917762756347656</v>
      </c>
    </row>
    <row r="689" spans="1:12" x14ac:dyDescent="0.25">
      <c r="A689" s="9">
        <v>682</v>
      </c>
      <c r="B689" s="10">
        <v>42996</v>
      </c>
      <c r="C689" s="3">
        <v>14.092464295543937</v>
      </c>
      <c r="D689" s="3">
        <v>14.267163816357202</v>
      </c>
      <c r="E689" s="3">
        <v>14.06334696826675</v>
      </c>
      <c r="F689" s="3">
        <v>14.23804759979248</v>
      </c>
      <c r="G689" s="3">
        <v>174500</v>
      </c>
      <c r="H689" s="3">
        <v>0</v>
      </c>
      <c r="I689" s="3">
        <v>0</v>
      </c>
      <c r="J689" s="3" t="str">
        <v>AB</v>
      </c>
      <c r="K689" s="23">
        <v>42993</v>
      </c>
      <c r="L689" s="22">
        <v>14.092462539672852</v>
      </c>
    </row>
    <row r="690" spans="1:12" x14ac:dyDescent="0.25">
      <c r="A690" s="9">
        <v>683</v>
      </c>
      <c r="B690" s="10">
        <v>42997</v>
      </c>
      <c r="C690" s="3">
        <v>14.17981284780568</v>
      </c>
      <c r="D690" s="3">
        <v>14.296278814853929</v>
      </c>
      <c r="E690" s="3">
        <v>14.121579308925369</v>
      </c>
      <c r="F690" s="3">
        <v>14.208929061889648</v>
      </c>
      <c r="G690" s="3">
        <v>244700</v>
      </c>
      <c r="H690" s="3">
        <v>0</v>
      </c>
      <c r="I690" s="3">
        <v>0</v>
      </c>
      <c r="J690" s="3" t="str">
        <v>AB</v>
      </c>
      <c r="K690" s="23">
        <v>42996</v>
      </c>
      <c r="L690" s="22">
        <v>14.23804759979248</v>
      </c>
    </row>
    <row r="691" spans="1:12" x14ac:dyDescent="0.25">
      <c r="A691" s="9">
        <v>684</v>
      </c>
      <c r="B691" s="10">
        <v>42998</v>
      </c>
      <c r="C691" s="3">
        <v>14.15069920658755</v>
      </c>
      <c r="D691" s="3">
        <v>14.296282536329038</v>
      </c>
      <c r="E691" s="3">
        <v>13.975999655182829</v>
      </c>
      <c r="F691" s="3">
        <v>14.121582984924316</v>
      </c>
      <c r="G691" s="3">
        <v>212400</v>
      </c>
      <c r="H691" s="3">
        <v>0</v>
      </c>
      <c r="I691" s="3">
        <v>0</v>
      </c>
      <c r="J691" s="3" t="str">
        <v>AB</v>
      </c>
      <c r="K691" s="23">
        <v>42997</v>
      </c>
      <c r="L691" s="22">
        <v>14.208929061889648</v>
      </c>
    </row>
    <row r="692" spans="1:12" x14ac:dyDescent="0.25">
      <c r="A692" s="9">
        <v>685</v>
      </c>
      <c r="B692" s="10">
        <v>42999</v>
      </c>
      <c r="C692" s="3">
        <v>14.063349197028021</v>
      </c>
      <c r="D692" s="3">
        <v>14.092466528919728</v>
      </c>
      <c r="E692" s="3">
        <v>13.888649648528352</v>
      </c>
      <c r="F692" s="3">
        <v>13.946883201599121</v>
      </c>
      <c r="G692" s="3">
        <v>127700</v>
      </c>
      <c r="H692" s="3">
        <v>0</v>
      </c>
      <c r="I692" s="3">
        <v>0</v>
      </c>
      <c r="J692" s="3" t="str">
        <v>AB</v>
      </c>
      <c r="K692" s="23">
        <v>42998</v>
      </c>
      <c r="L692" s="22">
        <v>14.121582984924316</v>
      </c>
    </row>
    <row r="693" spans="1:12" x14ac:dyDescent="0.25">
      <c r="A693" s="9">
        <v>686</v>
      </c>
      <c r="B693" s="10">
        <v>43000</v>
      </c>
      <c r="C693" s="3">
        <v>13.859528669484593</v>
      </c>
      <c r="D693" s="3">
        <v>14.34286514456991</v>
      </c>
      <c r="E693" s="3">
        <v>13.859528669484593</v>
      </c>
      <c r="F693" s="3">
        <v>14.267162322998047</v>
      </c>
      <c r="G693" s="3">
        <v>187000</v>
      </c>
      <c r="H693" s="3">
        <v>0</v>
      </c>
      <c r="I693" s="3">
        <v>0</v>
      </c>
      <c r="J693" s="3" t="str">
        <v>AB</v>
      </c>
      <c r="K693" s="23">
        <v>42999</v>
      </c>
      <c r="L693" s="22">
        <v>13.946883201599121</v>
      </c>
    </row>
    <row r="694" spans="1:12" x14ac:dyDescent="0.25">
      <c r="A694" s="9">
        <v>687</v>
      </c>
      <c r="B694" s="10">
        <v>43003</v>
      </c>
      <c r="C694" s="3">
        <v>14.150696728673381</v>
      </c>
      <c r="D694" s="3">
        <v>14.325397360199112</v>
      </c>
      <c r="E694" s="3">
        <v>14.092464295543937</v>
      </c>
      <c r="F694" s="3">
        <v>14.23804759979248</v>
      </c>
      <c r="G694" s="3">
        <v>246100</v>
      </c>
      <c r="H694" s="3">
        <v>0</v>
      </c>
      <c r="I694" s="3">
        <v>0</v>
      </c>
      <c r="J694" s="3" t="str">
        <v>AB</v>
      </c>
      <c r="K694" s="23">
        <v>43000</v>
      </c>
      <c r="L694" s="22">
        <v>14.267162322998047</v>
      </c>
    </row>
    <row r="695" spans="1:12" x14ac:dyDescent="0.25">
      <c r="A695" s="9">
        <v>688</v>
      </c>
      <c r="B695" s="10">
        <v>43004</v>
      </c>
      <c r="C695" s="3">
        <v>14.238045706611304</v>
      </c>
      <c r="D695" s="3">
        <v>14.342864738734379</v>
      </c>
      <c r="E695" s="3">
        <v>14.121578634413687</v>
      </c>
      <c r="F695" s="3">
        <v>14.150694847106934</v>
      </c>
      <c r="G695" s="3">
        <v>184900</v>
      </c>
      <c r="H695" s="3">
        <v>0</v>
      </c>
      <c r="I695" s="3">
        <v>0</v>
      </c>
      <c r="J695" s="3" t="str">
        <v>AB</v>
      </c>
      <c r="K695" s="23">
        <v>43003</v>
      </c>
      <c r="L695" s="22">
        <v>14.23804759979248</v>
      </c>
    </row>
    <row r="696" spans="1:12" x14ac:dyDescent="0.25">
      <c r="A696" s="9">
        <v>689</v>
      </c>
      <c r="B696" s="10">
        <v>43005</v>
      </c>
      <c r="C696" s="3">
        <v>14.179814055950569</v>
      </c>
      <c r="D696" s="3">
        <v>14.325397360199112</v>
      </c>
      <c r="E696" s="3">
        <v>14.150696728673381</v>
      </c>
      <c r="F696" s="3">
        <v>14.23804759979248</v>
      </c>
      <c r="G696" s="3">
        <v>384500</v>
      </c>
      <c r="H696" s="3">
        <v>0</v>
      </c>
      <c r="I696" s="3">
        <v>0</v>
      </c>
      <c r="J696" s="3" t="str">
        <v>AB</v>
      </c>
      <c r="K696" s="23">
        <v>43004</v>
      </c>
      <c r="L696" s="22">
        <v>14.150694847106934</v>
      </c>
    </row>
    <row r="697" spans="1:12" x14ac:dyDescent="0.25">
      <c r="A697" s="9">
        <v>690</v>
      </c>
      <c r="B697" s="10">
        <v>43006</v>
      </c>
      <c r="C697" s="3">
        <v>14.179813385009764</v>
      </c>
      <c r="D697" s="3">
        <v>14.267163141283302</v>
      </c>
      <c r="E697" s="3">
        <v>14.150696059110309</v>
      </c>
      <c r="F697" s="3">
        <v>14.179813385009766</v>
      </c>
      <c r="G697" s="3">
        <v>152800</v>
      </c>
      <c r="H697" s="3">
        <v>0</v>
      </c>
      <c r="I697" s="3">
        <v>0</v>
      </c>
      <c r="J697" s="3" t="str">
        <v>AB</v>
      </c>
      <c r="K697" s="23">
        <v>43005</v>
      </c>
      <c r="L697" s="22">
        <v>14.23804759979248</v>
      </c>
    </row>
    <row r="698" spans="1:12" x14ac:dyDescent="0.25">
      <c r="A698" s="9">
        <v>691</v>
      </c>
      <c r="B698" s="10">
        <v>43007</v>
      </c>
      <c r="C698" s="3">
        <v>14.179812170512495</v>
      </c>
      <c r="D698" s="3">
        <v>14.238045706611304</v>
      </c>
      <c r="E698" s="3">
        <v>14.092462421720441</v>
      </c>
      <c r="F698" s="3">
        <v>14.150694847106934</v>
      </c>
      <c r="G698" s="3">
        <v>166600</v>
      </c>
      <c r="H698" s="3">
        <v>0</v>
      </c>
      <c r="I698" s="3">
        <v>0</v>
      </c>
      <c r="J698" s="3" t="str">
        <v>AB</v>
      </c>
      <c r="K698" s="23">
        <v>43006</v>
      </c>
      <c r="L698" s="22">
        <v>14.179813385009766</v>
      </c>
    </row>
    <row r="699" spans="1:12" x14ac:dyDescent="0.25">
      <c r="A699" s="9">
        <v>692</v>
      </c>
      <c r="B699" s="10">
        <v>43010</v>
      </c>
      <c r="C699" s="3">
        <v>14.208931677677205</v>
      </c>
      <c r="D699" s="3">
        <v>14.208931677677205</v>
      </c>
      <c r="E699" s="3">
        <v>14.005114809430719</v>
      </c>
      <c r="F699" s="3">
        <v>14.034232139587402</v>
      </c>
      <c r="G699" s="3">
        <v>204800</v>
      </c>
      <c r="H699" s="3">
        <v>0</v>
      </c>
      <c r="I699" s="3">
        <v>0</v>
      </c>
      <c r="J699" s="3" t="str">
        <v>AB</v>
      </c>
      <c r="K699" s="23">
        <v>43007</v>
      </c>
      <c r="L699" s="22">
        <v>14.150694847106934</v>
      </c>
    </row>
    <row r="700" spans="1:12" x14ac:dyDescent="0.25">
      <c r="A700" s="9">
        <v>693</v>
      </c>
      <c r="B700" s="10">
        <v>43011</v>
      </c>
      <c r="C700" s="3">
        <v>14.034229282724223</v>
      </c>
      <c r="D700" s="3">
        <v>14.325395860744592</v>
      </c>
      <c r="E700" s="3">
        <v>14.005111958494776</v>
      </c>
      <c r="F700" s="3">
        <v>14.267162322998047</v>
      </c>
      <c r="G700" s="3">
        <v>250700</v>
      </c>
      <c r="H700" s="3">
        <v>0</v>
      </c>
      <c r="I700" s="3">
        <v>0</v>
      </c>
      <c r="J700" s="3" t="str">
        <v>AB</v>
      </c>
      <c r="K700" s="23">
        <v>43010</v>
      </c>
      <c r="L700" s="22">
        <v>14.034232139587402</v>
      </c>
    </row>
    <row r="701" spans="1:12" x14ac:dyDescent="0.25">
      <c r="A701" s="9">
        <v>694</v>
      </c>
      <c r="B701" s="10">
        <v>43012</v>
      </c>
      <c r="C701" s="3">
        <v>14.238049086550687</v>
      </c>
      <c r="D701" s="3">
        <v>14.412748625606339</v>
      </c>
      <c r="E701" s="3">
        <v>14.208931756233024</v>
      </c>
      <c r="F701" s="3">
        <v>14.354515075683594</v>
      </c>
      <c r="G701" s="3">
        <v>184300</v>
      </c>
      <c r="H701" s="3">
        <v>0</v>
      </c>
      <c r="I701" s="3">
        <v>0</v>
      </c>
      <c r="J701" s="3" t="str">
        <v>AB</v>
      </c>
      <c r="K701" s="23">
        <v>43011</v>
      </c>
      <c r="L701" s="22">
        <v>14.267162322998047</v>
      </c>
    </row>
    <row r="702" spans="1:12" x14ac:dyDescent="0.25">
      <c r="A702" s="9">
        <v>695</v>
      </c>
      <c r="B702" s="10">
        <v>43013</v>
      </c>
      <c r="C702" s="3">
        <v>14.383626937866209</v>
      </c>
      <c r="D702" s="3">
        <v>14.500092882722974</v>
      </c>
      <c r="E702" s="3">
        <v>14.267159882297287</v>
      </c>
      <c r="F702" s="3">
        <v>14.383626937866211</v>
      </c>
      <c r="G702" s="3">
        <v>169400</v>
      </c>
      <c r="H702" s="3">
        <v>0</v>
      </c>
      <c r="I702" s="3">
        <v>0</v>
      </c>
      <c r="J702" s="3" t="str">
        <v>AB</v>
      </c>
      <c r="K702" s="23">
        <v>43012</v>
      </c>
      <c r="L702" s="22">
        <v>14.354515075683594</v>
      </c>
    </row>
    <row r="703" spans="1:12" x14ac:dyDescent="0.25">
      <c r="A703" s="9">
        <v>696</v>
      </c>
      <c r="B703" s="10">
        <v>43014</v>
      </c>
      <c r="C703" s="3">
        <v>14.383630214274904</v>
      </c>
      <c r="D703" s="3">
        <v>14.558329726710465</v>
      </c>
      <c r="E703" s="3">
        <v>14.296279347344711</v>
      </c>
      <c r="F703" s="3">
        <v>14.412746429443359</v>
      </c>
      <c r="G703" s="3">
        <v>127000</v>
      </c>
      <c r="H703" s="3">
        <v>0</v>
      </c>
      <c r="I703" s="3">
        <v>0</v>
      </c>
      <c r="J703" s="3" t="str">
        <v>AB</v>
      </c>
      <c r="K703" s="23">
        <v>43013</v>
      </c>
      <c r="L703" s="22">
        <v>14.383626937866211</v>
      </c>
    </row>
    <row r="704" spans="1:12" x14ac:dyDescent="0.25">
      <c r="A704" s="9">
        <v>697</v>
      </c>
      <c r="B704" s="10">
        <v>43017</v>
      </c>
      <c r="C704" s="3">
        <v>14.383632240660468</v>
      </c>
      <c r="D704" s="3">
        <v>14.529215558437548</v>
      </c>
      <c r="E704" s="3">
        <v>14.383632240660468</v>
      </c>
      <c r="F704" s="3">
        <v>14.50009822845459</v>
      </c>
      <c r="G704" s="3">
        <v>96400</v>
      </c>
      <c r="H704" s="3">
        <v>0</v>
      </c>
      <c r="I704" s="3">
        <v>0</v>
      </c>
      <c r="J704" s="3" t="str">
        <v>AB</v>
      </c>
      <c r="K704" s="23">
        <v>43014</v>
      </c>
      <c r="L704" s="22">
        <v>14.412746429443359</v>
      </c>
    </row>
    <row r="705" spans="1:12" x14ac:dyDescent="0.25">
      <c r="A705" s="9">
        <v>698</v>
      </c>
      <c r="B705" s="10">
        <v>43018</v>
      </c>
      <c r="C705" s="3">
        <v>14.529215145498663</v>
      </c>
      <c r="D705" s="3">
        <v>14.67479845913808</v>
      </c>
      <c r="E705" s="3">
        <v>14.470981597900391</v>
      </c>
      <c r="F705" s="3">
        <v>14.470981597900391</v>
      </c>
      <c r="G705" s="3">
        <v>136400</v>
      </c>
      <c r="H705" s="3">
        <v>0</v>
      </c>
      <c r="I705" s="3">
        <v>0</v>
      </c>
      <c r="J705" s="3" t="str">
        <v>AB</v>
      </c>
      <c r="K705" s="23">
        <v>43017</v>
      </c>
      <c r="L705" s="22">
        <v>14.50009822845459</v>
      </c>
    </row>
    <row r="706" spans="1:12" x14ac:dyDescent="0.25">
      <c r="A706" s="9">
        <v>699</v>
      </c>
      <c r="B706" s="10">
        <v>43019</v>
      </c>
      <c r="C706" s="3">
        <v>14.470975931812081</v>
      </c>
      <c r="D706" s="3">
        <v>14.820375969882139</v>
      </c>
      <c r="E706" s="3">
        <v>14.470975931812081</v>
      </c>
      <c r="F706" s="3">
        <v>14.703908920288086</v>
      </c>
      <c r="G706" s="3">
        <v>198300</v>
      </c>
      <c r="H706" s="3">
        <v>0</v>
      </c>
      <c r="I706" s="3">
        <v>0</v>
      </c>
      <c r="J706" s="3" t="str">
        <v>AB</v>
      </c>
      <c r="K706" s="23">
        <v>43018</v>
      </c>
      <c r="L706" s="22">
        <v>14.470981597900391</v>
      </c>
    </row>
    <row r="707" spans="1:12" x14ac:dyDescent="0.25">
      <c r="A707" s="9">
        <v>700</v>
      </c>
      <c r="B707" s="10">
        <v>43020</v>
      </c>
      <c r="C707" s="3">
        <v>14.587445241693727</v>
      </c>
      <c r="D707" s="3">
        <v>14.849495608481282</v>
      </c>
      <c r="E707" s="3">
        <v>14.587445241693727</v>
      </c>
      <c r="F707" s="3">
        <v>14.674796104431152</v>
      </c>
      <c r="G707" s="3">
        <v>229000</v>
      </c>
      <c r="H707" s="3">
        <v>0</v>
      </c>
      <c r="I707" s="3">
        <v>0</v>
      </c>
      <c r="J707" s="3" t="str">
        <v>AB</v>
      </c>
      <c r="K707" s="23">
        <v>43019</v>
      </c>
      <c r="L707" s="22">
        <v>14.703908920288086</v>
      </c>
    </row>
    <row r="708" spans="1:12" x14ac:dyDescent="0.25">
      <c r="A708" s="9">
        <v>701</v>
      </c>
      <c r="B708" s="10">
        <v>43021</v>
      </c>
      <c r="C708" s="3">
        <v>14.558328628540041</v>
      </c>
      <c r="D708" s="3">
        <v>14.74467505727138</v>
      </c>
      <c r="E708" s="3">
        <v>14.500095091883415</v>
      </c>
      <c r="F708" s="3">
        <v>14.558328628540039</v>
      </c>
      <c r="G708" s="3">
        <v>96800</v>
      </c>
      <c r="H708" s="3">
        <v>0</v>
      </c>
      <c r="I708" s="3">
        <v>0</v>
      </c>
      <c r="J708" s="3" t="str">
        <v>AB</v>
      </c>
      <c r="K708" s="23">
        <v>43020</v>
      </c>
      <c r="L708" s="22">
        <v>14.674796104431152</v>
      </c>
    </row>
    <row r="709" spans="1:12" x14ac:dyDescent="0.25">
      <c r="A709" s="9">
        <v>702</v>
      </c>
      <c r="B709" s="10">
        <v>43024</v>
      </c>
      <c r="C709" s="3">
        <v>14.500095091883415</v>
      </c>
      <c r="D709" s="3">
        <v>14.645678378168816</v>
      </c>
      <c r="E709" s="3">
        <v>14.500095091883415</v>
      </c>
      <c r="F709" s="3">
        <v>14.558328628540039</v>
      </c>
      <c r="G709" s="3">
        <v>107800</v>
      </c>
      <c r="H709" s="3">
        <v>0</v>
      </c>
      <c r="I709" s="3">
        <v>0</v>
      </c>
      <c r="J709" s="3" t="str">
        <v>AB</v>
      </c>
      <c r="K709" s="23">
        <v>43021</v>
      </c>
      <c r="L709" s="22">
        <v>14.558328628540039</v>
      </c>
    </row>
    <row r="710" spans="1:12" x14ac:dyDescent="0.25">
      <c r="A710" s="9">
        <v>703</v>
      </c>
      <c r="B710" s="10">
        <v>43025</v>
      </c>
      <c r="C710" s="3">
        <v>14.558328628540041</v>
      </c>
      <c r="D710" s="3">
        <v>14.645678378168816</v>
      </c>
      <c r="E710" s="3">
        <v>14.441861555226788</v>
      </c>
      <c r="F710" s="3">
        <v>14.558328628540039</v>
      </c>
      <c r="G710" s="3">
        <v>150700</v>
      </c>
      <c r="H710" s="3">
        <v>0</v>
      </c>
      <c r="I710" s="3">
        <v>0</v>
      </c>
      <c r="J710" s="3" t="str">
        <v>AB</v>
      </c>
      <c r="K710" s="23">
        <v>43024</v>
      </c>
      <c r="L710" s="22">
        <v>14.558328628540039</v>
      </c>
    </row>
    <row r="711" spans="1:12" x14ac:dyDescent="0.25">
      <c r="A711" s="9">
        <v>704</v>
      </c>
      <c r="B711" s="10">
        <v>43026</v>
      </c>
      <c r="C711" s="3">
        <v>14.616562566176988</v>
      </c>
      <c r="D711" s="3">
        <v>14.733028531972955</v>
      </c>
      <c r="E711" s="3">
        <v>14.500095489668663</v>
      </c>
      <c r="F711" s="3">
        <v>14.674796104431152</v>
      </c>
      <c r="G711" s="3">
        <v>238600</v>
      </c>
      <c r="H711" s="3">
        <v>0</v>
      </c>
      <c r="I711" s="3">
        <v>0</v>
      </c>
      <c r="J711" s="3" t="str">
        <v>AB</v>
      </c>
      <c r="K711" s="23">
        <v>43025</v>
      </c>
      <c r="L711" s="22">
        <v>14.558328628540039</v>
      </c>
    </row>
    <row r="712" spans="1:12" x14ac:dyDescent="0.25">
      <c r="A712" s="9">
        <v>705</v>
      </c>
      <c r="B712" s="10">
        <v>43027</v>
      </c>
      <c r="C712" s="3">
        <v>14.645677146497658</v>
      </c>
      <c r="D712" s="3">
        <v>14.674794467733427</v>
      </c>
      <c r="E712" s="3">
        <v>14.470977661931974</v>
      </c>
      <c r="F712" s="3">
        <v>14.616560935974121</v>
      </c>
      <c r="G712" s="3">
        <v>128200</v>
      </c>
      <c r="H712" s="3">
        <v>0</v>
      </c>
      <c r="I712" s="3">
        <v>0</v>
      </c>
      <c r="J712" s="3" t="str">
        <v>AB</v>
      </c>
      <c r="K712" s="23">
        <v>43026</v>
      </c>
      <c r="L712" s="22">
        <v>14.674796104431152</v>
      </c>
    </row>
    <row r="713" spans="1:12" x14ac:dyDescent="0.25">
      <c r="A713" s="9">
        <v>706</v>
      </c>
      <c r="B713" s="10">
        <v>43028</v>
      </c>
      <c r="C713" s="3">
        <v>14.674799087336293</v>
      </c>
      <c r="D713" s="3">
        <v>14.820382407207834</v>
      </c>
      <c r="E713" s="3">
        <v>14.61656553724516</v>
      </c>
      <c r="F713" s="3">
        <v>14.762148857116699</v>
      </c>
      <c r="G713" s="3">
        <v>283200</v>
      </c>
      <c r="H713" s="3">
        <v>0</v>
      </c>
      <c r="I713" s="3">
        <v>0</v>
      </c>
      <c r="J713" s="3" t="str">
        <v>AB</v>
      </c>
      <c r="K713" s="23">
        <v>43027</v>
      </c>
      <c r="L713" s="22">
        <v>14.616560935974121</v>
      </c>
    </row>
    <row r="714" spans="1:12" x14ac:dyDescent="0.25">
      <c r="A714" s="9">
        <v>707</v>
      </c>
      <c r="B714" s="10">
        <v>43031</v>
      </c>
      <c r="C714" s="3">
        <v>14.762145856456216</v>
      </c>
      <c r="D714" s="3">
        <v>14.820379394710381</v>
      </c>
      <c r="E714" s="3">
        <v>14.616562566176988</v>
      </c>
      <c r="F714" s="3">
        <v>14.674796104431152</v>
      </c>
      <c r="G714" s="3">
        <v>160000</v>
      </c>
      <c r="H714" s="3">
        <v>0</v>
      </c>
      <c r="I714" s="3">
        <v>0</v>
      </c>
      <c r="J714" s="3" t="str">
        <v>AB</v>
      </c>
      <c r="K714" s="23">
        <v>43028</v>
      </c>
      <c r="L714" s="22">
        <v>14.762148857116699</v>
      </c>
    </row>
    <row r="715" spans="1:12" x14ac:dyDescent="0.25">
      <c r="A715" s="9">
        <v>708</v>
      </c>
      <c r="B715" s="10">
        <v>43032</v>
      </c>
      <c r="C715" s="3">
        <v>14.762150580370177</v>
      </c>
      <c r="D715" s="3">
        <v>14.96596747412533</v>
      </c>
      <c r="E715" s="3">
        <v>14.674800800393029</v>
      </c>
      <c r="F715" s="3">
        <v>14.907733917236328</v>
      </c>
      <c r="G715" s="3">
        <v>281200</v>
      </c>
      <c r="H715" s="3">
        <v>0</v>
      </c>
      <c r="I715" s="3">
        <v>0</v>
      </c>
      <c r="J715" s="3" t="str">
        <v>AB</v>
      </c>
      <c r="K715" s="23">
        <v>43031</v>
      </c>
      <c r="L715" s="22">
        <v>14.674796104431152</v>
      </c>
    </row>
    <row r="716" spans="1:12" x14ac:dyDescent="0.25">
      <c r="A716" s="9">
        <v>709</v>
      </c>
      <c r="B716" s="10">
        <v>43033</v>
      </c>
      <c r="C716" s="3">
        <v>14.9077302357954</v>
      </c>
      <c r="D716" s="3">
        <v>15.0241962100996</v>
      </c>
      <c r="E716" s="3">
        <v>14.738853073592518</v>
      </c>
      <c r="F716" s="3">
        <v>14.99507999420166</v>
      </c>
      <c r="G716" s="3">
        <v>238600</v>
      </c>
      <c r="H716" s="3">
        <v>0</v>
      </c>
      <c r="I716" s="3">
        <v>0</v>
      </c>
      <c r="J716" s="3" t="str">
        <v>AB</v>
      </c>
      <c r="K716" s="23">
        <v>43032</v>
      </c>
      <c r="L716" s="22">
        <v>14.907733917236328</v>
      </c>
    </row>
    <row r="717" spans="1:12" x14ac:dyDescent="0.25">
      <c r="A717" s="9">
        <v>710</v>
      </c>
      <c r="B717" s="10">
        <v>43034</v>
      </c>
      <c r="C717" s="3">
        <v>15.257129811911073</v>
      </c>
      <c r="D717" s="3">
        <v>15.257129811911073</v>
      </c>
      <c r="E717" s="3">
        <v>14.965963220925842</v>
      </c>
      <c r="F717" s="3">
        <v>15.111546516418457</v>
      </c>
      <c r="G717" s="3">
        <v>332900</v>
      </c>
      <c r="H717" s="3">
        <v>0</v>
      </c>
      <c r="I717" s="3">
        <v>0</v>
      </c>
      <c r="J717" s="3" t="str">
        <v>AB</v>
      </c>
      <c r="K717" s="23">
        <v>43033</v>
      </c>
      <c r="L717" s="22">
        <v>14.99507999420166</v>
      </c>
    </row>
    <row r="718" spans="1:12" x14ac:dyDescent="0.25">
      <c r="A718" s="9">
        <v>711</v>
      </c>
      <c r="B718" s="10">
        <v>43035</v>
      </c>
      <c r="C718" s="3">
        <v>15.257130498051906</v>
      </c>
      <c r="D718" s="3">
        <v>15.490063559173032</v>
      </c>
      <c r="E718" s="3">
        <v>15.140663412135117</v>
      </c>
      <c r="F718" s="3">
        <v>15.315362930297852</v>
      </c>
      <c r="G718" s="3">
        <v>375100</v>
      </c>
      <c r="H718" s="3">
        <v>0</v>
      </c>
      <c r="I718" s="3">
        <v>0</v>
      </c>
      <c r="J718" s="3" t="str">
        <v>AB</v>
      </c>
      <c r="K718" s="23">
        <v>43034</v>
      </c>
      <c r="L718" s="22">
        <v>15.111546516418457</v>
      </c>
    </row>
    <row r="719" spans="1:12" x14ac:dyDescent="0.25">
      <c r="A719" s="9">
        <v>712</v>
      </c>
      <c r="B719" s="10">
        <v>43038</v>
      </c>
      <c r="C719" s="3">
        <v>15.315361418111628</v>
      </c>
      <c r="D719" s="3">
        <v>15.519178242985609</v>
      </c>
      <c r="E719" s="3">
        <v>15.169778130446261</v>
      </c>
      <c r="F719" s="3">
        <v>15.198895454406738</v>
      </c>
      <c r="G719" s="3">
        <v>492900</v>
      </c>
      <c r="H719" s="3">
        <v>0</v>
      </c>
      <c r="I719" s="3">
        <v>0</v>
      </c>
      <c r="J719" s="3" t="str">
        <v>AB</v>
      </c>
      <c r="K719" s="23">
        <v>43035</v>
      </c>
      <c r="L719" s="22">
        <v>15.315362930297852</v>
      </c>
    </row>
    <row r="720" spans="1:12" x14ac:dyDescent="0.25">
      <c r="A720" s="9">
        <v>713</v>
      </c>
      <c r="B720" s="10">
        <v>43039</v>
      </c>
      <c r="C720" s="3">
        <v>15.169779227437095</v>
      </c>
      <c r="D720" s="3">
        <v>15.198896553503168</v>
      </c>
      <c r="E720" s="3">
        <v>14.99507971389033</v>
      </c>
      <c r="F720" s="3">
        <v>15.053313255310059</v>
      </c>
      <c r="G720" s="3">
        <v>267300</v>
      </c>
      <c r="H720" s="3">
        <v>0</v>
      </c>
      <c r="I720" s="3">
        <v>0</v>
      </c>
      <c r="J720" s="3" t="str">
        <v>AB</v>
      </c>
      <c r="K720" s="23">
        <v>43038</v>
      </c>
      <c r="L720" s="22">
        <v>15.198895454406738</v>
      </c>
    </row>
    <row r="721" spans="1:12" x14ac:dyDescent="0.25">
      <c r="A721" s="9">
        <v>714</v>
      </c>
      <c r="B721" s="10">
        <v>43040</v>
      </c>
      <c r="C721" s="3">
        <v>15.082427978515623</v>
      </c>
      <c r="D721" s="3">
        <v>15.140661514174141</v>
      </c>
      <c r="E721" s="3">
        <v>14.936844694725488</v>
      </c>
      <c r="F721" s="3">
        <v>15.082427978515625</v>
      </c>
      <c r="G721" s="3">
        <v>135300</v>
      </c>
      <c r="H721" s="3">
        <v>0</v>
      </c>
      <c r="I721" s="3">
        <v>0</v>
      </c>
      <c r="J721" s="3" t="str">
        <v>AB</v>
      </c>
      <c r="K721" s="23">
        <v>43039</v>
      </c>
      <c r="L721" s="22">
        <v>15.053313255310059</v>
      </c>
    </row>
    <row r="722" spans="1:12" x14ac:dyDescent="0.25">
      <c r="A722" s="9">
        <v>715</v>
      </c>
      <c r="B722" s="10">
        <v>43041</v>
      </c>
      <c r="C722" s="3">
        <v>15.111546394694477</v>
      </c>
      <c r="D722" s="3">
        <v>15.315362118172477</v>
      </c>
      <c r="E722" s="3">
        <v>15.111546394694477</v>
      </c>
      <c r="F722" s="3">
        <v>15.169778823852539</v>
      </c>
      <c r="G722" s="3">
        <v>235100</v>
      </c>
      <c r="H722" s="3">
        <v>0</v>
      </c>
      <c r="I722" s="3">
        <v>0</v>
      </c>
      <c r="J722" s="3" t="str">
        <v>AB</v>
      </c>
      <c r="K722" s="23">
        <v>43040</v>
      </c>
      <c r="L722" s="22">
        <v>15.082427978515625</v>
      </c>
    </row>
    <row r="723" spans="1:12" x14ac:dyDescent="0.25">
      <c r="A723" s="9">
        <v>716</v>
      </c>
      <c r="B723" s="10">
        <v>43042</v>
      </c>
      <c r="C723" s="3">
        <v>15.23511791229248</v>
      </c>
      <c r="D723" s="3">
        <v>15.383608342495901</v>
      </c>
      <c r="E723" s="3">
        <v>15.146023880748844</v>
      </c>
      <c r="F723" s="3">
        <v>15.23511791229248</v>
      </c>
      <c r="G723" s="3">
        <v>159400</v>
      </c>
      <c r="H723" s="3">
        <v>0.51</v>
      </c>
      <c r="I723" s="3">
        <v>0</v>
      </c>
      <c r="J723" s="3" t="str">
        <v>AB</v>
      </c>
      <c r="K723" s="23">
        <v>43041</v>
      </c>
      <c r="L723" s="22">
        <v>15.169778823852539</v>
      </c>
    </row>
    <row r="724" spans="1:12" x14ac:dyDescent="0.25">
      <c r="A724" s="9">
        <v>717</v>
      </c>
      <c r="B724" s="10">
        <v>43045</v>
      </c>
      <c r="C724" s="3">
        <v>15.235115113675375</v>
      </c>
      <c r="D724" s="3">
        <v>15.264813873995786</v>
      </c>
      <c r="E724" s="3">
        <v>15.027228322999973</v>
      </c>
      <c r="F724" s="3">
        <v>15.116323471069336</v>
      </c>
      <c r="G724" s="3">
        <v>132500</v>
      </c>
      <c r="H724" s="3">
        <v>0</v>
      </c>
      <c r="I724" s="3">
        <v>0</v>
      </c>
      <c r="J724" s="3" t="str">
        <v>AB</v>
      </c>
      <c r="K724" s="23">
        <v>43042</v>
      </c>
      <c r="L724" s="22">
        <v>15.23511791229248</v>
      </c>
    </row>
    <row r="725" spans="1:12" x14ac:dyDescent="0.25">
      <c r="A725" s="9">
        <v>718</v>
      </c>
      <c r="B725" s="10">
        <v>43046</v>
      </c>
      <c r="C725" s="3">
        <v>15.086624445357666</v>
      </c>
      <c r="D725" s="3">
        <v>15.116323205155641</v>
      </c>
      <c r="E725" s="3">
        <v>14.759946017822877</v>
      </c>
      <c r="F725" s="3">
        <v>14.849040031433105</v>
      </c>
      <c r="G725" s="3">
        <v>230500</v>
      </c>
      <c r="H725" s="3">
        <v>0</v>
      </c>
      <c r="I725" s="3">
        <v>0</v>
      </c>
      <c r="J725" s="3" t="str">
        <v>AB</v>
      </c>
      <c r="K725" s="23">
        <v>43045</v>
      </c>
      <c r="L725" s="22">
        <v>15.116323471069336</v>
      </c>
    </row>
    <row r="726" spans="1:12" x14ac:dyDescent="0.25">
      <c r="A726" s="9">
        <v>719</v>
      </c>
      <c r="B726" s="10">
        <v>43047</v>
      </c>
      <c r="C726" s="3">
        <v>14.819345869097116</v>
      </c>
      <c r="D726" s="3">
        <v>14.854983256294394</v>
      </c>
      <c r="E726" s="3">
        <v>14.284779396677363</v>
      </c>
      <c r="F726" s="3">
        <v>14.789647102355957</v>
      </c>
      <c r="G726" s="3">
        <v>404800</v>
      </c>
      <c r="H726" s="3">
        <v>0</v>
      </c>
      <c r="I726" s="3">
        <v>0</v>
      </c>
      <c r="J726" s="3" t="str">
        <v>AB</v>
      </c>
      <c r="K726" s="23">
        <v>43046</v>
      </c>
      <c r="L726" s="22">
        <v>14.849040031433105</v>
      </c>
    </row>
    <row r="727" spans="1:12" x14ac:dyDescent="0.25">
      <c r="A727" s="9">
        <v>720</v>
      </c>
      <c r="B727" s="10">
        <v>43048</v>
      </c>
      <c r="C727" s="3">
        <v>14.700549870169542</v>
      </c>
      <c r="D727" s="3">
        <v>14.759946257839511</v>
      </c>
      <c r="E727" s="3">
        <v>14.552059467440557</v>
      </c>
      <c r="F727" s="3">
        <v>14.730247497558594</v>
      </c>
      <c r="G727" s="3">
        <v>206400</v>
      </c>
      <c r="H727" s="3">
        <v>0</v>
      </c>
      <c r="I727" s="3">
        <v>0</v>
      </c>
      <c r="J727" s="3" t="str">
        <v>AB</v>
      </c>
      <c r="K727" s="23">
        <v>43047</v>
      </c>
      <c r="L727" s="22">
        <v>14.789647102355957</v>
      </c>
    </row>
    <row r="728" spans="1:12" x14ac:dyDescent="0.25">
      <c r="A728" s="9">
        <v>721</v>
      </c>
      <c r="B728" s="10">
        <v>43049</v>
      </c>
      <c r="C728" s="3">
        <v>14.819343146534127</v>
      </c>
      <c r="D728" s="3">
        <v>14.967833554283398</v>
      </c>
      <c r="E728" s="3">
        <v>14.670852738784854</v>
      </c>
      <c r="F728" s="3">
        <v>14.878738403320313</v>
      </c>
      <c r="G728" s="3">
        <v>154300</v>
      </c>
      <c r="H728" s="3">
        <v>0</v>
      </c>
      <c r="I728" s="3">
        <v>0</v>
      </c>
      <c r="J728" s="3" t="str">
        <v>AB</v>
      </c>
      <c r="K728" s="23">
        <v>43048</v>
      </c>
      <c r="L728" s="22">
        <v>14.730247497558594</v>
      </c>
    </row>
    <row r="729" spans="1:12" x14ac:dyDescent="0.25">
      <c r="A729" s="9">
        <v>722</v>
      </c>
      <c r="B729" s="10">
        <v>43052</v>
      </c>
      <c r="C729" s="3">
        <v>14.849040484187578</v>
      </c>
      <c r="D729" s="3">
        <v>14.849040484187578</v>
      </c>
      <c r="E729" s="3">
        <v>14.670852451534081</v>
      </c>
      <c r="F729" s="3">
        <v>14.700550079345703</v>
      </c>
      <c r="G729" s="3">
        <v>112600</v>
      </c>
      <c r="H729" s="3">
        <v>0</v>
      </c>
      <c r="I729" s="3">
        <v>0</v>
      </c>
      <c r="J729" s="3" t="str">
        <v>AB</v>
      </c>
      <c r="K729" s="23">
        <v>43049</v>
      </c>
      <c r="L729" s="22">
        <v>14.878738403320313</v>
      </c>
    </row>
    <row r="730" spans="1:12" x14ac:dyDescent="0.25">
      <c r="A730" s="9">
        <v>723</v>
      </c>
      <c r="B730" s="10">
        <v>43053</v>
      </c>
      <c r="C730" s="3">
        <v>14.700549870169542</v>
      </c>
      <c r="D730" s="3">
        <v>14.819342645509478</v>
      </c>
      <c r="E730" s="3">
        <v>14.700549870169542</v>
      </c>
      <c r="F730" s="3">
        <v>14.730247497558594</v>
      </c>
      <c r="G730" s="3">
        <v>186300</v>
      </c>
      <c r="H730" s="3">
        <v>0</v>
      </c>
      <c r="I730" s="3">
        <v>0</v>
      </c>
      <c r="J730" s="3" t="str">
        <v>AB</v>
      </c>
      <c r="K730" s="23">
        <v>43052</v>
      </c>
      <c r="L730" s="22">
        <v>14.700550079345703</v>
      </c>
    </row>
    <row r="731" spans="1:12" x14ac:dyDescent="0.25">
      <c r="A731" s="9">
        <v>724</v>
      </c>
      <c r="B731" s="10">
        <v>43054</v>
      </c>
      <c r="C731" s="3">
        <v>14.700549395862476</v>
      </c>
      <c r="D731" s="3">
        <v>14.997530191738486</v>
      </c>
      <c r="E731" s="3">
        <v>14.61145538367804</v>
      </c>
      <c r="F731" s="3">
        <v>14.967832565307617</v>
      </c>
      <c r="G731" s="3">
        <v>310600</v>
      </c>
      <c r="H731" s="3">
        <v>0</v>
      </c>
      <c r="I731" s="3">
        <v>0</v>
      </c>
      <c r="J731" s="3" t="str">
        <v>AB</v>
      </c>
      <c r="K731" s="23">
        <v>43053</v>
      </c>
      <c r="L731" s="22">
        <v>14.730247497558594</v>
      </c>
    </row>
    <row r="732" spans="1:12" x14ac:dyDescent="0.25">
      <c r="A732" s="9">
        <v>725</v>
      </c>
      <c r="B732" s="10">
        <v>43055</v>
      </c>
      <c r="C732" s="3">
        <v>15.027229797348637</v>
      </c>
      <c r="D732" s="3">
        <v>15.324210632338863</v>
      </c>
      <c r="E732" s="3">
        <v>14.938135773429966</v>
      </c>
      <c r="F732" s="3">
        <v>15.17572021484375</v>
      </c>
      <c r="G732" s="3">
        <v>265500</v>
      </c>
      <c r="H732" s="3">
        <v>0</v>
      </c>
      <c r="I732" s="3">
        <v>0</v>
      </c>
      <c r="J732" s="3" t="str">
        <v>AB</v>
      </c>
      <c r="K732" s="23">
        <v>43054</v>
      </c>
      <c r="L732" s="22">
        <v>14.967832565307617</v>
      </c>
    </row>
    <row r="733" spans="1:12" x14ac:dyDescent="0.25">
      <c r="A733" s="9">
        <v>726</v>
      </c>
      <c r="B733" s="10">
        <v>43056</v>
      </c>
      <c r="C733" s="3">
        <v>15.205417877738578</v>
      </c>
      <c r="D733" s="3">
        <v>15.264814267016801</v>
      </c>
      <c r="E733" s="3">
        <v>15.086625099182129</v>
      </c>
      <c r="F733" s="3">
        <v>15.086625099182129</v>
      </c>
      <c r="G733" s="3">
        <v>136300</v>
      </c>
      <c r="H733" s="3">
        <v>0</v>
      </c>
      <c r="I733" s="3">
        <v>0</v>
      </c>
      <c r="J733" s="3" t="str">
        <v>AB</v>
      </c>
      <c r="K733" s="23">
        <v>43055</v>
      </c>
      <c r="L733" s="22">
        <v>15.17572021484375</v>
      </c>
    </row>
    <row r="734" spans="1:12" x14ac:dyDescent="0.25">
      <c r="A734" s="9">
        <v>727</v>
      </c>
      <c r="B734" s="10">
        <v>43059</v>
      </c>
      <c r="C734" s="3">
        <v>15.11632624786499</v>
      </c>
      <c r="D734" s="3">
        <v>15.294514310952264</v>
      </c>
      <c r="E734" s="3">
        <v>15.056929849205208</v>
      </c>
      <c r="F734" s="3">
        <v>15.23511791229248</v>
      </c>
      <c r="G734" s="3">
        <v>171400</v>
      </c>
      <c r="H734" s="3">
        <v>0</v>
      </c>
      <c r="I734" s="3">
        <v>0</v>
      </c>
      <c r="J734" s="3" t="str">
        <v>AB</v>
      </c>
      <c r="K734" s="23">
        <v>43056</v>
      </c>
      <c r="L734" s="22">
        <v>15.086625099182129</v>
      </c>
    </row>
    <row r="735" spans="1:12" x14ac:dyDescent="0.25">
      <c r="A735" s="9">
        <v>728</v>
      </c>
      <c r="B735" s="10">
        <v>43060</v>
      </c>
      <c r="C735" s="3">
        <v>15.353910709612046</v>
      </c>
      <c r="D735" s="3">
        <v>15.41330710827183</v>
      </c>
      <c r="E735" s="3">
        <v>15.146023880748844</v>
      </c>
      <c r="F735" s="3">
        <v>15.23511791229248</v>
      </c>
      <c r="G735" s="3">
        <v>173100</v>
      </c>
      <c r="H735" s="3">
        <v>0</v>
      </c>
      <c r="I735" s="3">
        <v>0</v>
      </c>
      <c r="J735" s="3" t="str">
        <v>AB</v>
      </c>
      <c r="K735" s="23">
        <v>43059</v>
      </c>
      <c r="L735" s="22">
        <v>15.23511791229248</v>
      </c>
    </row>
    <row r="736" spans="1:12" x14ac:dyDescent="0.25">
      <c r="A736" s="9">
        <v>729</v>
      </c>
      <c r="B736" s="10">
        <v>43061</v>
      </c>
      <c r="C736" s="3">
        <v>15.264815585447508</v>
      </c>
      <c r="D736" s="3">
        <v>15.324210846963837</v>
      </c>
      <c r="E736" s="3">
        <v>15.116325165872695</v>
      </c>
      <c r="F736" s="3">
        <v>15.146022796630859</v>
      </c>
      <c r="G736" s="3">
        <v>145800</v>
      </c>
      <c r="H736" s="3">
        <v>0</v>
      </c>
      <c r="I736" s="3">
        <v>0</v>
      </c>
      <c r="J736" s="3" t="str">
        <v>AB</v>
      </c>
      <c r="K736" s="23">
        <v>43060</v>
      </c>
      <c r="L736" s="22">
        <v>15.23511791229248</v>
      </c>
    </row>
    <row r="737" spans="1:12" x14ac:dyDescent="0.25">
      <c r="A737" s="9">
        <v>730</v>
      </c>
      <c r="B737" s="10">
        <v>43063</v>
      </c>
      <c r="C737" s="3">
        <v>15.175720684850351</v>
      </c>
      <c r="D737" s="3">
        <v>15.235117080266354</v>
      </c>
      <c r="E737" s="3">
        <v>14.967835000232357</v>
      </c>
      <c r="F737" s="3">
        <v>15.027230262756348</v>
      </c>
      <c r="G737" s="3">
        <v>63900</v>
      </c>
      <c r="H737" s="3">
        <v>0</v>
      </c>
      <c r="I737" s="3">
        <v>0</v>
      </c>
      <c r="J737" s="3" t="str">
        <v>AB</v>
      </c>
      <c r="K737" s="23">
        <v>43061</v>
      </c>
      <c r="L737" s="22">
        <v>15.146022796630859</v>
      </c>
    </row>
    <row r="738" spans="1:12" x14ac:dyDescent="0.25">
      <c r="A738" s="9">
        <v>731</v>
      </c>
      <c r="B738" s="10">
        <v>43066</v>
      </c>
      <c r="C738" s="3">
        <v>15.056926577492053</v>
      </c>
      <c r="D738" s="3">
        <v>15.264813361183627</v>
      </c>
      <c r="E738" s="3">
        <v>14.261017953913001</v>
      </c>
      <c r="F738" s="3">
        <v>14.967832565307617</v>
      </c>
      <c r="G738" s="3">
        <v>458100</v>
      </c>
      <c r="H738" s="3">
        <v>0</v>
      </c>
      <c r="I738" s="3">
        <v>0</v>
      </c>
      <c r="J738" s="3" t="str">
        <v>AB</v>
      </c>
      <c r="K738" s="23">
        <v>43063</v>
      </c>
      <c r="L738" s="22">
        <v>15.027230262756348</v>
      </c>
    </row>
    <row r="739" spans="1:12" x14ac:dyDescent="0.25">
      <c r="A739" s="9">
        <v>732</v>
      </c>
      <c r="B739" s="10">
        <v>43067</v>
      </c>
      <c r="C739" s="3">
        <v>14.967834746297882</v>
      </c>
      <c r="D739" s="3">
        <v>15.175720427389024</v>
      </c>
      <c r="E739" s="3">
        <v>14.849041957481235</v>
      </c>
      <c r="F739" s="3">
        <v>15.146022796630859</v>
      </c>
      <c r="G739" s="3">
        <v>235700</v>
      </c>
      <c r="H739" s="3">
        <v>0</v>
      </c>
      <c r="I739" s="3">
        <v>0</v>
      </c>
      <c r="J739" s="3" t="str">
        <v>AB</v>
      </c>
      <c r="K739" s="23">
        <v>43066</v>
      </c>
      <c r="L739" s="22">
        <v>14.967832565307617</v>
      </c>
    </row>
    <row r="740" spans="1:12" x14ac:dyDescent="0.25">
      <c r="A740" s="9">
        <v>733</v>
      </c>
      <c r="B740" s="10">
        <v>43068</v>
      </c>
      <c r="C740" s="3">
        <v>15.116326739156039</v>
      </c>
      <c r="D740" s="3">
        <v>15.264817174185501</v>
      </c>
      <c r="E740" s="3">
        <v>14.730250701765749</v>
      </c>
      <c r="F740" s="3">
        <v>14.789647102355957</v>
      </c>
      <c r="G740" s="3">
        <v>327500</v>
      </c>
      <c r="H740" s="3">
        <v>0</v>
      </c>
      <c r="I740" s="3">
        <v>0</v>
      </c>
      <c r="J740" s="3" t="str">
        <v>AB</v>
      </c>
      <c r="K740" s="23">
        <v>43067</v>
      </c>
      <c r="L740" s="22">
        <v>15.146022796630859</v>
      </c>
    </row>
    <row r="741" spans="1:12" x14ac:dyDescent="0.25">
      <c r="A741" s="9">
        <v>734</v>
      </c>
      <c r="B741" s="10">
        <v>43069</v>
      </c>
      <c r="C741" s="3">
        <v>14.849040031433105</v>
      </c>
      <c r="D741" s="3">
        <v>14.938134045043334</v>
      </c>
      <c r="E741" s="3">
        <v>14.724308638957154</v>
      </c>
      <c r="F741" s="3">
        <v>14.849040031433105</v>
      </c>
      <c r="G741" s="3">
        <v>234000</v>
      </c>
      <c r="H741" s="3">
        <v>0</v>
      </c>
      <c r="I741" s="3">
        <v>0</v>
      </c>
      <c r="J741" s="3" t="str">
        <v>AB</v>
      </c>
      <c r="K741" s="23">
        <v>43068</v>
      </c>
      <c r="L741" s="22">
        <v>14.789647102355957</v>
      </c>
    </row>
    <row r="742" spans="1:12" x14ac:dyDescent="0.25">
      <c r="A742" s="9">
        <v>735</v>
      </c>
      <c r="B742" s="10">
        <v>43070</v>
      </c>
      <c r="C742" s="3">
        <v>14.849043719883944</v>
      </c>
      <c r="D742" s="3">
        <v>14.908440121341906</v>
      </c>
      <c r="E742" s="3">
        <v>14.462968809745387</v>
      </c>
      <c r="F742" s="3">
        <v>14.759949684143066</v>
      </c>
      <c r="G742" s="3">
        <v>239000</v>
      </c>
      <c r="H742" s="3">
        <v>0</v>
      </c>
      <c r="I742" s="3">
        <v>0</v>
      </c>
      <c r="J742" s="3" t="str">
        <v>AB</v>
      </c>
      <c r="K742" s="23">
        <v>43069</v>
      </c>
      <c r="L742" s="22">
        <v>14.849040031433105</v>
      </c>
    </row>
    <row r="743" spans="1:12" x14ac:dyDescent="0.25">
      <c r="A743" s="9">
        <v>736</v>
      </c>
      <c r="B743" s="10">
        <v>43073</v>
      </c>
      <c r="C743" s="3">
        <v>14.878739840662343</v>
      </c>
      <c r="D743" s="3">
        <v>15.086626658172351</v>
      </c>
      <c r="E743" s="3">
        <v>14.878739840662343</v>
      </c>
      <c r="F743" s="3">
        <v>15.027230262756348</v>
      </c>
      <c r="G743" s="3">
        <v>209300</v>
      </c>
      <c r="H743" s="3">
        <v>0</v>
      </c>
      <c r="I743" s="3">
        <v>0</v>
      </c>
      <c r="J743" s="3" t="str">
        <v>AB</v>
      </c>
      <c r="K743" s="23">
        <v>43070</v>
      </c>
      <c r="L743" s="22">
        <v>14.759949684143066</v>
      </c>
    </row>
    <row r="744" spans="1:12" x14ac:dyDescent="0.25">
      <c r="A744" s="9">
        <v>737</v>
      </c>
      <c r="B744" s="10">
        <v>43074</v>
      </c>
      <c r="C744" s="3">
        <v>15.086625099182129</v>
      </c>
      <c r="D744" s="3">
        <v>15.205417877738578</v>
      </c>
      <c r="E744" s="3">
        <v>14.938134692432518</v>
      </c>
      <c r="F744" s="3">
        <v>15.086625099182129</v>
      </c>
      <c r="G744" s="3">
        <v>290400</v>
      </c>
      <c r="H744" s="3">
        <v>0</v>
      </c>
      <c r="I744" s="3">
        <v>0</v>
      </c>
      <c r="J744" s="3" t="str">
        <v>AB</v>
      </c>
      <c r="K744" s="23">
        <v>43073</v>
      </c>
      <c r="L744" s="22">
        <v>15.027230262756348</v>
      </c>
    </row>
    <row r="745" spans="1:12" x14ac:dyDescent="0.25">
      <c r="A745" s="9">
        <v>738</v>
      </c>
      <c r="B745" s="10">
        <v>43075</v>
      </c>
      <c r="C745" s="3">
        <v>14.96783581766157</v>
      </c>
      <c r="D745" s="3">
        <v>15.294514310952264</v>
      </c>
      <c r="E745" s="3">
        <v>14.96783581766157</v>
      </c>
      <c r="F745" s="3">
        <v>15.23511791229248</v>
      </c>
      <c r="G745" s="3">
        <v>231600</v>
      </c>
      <c r="H745" s="3">
        <v>0</v>
      </c>
      <c r="I745" s="3">
        <v>0</v>
      </c>
      <c r="J745" s="3" t="str">
        <v>AB</v>
      </c>
      <c r="K745" s="23">
        <v>43074</v>
      </c>
      <c r="L745" s="22">
        <v>15.086625099182129</v>
      </c>
    </row>
    <row r="746" spans="1:12" x14ac:dyDescent="0.25">
      <c r="A746" s="9">
        <v>739</v>
      </c>
      <c r="B746" s="10">
        <v>43076</v>
      </c>
      <c r="C746" s="3">
        <v>15.175719160404091</v>
      </c>
      <c r="D746" s="3">
        <v>15.532096364208948</v>
      </c>
      <c r="E746" s="3">
        <v>15.116323903846531</v>
      </c>
      <c r="F746" s="3">
        <v>15.38360595703125</v>
      </c>
      <c r="G746" s="3">
        <v>232900</v>
      </c>
      <c r="H746" s="3">
        <v>0</v>
      </c>
      <c r="I746" s="3">
        <v>0</v>
      </c>
      <c r="J746" s="3" t="str">
        <v>AB</v>
      </c>
      <c r="K746" s="23">
        <v>43075</v>
      </c>
      <c r="L746" s="22">
        <v>15.23511791229248</v>
      </c>
    </row>
    <row r="747" spans="1:12" x14ac:dyDescent="0.25">
      <c r="A747" s="9">
        <v>740</v>
      </c>
      <c r="B747" s="10">
        <v>43077</v>
      </c>
      <c r="C747" s="3">
        <v>15.443004476181939</v>
      </c>
      <c r="D747" s="3">
        <v>15.443004476181939</v>
      </c>
      <c r="E747" s="3">
        <v>15.163842880030559</v>
      </c>
      <c r="F747" s="3">
        <v>15.353910446166992</v>
      </c>
      <c r="G747" s="3">
        <v>110800</v>
      </c>
      <c r="H747" s="3">
        <v>0</v>
      </c>
      <c r="I747" s="3">
        <v>0</v>
      </c>
      <c r="J747" s="3" t="str">
        <v>AB</v>
      </c>
      <c r="K747" s="23">
        <v>43076</v>
      </c>
      <c r="L747" s="22">
        <v>15.38360595703125</v>
      </c>
    </row>
    <row r="748" spans="1:12" x14ac:dyDescent="0.25">
      <c r="A748" s="9">
        <v>741</v>
      </c>
      <c r="B748" s="10">
        <v>43080</v>
      </c>
      <c r="C748" s="3">
        <v>14.789643052878834</v>
      </c>
      <c r="D748" s="3">
        <v>15.027227457295769</v>
      </c>
      <c r="E748" s="3">
        <v>14.522361022744207</v>
      </c>
      <c r="F748" s="3">
        <v>14.908435821533203</v>
      </c>
      <c r="G748" s="3">
        <v>1090900</v>
      </c>
      <c r="H748" s="3">
        <v>0</v>
      </c>
      <c r="I748" s="3">
        <v>0</v>
      </c>
      <c r="J748" s="3" t="str">
        <v>AB</v>
      </c>
      <c r="K748" s="23">
        <v>43077</v>
      </c>
      <c r="L748" s="22">
        <v>15.353910446166992</v>
      </c>
    </row>
    <row r="749" spans="1:12" x14ac:dyDescent="0.25">
      <c r="A749" s="9">
        <v>742</v>
      </c>
      <c r="B749" s="10">
        <v>43081</v>
      </c>
      <c r="C749" s="3">
        <v>14.789643853004007</v>
      </c>
      <c r="D749" s="3">
        <v>14.997530642950004</v>
      </c>
      <c r="E749" s="3">
        <v>14.759946225679665</v>
      </c>
      <c r="F749" s="3">
        <v>14.819342613220215</v>
      </c>
      <c r="G749" s="3">
        <v>410800</v>
      </c>
      <c r="H749" s="3">
        <v>0</v>
      </c>
      <c r="I749" s="3">
        <v>0</v>
      </c>
      <c r="J749" s="3" t="str">
        <v>AB</v>
      </c>
      <c r="K749" s="23">
        <v>43080</v>
      </c>
      <c r="L749" s="22">
        <v>14.908435821533203</v>
      </c>
    </row>
    <row r="750" spans="1:12" x14ac:dyDescent="0.25">
      <c r="A750" s="9">
        <v>743</v>
      </c>
      <c r="B750" s="10">
        <v>43082</v>
      </c>
      <c r="C750" s="3">
        <v>14.789644385249129</v>
      </c>
      <c r="D750" s="3">
        <v>15.146021590425763</v>
      </c>
      <c r="E750" s="3">
        <v>14.789644385249129</v>
      </c>
      <c r="F750" s="3">
        <v>14.878738403320313</v>
      </c>
      <c r="G750" s="3">
        <v>367400</v>
      </c>
      <c r="H750" s="3">
        <v>0</v>
      </c>
      <c r="I750" s="3">
        <v>0</v>
      </c>
      <c r="J750" s="3" t="str">
        <v>AB</v>
      </c>
      <c r="K750" s="23">
        <v>43081</v>
      </c>
      <c r="L750" s="22">
        <v>14.819342613220215</v>
      </c>
    </row>
    <row r="751" spans="1:12" x14ac:dyDescent="0.25">
      <c r="A751" s="9">
        <v>744</v>
      </c>
      <c r="B751" s="10">
        <v>43083</v>
      </c>
      <c r="C751" s="3">
        <v>14.878741354166861</v>
      </c>
      <c r="D751" s="3">
        <v>14.938137755624822</v>
      </c>
      <c r="E751" s="3">
        <v>14.670855648402188</v>
      </c>
      <c r="F751" s="3">
        <v>14.759949684143066</v>
      </c>
      <c r="G751" s="3">
        <v>329400</v>
      </c>
      <c r="H751" s="3">
        <v>0</v>
      </c>
      <c r="I751" s="3">
        <v>0</v>
      </c>
      <c r="J751" s="3" t="str">
        <v>AB</v>
      </c>
      <c r="K751" s="23">
        <v>43082</v>
      </c>
      <c r="L751" s="22">
        <v>14.878738403320313</v>
      </c>
    </row>
    <row r="752" spans="1:12" x14ac:dyDescent="0.25">
      <c r="A752" s="9">
        <v>745</v>
      </c>
      <c r="B752" s="10">
        <v>43084</v>
      </c>
      <c r="C752" s="3">
        <v>14.730247258024901</v>
      </c>
      <c r="D752" s="3">
        <v>14.96783280484131</v>
      </c>
      <c r="E752" s="3">
        <v>14.700549631118774</v>
      </c>
      <c r="F752" s="3">
        <v>14.849040031433105</v>
      </c>
      <c r="G752" s="3">
        <v>459700</v>
      </c>
      <c r="H752" s="3">
        <v>0</v>
      </c>
      <c r="I752" s="3">
        <v>0</v>
      </c>
      <c r="J752" s="3" t="str">
        <v>AB</v>
      </c>
      <c r="K752" s="23">
        <v>43083</v>
      </c>
      <c r="L752" s="22">
        <v>14.759949684143066</v>
      </c>
    </row>
    <row r="753" spans="1:12" x14ac:dyDescent="0.25">
      <c r="A753" s="9">
        <v>746</v>
      </c>
      <c r="B753" s="10">
        <v>43087</v>
      </c>
      <c r="C753" s="3">
        <v>14.997533450545424</v>
      </c>
      <c r="D753" s="3">
        <v>15.324211943836117</v>
      </c>
      <c r="E753" s="3">
        <v>14.908439419001787</v>
      </c>
      <c r="F753" s="3">
        <v>15.23511791229248</v>
      </c>
      <c r="G753" s="3">
        <v>319700</v>
      </c>
      <c r="H753" s="3">
        <v>0</v>
      </c>
      <c r="I753" s="3">
        <v>0</v>
      </c>
      <c r="J753" s="3" t="str">
        <v>AB</v>
      </c>
      <c r="K753" s="23">
        <v>43084</v>
      </c>
      <c r="L753" s="22">
        <v>14.849040031433105</v>
      </c>
    </row>
    <row r="754" spans="1:12" x14ac:dyDescent="0.25">
      <c r="A754" s="9">
        <v>747</v>
      </c>
      <c r="B754" s="10">
        <v>43088</v>
      </c>
      <c r="C754" s="3">
        <v>15.264814267016801</v>
      </c>
      <c r="D754" s="3">
        <v>15.300451647426977</v>
      </c>
      <c r="E754" s="3">
        <v>14.96783345351758</v>
      </c>
      <c r="F754" s="3">
        <v>15.086625099182129</v>
      </c>
      <c r="G754" s="3">
        <v>257300</v>
      </c>
      <c r="H754" s="3">
        <v>0</v>
      </c>
      <c r="I754" s="3">
        <v>0</v>
      </c>
      <c r="J754" s="3" t="str">
        <v>AB</v>
      </c>
      <c r="K754" s="23">
        <v>43087</v>
      </c>
      <c r="L754" s="22">
        <v>15.23511791229248</v>
      </c>
    </row>
    <row r="755" spans="1:12" x14ac:dyDescent="0.25">
      <c r="A755" s="9">
        <v>748</v>
      </c>
      <c r="B755" s="10">
        <v>43089</v>
      </c>
      <c r="C755" s="3">
        <v>15.175719328290429</v>
      </c>
      <c r="D755" s="3">
        <v>15.294512108503532</v>
      </c>
      <c r="E755" s="3">
        <v>15.056927680969238</v>
      </c>
      <c r="F755" s="3">
        <v>15.056927680969238</v>
      </c>
      <c r="G755" s="3">
        <v>219100</v>
      </c>
      <c r="H755" s="3">
        <v>0</v>
      </c>
      <c r="I755" s="3">
        <v>0</v>
      </c>
      <c r="J755" s="3" t="str">
        <v>AB</v>
      </c>
      <c r="K755" s="23">
        <v>43088</v>
      </c>
      <c r="L755" s="22">
        <v>15.086625099182129</v>
      </c>
    </row>
    <row r="756" spans="1:12" x14ac:dyDescent="0.25">
      <c r="A756" s="9">
        <v>749</v>
      </c>
      <c r="B756" s="10">
        <v>43090</v>
      </c>
      <c r="C756" s="3">
        <v>15.056927083320383</v>
      </c>
      <c r="D756" s="3">
        <v>15.252934369867623</v>
      </c>
      <c r="E756" s="3">
        <v>15.033168075064054</v>
      </c>
      <c r="F756" s="3">
        <v>15.116323471069336</v>
      </c>
      <c r="G756" s="3">
        <v>162900</v>
      </c>
      <c r="H756" s="3">
        <v>0</v>
      </c>
      <c r="I756" s="3">
        <v>0</v>
      </c>
      <c r="J756" s="3" t="str">
        <v>AB</v>
      </c>
      <c r="K756" s="23">
        <v>43089</v>
      </c>
      <c r="L756" s="22">
        <v>15.056927680969238</v>
      </c>
    </row>
    <row r="757" spans="1:12" x14ac:dyDescent="0.25">
      <c r="A757" s="9">
        <v>750</v>
      </c>
      <c r="B757" s="10">
        <v>43091</v>
      </c>
      <c r="C757" s="3">
        <v>15.056927470988967</v>
      </c>
      <c r="D757" s="3">
        <v>15.146021488460354</v>
      </c>
      <c r="E757" s="3">
        <v>15.056927470988967</v>
      </c>
      <c r="F757" s="3">
        <v>15.086625099182129</v>
      </c>
      <c r="G757" s="3">
        <v>94200</v>
      </c>
      <c r="H757" s="3">
        <v>0</v>
      </c>
      <c r="I757" s="3">
        <v>0</v>
      </c>
      <c r="J757" s="3" t="str">
        <v>AB</v>
      </c>
      <c r="K757" s="23">
        <v>43090</v>
      </c>
      <c r="L757" s="22">
        <v>15.116323471069336</v>
      </c>
    </row>
    <row r="758" spans="1:12" x14ac:dyDescent="0.25">
      <c r="A758" s="9">
        <v>751</v>
      </c>
      <c r="B758" s="10">
        <v>43095</v>
      </c>
      <c r="C758" s="3">
        <v>15.11632386026719</v>
      </c>
      <c r="D758" s="3">
        <v>15.205417877738578</v>
      </c>
      <c r="E758" s="3">
        <v>15.027228709903905</v>
      </c>
      <c r="F758" s="3">
        <v>15.086625099182129</v>
      </c>
      <c r="G758" s="3">
        <v>173300</v>
      </c>
      <c r="H758" s="3">
        <v>0</v>
      </c>
      <c r="I758" s="3">
        <v>0</v>
      </c>
      <c r="J758" s="3" t="str">
        <v>AB</v>
      </c>
      <c r="K758" s="23">
        <v>43091</v>
      </c>
      <c r="L758" s="22">
        <v>15.086625099182129</v>
      </c>
    </row>
    <row r="759" spans="1:12" x14ac:dyDescent="0.25">
      <c r="A759" s="9">
        <v>752</v>
      </c>
      <c r="B759" s="10">
        <v>43096</v>
      </c>
      <c r="C759" s="3">
        <v>15.11632542232636</v>
      </c>
      <c r="D759" s="3">
        <v>15.11632542232636</v>
      </c>
      <c r="E759" s="3">
        <v>14.955955494570754</v>
      </c>
      <c r="F759" s="3">
        <v>15.027230262756348</v>
      </c>
      <c r="G759" s="3">
        <v>177200</v>
      </c>
      <c r="H759" s="3">
        <v>0</v>
      </c>
      <c r="I759" s="3">
        <v>0</v>
      </c>
      <c r="J759" s="3" t="str">
        <v>AB</v>
      </c>
      <c r="K759" s="23">
        <v>43095</v>
      </c>
      <c r="L759" s="22">
        <v>15.086625099182129</v>
      </c>
    </row>
    <row r="760" spans="1:12" x14ac:dyDescent="0.25">
      <c r="A760" s="9">
        <v>753</v>
      </c>
      <c r="B760" s="10">
        <v>43097</v>
      </c>
      <c r="C760" s="3">
        <v>14.967832205860388</v>
      </c>
      <c r="D760" s="3">
        <v>15.027227457295769</v>
      </c>
      <c r="E760" s="3">
        <v>14.849039437206018</v>
      </c>
      <c r="F760" s="3">
        <v>14.908435821533203</v>
      </c>
      <c r="G760" s="3">
        <v>174900</v>
      </c>
      <c r="H760" s="3">
        <v>0</v>
      </c>
      <c r="I760" s="3">
        <v>0</v>
      </c>
      <c r="J760" s="3" t="str">
        <v>AB</v>
      </c>
      <c r="K760" s="23">
        <v>43096</v>
      </c>
      <c r="L760" s="22">
        <v>15.027230262756348</v>
      </c>
    </row>
    <row r="761" spans="1:12" x14ac:dyDescent="0.25">
      <c r="A761" s="9">
        <v>754</v>
      </c>
      <c r="B761" s="10">
        <v>43098</v>
      </c>
      <c r="C761" s="3">
        <v>14.938134792998401</v>
      </c>
      <c r="D761" s="3">
        <v>14.973772173648493</v>
      </c>
      <c r="E761" s="3">
        <v>14.819343146534127</v>
      </c>
      <c r="F761" s="3">
        <v>14.878738403320313</v>
      </c>
      <c r="G761" s="3">
        <v>164400</v>
      </c>
      <c r="H761" s="3">
        <v>0</v>
      </c>
      <c r="I761" s="3">
        <v>0</v>
      </c>
      <c r="J761" s="3" t="str">
        <v>AB</v>
      </c>
      <c r="K761" s="23">
        <v>43097</v>
      </c>
      <c r="L761" s="22">
        <v>14.908435821533203</v>
      </c>
    </row>
    <row r="762" spans="1:12" x14ac:dyDescent="0.25">
      <c r="A762" s="9">
        <v>755</v>
      </c>
      <c r="B762" s="10">
        <v>43102</v>
      </c>
      <c r="C762" s="3">
        <v>14.878737420231349</v>
      </c>
      <c r="D762" s="3">
        <v>14.997530191738486</v>
      </c>
      <c r="E762" s="3">
        <v>14.825280786342322</v>
      </c>
      <c r="F762" s="3">
        <v>14.967832565307617</v>
      </c>
      <c r="G762" s="3">
        <v>271700</v>
      </c>
      <c r="H762" s="3">
        <v>0</v>
      </c>
      <c r="I762" s="3">
        <v>0</v>
      </c>
      <c r="J762" s="3" t="str">
        <v>AB</v>
      </c>
      <c r="K762" s="23">
        <v>43098</v>
      </c>
      <c r="L762" s="22">
        <v>14.878738403320313</v>
      </c>
    </row>
    <row r="763" spans="1:12" x14ac:dyDescent="0.25">
      <c r="A763" s="9">
        <v>756</v>
      </c>
      <c r="B763" s="10">
        <v>43103</v>
      </c>
      <c r="C763" s="3">
        <v>14.938134307822477</v>
      </c>
      <c r="D763" s="3">
        <v>15.146021098497879</v>
      </c>
      <c r="E763" s="3">
        <v>14.878737920073522</v>
      </c>
      <c r="F763" s="3">
        <v>15.116323471069336</v>
      </c>
      <c r="G763" s="3">
        <v>218200</v>
      </c>
      <c r="H763" s="3">
        <v>0</v>
      </c>
      <c r="I763" s="3">
        <v>0</v>
      </c>
      <c r="J763" s="3" t="str">
        <v>AB</v>
      </c>
      <c r="K763" s="23">
        <v>43102</v>
      </c>
      <c r="L763" s="22">
        <v>14.967832565307617</v>
      </c>
    </row>
    <row r="764" spans="1:12" x14ac:dyDescent="0.25">
      <c r="A764" s="9">
        <v>757</v>
      </c>
      <c r="B764" s="10">
        <v>43104</v>
      </c>
      <c r="C764" s="3">
        <v>15.146023620870746</v>
      </c>
      <c r="D764" s="3">
        <v>15.443004476181939</v>
      </c>
      <c r="E764" s="3">
        <v>15.116325988496451</v>
      </c>
      <c r="F764" s="3">
        <v>15.353910446166992</v>
      </c>
      <c r="G764" s="3">
        <v>309800</v>
      </c>
      <c r="H764" s="3">
        <v>0</v>
      </c>
      <c r="I764" s="3">
        <v>0</v>
      </c>
      <c r="J764" s="3" t="str">
        <v>AB</v>
      </c>
      <c r="K764" s="23">
        <v>43103</v>
      </c>
      <c r="L764" s="22">
        <v>15.116323471069336</v>
      </c>
    </row>
    <row r="765" spans="1:12" x14ac:dyDescent="0.25">
      <c r="A765" s="9">
        <v>758</v>
      </c>
      <c r="B765" s="10">
        <v>43105</v>
      </c>
      <c r="C765" s="3">
        <v>15.383605122325919</v>
      </c>
      <c r="D765" s="3">
        <v>15.579612403849566</v>
      </c>
      <c r="E765" s="3">
        <v>15.353907495658515</v>
      </c>
      <c r="F765" s="3">
        <v>15.561794281005859</v>
      </c>
      <c r="G765" s="3">
        <v>229000</v>
      </c>
      <c r="H765" s="3">
        <v>0</v>
      </c>
      <c r="I765" s="3">
        <v>0</v>
      </c>
      <c r="J765" s="3" t="str">
        <v>AB</v>
      </c>
      <c r="K765" s="23">
        <v>43104</v>
      </c>
      <c r="L765" s="22">
        <v>15.353910446166992</v>
      </c>
    </row>
    <row r="766" spans="1:12" x14ac:dyDescent="0.25">
      <c r="A766" s="9">
        <v>759</v>
      </c>
      <c r="B766" s="10">
        <v>43108</v>
      </c>
      <c r="C766" s="3">
        <v>15.561796211127829</v>
      </c>
      <c r="D766" s="3">
        <v>15.947871070147951</v>
      </c>
      <c r="E766" s="3">
        <v>15.549916705830723</v>
      </c>
      <c r="F766" s="3">
        <v>15.858777046203613</v>
      </c>
      <c r="G766" s="3">
        <v>424900</v>
      </c>
      <c r="H766" s="3">
        <v>0</v>
      </c>
      <c r="I766" s="3">
        <v>0</v>
      </c>
      <c r="J766" s="3" t="str">
        <v>AB</v>
      </c>
      <c r="K766" s="23">
        <v>43105</v>
      </c>
      <c r="L766" s="22">
        <v>15.561794281005859</v>
      </c>
    </row>
    <row r="767" spans="1:12" x14ac:dyDescent="0.25">
      <c r="A767" s="9">
        <v>760</v>
      </c>
      <c r="B767" s="10">
        <v>43109</v>
      </c>
      <c r="C767" s="3">
        <v>15.947873224209154</v>
      </c>
      <c r="D767" s="3">
        <v>16.512136207332315</v>
      </c>
      <c r="E767" s="3">
        <v>15.888476822592995</v>
      </c>
      <c r="F767" s="3">
        <v>16.333948135375977</v>
      </c>
      <c r="G767" s="3">
        <v>1006000</v>
      </c>
      <c r="H767" s="3">
        <v>0</v>
      </c>
      <c r="I767" s="3">
        <v>0</v>
      </c>
      <c r="J767" s="3" t="str">
        <v>AB</v>
      </c>
      <c r="K767" s="23">
        <v>43108</v>
      </c>
      <c r="L767" s="22">
        <v>15.858777046203613</v>
      </c>
    </row>
    <row r="768" spans="1:12" x14ac:dyDescent="0.25">
      <c r="A768" s="9">
        <v>761</v>
      </c>
      <c r="B768" s="10">
        <v>43110</v>
      </c>
      <c r="C768" s="3">
        <v>16.27454920454257</v>
      </c>
      <c r="D768" s="3">
        <v>16.482436011445497</v>
      </c>
      <c r="E768" s="3">
        <v>16.066662397639639</v>
      </c>
      <c r="F768" s="3">
        <v>16.09636116027832</v>
      </c>
      <c r="G768" s="3">
        <v>263000</v>
      </c>
      <c r="H768" s="3">
        <v>0</v>
      </c>
      <c r="I768" s="3">
        <v>0</v>
      </c>
      <c r="J768" s="3" t="str">
        <v>AB</v>
      </c>
      <c r="K768" s="23">
        <v>43109</v>
      </c>
      <c r="L768" s="22">
        <v>16.333948135375977</v>
      </c>
    </row>
    <row r="769" spans="1:12" x14ac:dyDescent="0.25">
      <c r="A769" s="9">
        <v>762</v>
      </c>
      <c r="B769" s="10">
        <v>43111</v>
      </c>
      <c r="C769" s="3">
        <v>16.185454970097481</v>
      </c>
      <c r="D769" s="3">
        <v>16.215152599454644</v>
      </c>
      <c r="E769" s="3">
        <v>15.977568165921511</v>
      </c>
      <c r="F769" s="3">
        <v>16.126058578491211</v>
      </c>
      <c r="G769" s="3">
        <v>201700</v>
      </c>
      <c r="H769" s="3">
        <v>0</v>
      </c>
      <c r="I769" s="3">
        <v>0</v>
      </c>
      <c r="J769" s="3" t="str">
        <v>AB</v>
      </c>
      <c r="K769" s="23">
        <v>43110</v>
      </c>
      <c r="L769" s="22">
        <v>16.09636116027832</v>
      </c>
    </row>
    <row r="770" spans="1:12" x14ac:dyDescent="0.25">
      <c r="A770" s="9">
        <v>763</v>
      </c>
      <c r="B770" s="10">
        <v>43112</v>
      </c>
      <c r="C770" s="3">
        <v>16.215155079198869</v>
      </c>
      <c r="D770" s="3">
        <v>16.45274068195733</v>
      </c>
      <c r="E770" s="3">
        <v>16.126061044610502</v>
      </c>
      <c r="F770" s="3">
        <v>16.155759811401367</v>
      </c>
      <c r="G770" s="3">
        <v>277100</v>
      </c>
      <c r="H770" s="3">
        <v>0</v>
      </c>
      <c r="I770" s="3">
        <v>0</v>
      </c>
      <c r="J770" s="3" t="str">
        <v>AB</v>
      </c>
      <c r="K770" s="23">
        <v>43111</v>
      </c>
      <c r="L770" s="22">
        <v>16.126058578491211</v>
      </c>
    </row>
    <row r="771" spans="1:12" x14ac:dyDescent="0.25">
      <c r="A771" s="9">
        <v>764</v>
      </c>
      <c r="B771" s="10">
        <v>43116</v>
      </c>
      <c r="C771" s="3">
        <v>16.126060838596288</v>
      </c>
      <c r="D771" s="3">
        <v>16.244853638457915</v>
      </c>
      <c r="E771" s="3">
        <v>15.829079971834323</v>
      </c>
      <c r="F771" s="3">
        <v>15.888476371765137</v>
      </c>
      <c r="G771" s="3">
        <v>321400</v>
      </c>
      <c r="H771" s="3">
        <v>0</v>
      </c>
      <c r="I771" s="3">
        <v>0</v>
      </c>
      <c r="J771" s="3" t="str">
        <v>AB</v>
      </c>
      <c r="K771" s="23">
        <v>43112</v>
      </c>
      <c r="L771" s="22">
        <v>16.155759811401367</v>
      </c>
    </row>
    <row r="772" spans="1:12" x14ac:dyDescent="0.25">
      <c r="A772" s="9">
        <v>765</v>
      </c>
      <c r="B772" s="10">
        <v>43117</v>
      </c>
      <c r="C772" s="3">
        <v>16.007266577304364</v>
      </c>
      <c r="D772" s="3">
        <v>16.185454615325494</v>
      </c>
      <c r="E772" s="3">
        <v>15.858776167989452</v>
      </c>
      <c r="F772" s="3">
        <v>16.066661834716797</v>
      </c>
      <c r="G772" s="3">
        <v>186300</v>
      </c>
      <c r="H772" s="3">
        <v>0</v>
      </c>
      <c r="I772" s="3">
        <v>0</v>
      </c>
      <c r="J772" s="3" t="str">
        <v>AB</v>
      </c>
      <c r="K772" s="23">
        <v>43116</v>
      </c>
      <c r="L772" s="22">
        <v>15.888476371765137</v>
      </c>
    </row>
    <row r="773" spans="1:12" x14ac:dyDescent="0.25">
      <c r="A773" s="9">
        <v>766</v>
      </c>
      <c r="B773" s="10">
        <v>43118</v>
      </c>
      <c r="C773" s="3">
        <v>16.126058578491211</v>
      </c>
      <c r="D773" s="3">
        <v>16.322065877767542</v>
      </c>
      <c r="E773" s="3">
        <v>15.918171774315242</v>
      </c>
      <c r="F773" s="3">
        <v>16.126058578491211</v>
      </c>
      <c r="G773" s="3">
        <v>355700</v>
      </c>
      <c r="H773" s="3">
        <v>0</v>
      </c>
      <c r="I773" s="3">
        <v>0</v>
      </c>
      <c r="J773" s="3" t="str">
        <v>AB</v>
      </c>
      <c r="K773" s="23">
        <v>43117</v>
      </c>
      <c r="L773" s="22">
        <v>16.066661834716797</v>
      </c>
    </row>
    <row r="774" spans="1:12" x14ac:dyDescent="0.25">
      <c r="A774" s="9">
        <v>767</v>
      </c>
      <c r="B774" s="10">
        <v>43119</v>
      </c>
      <c r="C774" s="3">
        <v>16.126061296165492</v>
      </c>
      <c r="D774" s="3">
        <v>16.363645769737989</v>
      </c>
      <c r="E774" s="3">
        <v>16.042907013638153</v>
      </c>
      <c r="F774" s="3">
        <v>16.333948135375977</v>
      </c>
      <c r="G774" s="3">
        <v>238000</v>
      </c>
      <c r="H774" s="3">
        <v>0</v>
      </c>
      <c r="I774" s="3">
        <v>0</v>
      </c>
      <c r="J774" s="3" t="str">
        <v>AB</v>
      </c>
      <c r="K774" s="23">
        <v>43118</v>
      </c>
      <c r="L774" s="22">
        <v>16.126058578491211</v>
      </c>
    </row>
    <row r="775" spans="1:12" x14ac:dyDescent="0.25">
      <c r="A775" s="9">
        <v>768</v>
      </c>
      <c r="B775" s="10">
        <v>43122</v>
      </c>
      <c r="C775" s="3">
        <v>16.274551949515217</v>
      </c>
      <c r="D775" s="3">
        <v>16.363645986674527</v>
      </c>
      <c r="E775" s="3">
        <v>16.066665107548729</v>
      </c>
      <c r="F775" s="3">
        <v>16.304250717163086</v>
      </c>
      <c r="G775" s="3">
        <v>163200</v>
      </c>
      <c r="H775" s="3">
        <v>0</v>
      </c>
      <c r="I775" s="3">
        <v>0</v>
      </c>
      <c r="J775" s="3" t="str">
        <v>AB</v>
      </c>
      <c r="K775" s="23">
        <v>43119</v>
      </c>
      <c r="L775" s="22">
        <v>16.333948135375977</v>
      </c>
    </row>
    <row r="776" spans="1:12" x14ac:dyDescent="0.25">
      <c r="A776" s="9">
        <v>769</v>
      </c>
      <c r="B776" s="10">
        <v>43123</v>
      </c>
      <c r="C776" s="3">
        <v>16.304246336572763</v>
      </c>
      <c r="D776" s="3">
        <v>16.381460845927094</v>
      </c>
      <c r="E776" s="3">
        <v>16.244849950127669</v>
      </c>
      <c r="F776" s="3">
        <v>16.274547576904297</v>
      </c>
      <c r="G776" s="3">
        <v>155800</v>
      </c>
      <c r="H776" s="3">
        <v>0</v>
      </c>
      <c r="I776" s="3">
        <v>0</v>
      </c>
      <c r="J776" s="3" t="str">
        <v>AB</v>
      </c>
      <c r="K776" s="23">
        <v>43122</v>
      </c>
      <c r="L776" s="22">
        <v>16.304250717163086</v>
      </c>
    </row>
    <row r="777" spans="1:12" x14ac:dyDescent="0.25">
      <c r="A777" s="9">
        <v>770</v>
      </c>
      <c r="B777" s="10">
        <v>43124</v>
      </c>
      <c r="C777" s="3">
        <v>16.393340349794482</v>
      </c>
      <c r="D777" s="3">
        <v>16.423037976571109</v>
      </c>
      <c r="E777" s="3">
        <v>16.155755936905951</v>
      </c>
      <c r="F777" s="3">
        <v>16.274547576904297</v>
      </c>
      <c r="G777" s="3">
        <v>115800</v>
      </c>
      <c r="H777" s="3">
        <v>0</v>
      </c>
      <c r="I777" s="3">
        <v>0</v>
      </c>
      <c r="J777" s="3" t="str">
        <v>AB</v>
      </c>
      <c r="K777" s="23">
        <v>43123</v>
      </c>
      <c r="L777" s="22">
        <v>16.274547576904297</v>
      </c>
    </row>
    <row r="778" spans="1:12" x14ac:dyDescent="0.25">
      <c r="A778" s="9">
        <v>771</v>
      </c>
      <c r="B778" s="10">
        <v>43125</v>
      </c>
      <c r="C778" s="3">
        <v>16.274551949515217</v>
      </c>
      <c r="D778" s="3">
        <v>16.393344754322396</v>
      </c>
      <c r="E778" s="3">
        <v>16.155760277600187</v>
      </c>
      <c r="F778" s="3">
        <v>16.304250717163086</v>
      </c>
      <c r="G778" s="3">
        <v>147600</v>
      </c>
      <c r="H778" s="3">
        <v>0</v>
      </c>
      <c r="I778" s="3">
        <v>0</v>
      </c>
      <c r="J778" s="3" t="str">
        <v>AB</v>
      </c>
      <c r="K778" s="23">
        <v>43124</v>
      </c>
      <c r="L778" s="22">
        <v>16.274547576904297</v>
      </c>
    </row>
    <row r="779" spans="1:12" x14ac:dyDescent="0.25">
      <c r="A779" s="9">
        <v>772</v>
      </c>
      <c r="B779" s="10">
        <v>43126</v>
      </c>
      <c r="C779" s="3">
        <v>16.244853022070028</v>
      </c>
      <c r="D779" s="3">
        <v>16.601230275240578</v>
      </c>
      <c r="E779" s="3">
        <v>16.244853022070028</v>
      </c>
      <c r="F779" s="3">
        <v>16.541833877563477</v>
      </c>
      <c r="G779" s="3">
        <v>176000</v>
      </c>
      <c r="H779" s="3">
        <v>0</v>
      </c>
      <c r="I779" s="3">
        <v>0</v>
      </c>
      <c r="J779" s="3" t="str">
        <v>AB</v>
      </c>
      <c r="K779" s="23">
        <v>43125</v>
      </c>
      <c r="L779" s="22">
        <v>16.304250717163086</v>
      </c>
    </row>
    <row r="780" spans="1:12" x14ac:dyDescent="0.25">
      <c r="A780" s="9">
        <v>773</v>
      </c>
      <c r="B780" s="10">
        <v>43129</v>
      </c>
      <c r="C780" s="3">
        <v>16.541829909577022</v>
      </c>
      <c r="D780" s="3">
        <v>16.63092391827514</v>
      </c>
      <c r="E780" s="3">
        <v>16.30424550875145</v>
      </c>
      <c r="F780" s="3">
        <v>16.452735900878906</v>
      </c>
      <c r="G780" s="3">
        <v>237000</v>
      </c>
      <c r="H780" s="3">
        <v>0</v>
      </c>
      <c r="I780" s="3">
        <v>0</v>
      </c>
      <c r="J780" s="3" t="str">
        <v>AB</v>
      </c>
      <c r="K780" s="23">
        <v>43126</v>
      </c>
      <c r="L780" s="22">
        <v>16.541833877563477</v>
      </c>
    </row>
    <row r="781" spans="1:12" x14ac:dyDescent="0.25">
      <c r="A781" s="9">
        <v>774</v>
      </c>
      <c r="B781" s="10">
        <v>43130</v>
      </c>
      <c r="C781" s="3">
        <v>16.304245150364768</v>
      </c>
      <c r="D781" s="3">
        <v>16.452735539228229</v>
      </c>
      <c r="E781" s="3">
        <v>16.155754761501306</v>
      </c>
      <c r="F781" s="3">
        <v>16.393339157104492</v>
      </c>
      <c r="G781" s="3">
        <v>264000</v>
      </c>
      <c r="H781" s="3">
        <v>0</v>
      </c>
      <c r="I781" s="3">
        <v>0</v>
      </c>
      <c r="J781" s="3" t="str">
        <v>AB</v>
      </c>
      <c r="K781" s="23">
        <v>43129</v>
      </c>
      <c r="L781" s="22">
        <v>16.452735900878906</v>
      </c>
    </row>
    <row r="782" spans="1:12" x14ac:dyDescent="0.25">
      <c r="A782" s="9">
        <v>775</v>
      </c>
      <c r="B782" s="10">
        <v>43131</v>
      </c>
      <c r="C782" s="3">
        <v>16.39333998853845</v>
      </c>
      <c r="D782" s="3">
        <v>16.541830384933018</v>
      </c>
      <c r="E782" s="3">
        <v>16.173573703402095</v>
      </c>
      <c r="F782" s="3">
        <v>16.215150833129883</v>
      </c>
      <c r="G782" s="3">
        <v>217300</v>
      </c>
      <c r="H782" s="3">
        <v>0</v>
      </c>
      <c r="I782" s="3">
        <v>0</v>
      </c>
      <c r="J782" s="3" t="str">
        <v>AB</v>
      </c>
      <c r="K782" s="23">
        <v>43130</v>
      </c>
      <c r="L782" s="22">
        <v>16.393339157104492</v>
      </c>
    </row>
    <row r="783" spans="1:12" x14ac:dyDescent="0.25">
      <c r="A783" s="9">
        <v>776</v>
      </c>
      <c r="B783" s="10">
        <v>43132</v>
      </c>
      <c r="C783" s="3">
        <v>16.155761499960221</v>
      </c>
      <c r="D783" s="3">
        <v>16.393345994658294</v>
      </c>
      <c r="E783" s="3">
        <v>16.066666323167738</v>
      </c>
      <c r="F783" s="3">
        <v>16.185459136962891</v>
      </c>
      <c r="G783" s="3">
        <v>413000</v>
      </c>
      <c r="H783" s="3">
        <v>0</v>
      </c>
      <c r="I783" s="3">
        <v>0</v>
      </c>
      <c r="J783" s="3" t="str">
        <v>AB</v>
      </c>
      <c r="K783" s="23">
        <v>43131</v>
      </c>
      <c r="L783" s="22">
        <v>16.215150833129883</v>
      </c>
    </row>
    <row r="784" spans="1:12" x14ac:dyDescent="0.25">
      <c r="A784" s="9">
        <v>777</v>
      </c>
      <c r="B784" s="10">
        <v>43133</v>
      </c>
      <c r="C784" s="3">
        <v>16.066661398530254</v>
      </c>
      <c r="D784" s="3">
        <v>16.09636015932211</v>
      </c>
      <c r="E784" s="3">
        <v>15.710285332163091</v>
      </c>
      <c r="F784" s="3">
        <v>15.799379348754883</v>
      </c>
      <c r="G784" s="3">
        <v>299200</v>
      </c>
      <c r="H784" s="3">
        <v>0</v>
      </c>
      <c r="I784" s="3">
        <v>0</v>
      </c>
      <c r="J784" s="3" t="str">
        <v>AB</v>
      </c>
      <c r="K784" s="23">
        <v>43132</v>
      </c>
      <c r="L784" s="22">
        <v>16.185459136962891</v>
      </c>
    </row>
    <row r="785" spans="1:12" x14ac:dyDescent="0.25">
      <c r="A785" s="9">
        <v>778</v>
      </c>
      <c r="B785" s="10">
        <v>43136</v>
      </c>
      <c r="C785" s="3">
        <v>15.561795554160176</v>
      </c>
      <c r="D785" s="3">
        <v>15.769681223623394</v>
      </c>
      <c r="E785" s="3">
        <v>14.670853086545478</v>
      </c>
      <c r="F785" s="3">
        <v>14.938135147094727</v>
      </c>
      <c r="G785" s="3">
        <v>619800</v>
      </c>
      <c r="H785" s="3">
        <v>0</v>
      </c>
      <c r="I785" s="3">
        <v>0</v>
      </c>
      <c r="J785" s="3" t="str">
        <v>AB</v>
      </c>
      <c r="K785" s="23">
        <v>43133</v>
      </c>
      <c r="L785" s="22">
        <v>15.799379348754883</v>
      </c>
    </row>
    <row r="786" spans="1:12" x14ac:dyDescent="0.25">
      <c r="A786" s="9">
        <v>779</v>
      </c>
      <c r="B786" s="10">
        <v>43137</v>
      </c>
      <c r="C786" s="3">
        <v>14.641155608915849</v>
      </c>
      <c r="D786" s="3">
        <v>15.443004126687653</v>
      </c>
      <c r="E786" s="3">
        <v>14.581759212619414</v>
      </c>
      <c r="F786" s="3">
        <v>15.294513702392578</v>
      </c>
      <c r="G786" s="3">
        <v>353300</v>
      </c>
      <c r="H786" s="3">
        <v>0</v>
      </c>
      <c r="I786" s="3">
        <v>0</v>
      </c>
      <c r="J786" s="3" t="str">
        <v>AB</v>
      </c>
      <c r="K786" s="23">
        <v>43136</v>
      </c>
      <c r="L786" s="22">
        <v>14.938135147094727</v>
      </c>
    </row>
    <row r="787" spans="1:12" x14ac:dyDescent="0.25">
      <c r="A787" s="9">
        <v>780</v>
      </c>
      <c r="B787" s="10">
        <v>43138</v>
      </c>
      <c r="C787" s="3">
        <v>15.383609524532691</v>
      </c>
      <c r="D787" s="3">
        <v>15.443005927756341</v>
      </c>
      <c r="E787" s="3">
        <v>15.205421447753906</v>
      </c>
      <c r="F787" s="3">
        <v>15.205421447753906</v>
      </c>
      <c r="G787" s="3">
        <v>213400</v>
      </c>
      <c r="H787" s="3">
        <v>0</v>
      </c>
      <c r="I787" s="3">
        <v>0</v>
      </c>
      <c r="J787" s="3" t="str">
        <v>AB</v>
      </c>
      <c r="K787" s="23">
        <v>43137</v>
      </c>
      <c r="L787" s="22">
        <v>15.294513702392578</v>
      </c>
    </row>
    <row r="788" spans="1:12" x14ac:dyDescent="0.25">
      <c r="A788" s="9">
        <v>781</v>
      </c>
      <c r="B788" s="10">
        <v>43139</v>
      </c>
      <c r="C788" s="3">
        <v>15.294511546243319</v>
      </c>
      <c r="D788" s="3">
        <v>15.353907934166326</v>
      </c>
      <c r="E788" s="3">
        <v>14.611455917358398</v>
      </c>
      <c r="F788" s="3">
        <v>14.611455917358398</v>
      </c>
      <c r="G788" s="3">
        <v>381000</v>
      </c>
      <c r="H788" s="3">
        <v>0</v>
      </c>
      <c r="I788" s="3">
        <v>0</v>
      </c>
      <c r="J788" s="3" t="str">
        <v>AB</v>
      </c>
      <c r="K788" s="23">
        <v>43138</v>
      </c>
      <c r="L788" s="22">
        <v>15.205421447753906</v>
      </c>
    </row>
    <row r="789" spans="1:12" x14ac:dyDescent="0.25">
      <c r="A789" s="9">
        <v>782</v>
      </c>
      <c r="B789" s="10">
        <v>43140</v>
      </c>
      <c r="C789" s="3">
        <v>14.730247497558594</v>
      </c>
      <c r="D789" s="3">
        <v>14.849040272898527</v>
      </c>
      <c r="E789" s="3">
        <v>14.468905204437723</v>
      </c>
      <c r="F789" s="3">
        <v>14.730247497558594</v>
      </c>
      <c r="G789" s="3">
        <v>276600</v>
      </c>
      <c r="H789" s="3">
        <v>0</v>
      </c>
      <c r="I789" s="3">
        <v>0</v>
      </c>
      <c r="J789" s="3" t="str">
        <v>AB</v>
      </c>
      <c r="K789" s="23">
        <v>43139</v>
      </c>
      <c r="L789" s="22">
        <v>14.611455917358398</v>
      </c>
    </row>
    <row r="790" spans="1:12" x14ac:dyDescent="0.25">
      <c r="A790" s="9">
        <v>783</v>
      </c>
      <c r="B790" s="10">
        <v>43143</v>
      </c>
      <c r="C790" s="3">
        <v>14.849040674961131</v>
      </c>
      <c r="D790" s="3">
        <v>15.175719116653516</v>
      </c>
      <c r="E790" s="3">
        <v>14.789644285682908</v>
      </c>
      <c r="F790" s="3">
        <v>15.086625099182129</v>
      </c>
      <c r="G790" s="3">
        <v>289700</v>
      </c>
      <c r="H790" s="3">
        <v>0</v>
      </c>
      <c r="I790" s="3">
        <v>0</v>
      </c>
      <c r="J790" s="3" t="str">
        <v>AB</v>
      </c>
      <c r="K790" s="23">
        <v>43140</v>
      </c>
      <c r="L790" s="22">
        <v>14.730247497558594</v>
      </c>
    </row>
    <row r="791" spans="1:12" x14ac:dyDescent="0.25">
      <c r="A791" s="9">
        <v>784</v>
      </c>
      <c r="B791" s="10">
        <v>43144</v>
      </c>
      <c r="C791" s="3">
        <v>15.858779095687801</v>
      </c>
      <c r="D791" s="3">
        <v>16.126061202062598</v>
      </c>
      <c r="E791" s="3">
        <v>15.621193490609592</v>
      </c>
      <c r="F791" s="3">
        <v>15.65089225769043</v>
      </c>
      <c r="G791" s="3">
        <v>406600</v>
      </c>
      <c r="H791" s="3">
        <v>0</v>
      </c>
      <c r="I791" s="3">
        <v>0</v>
      </c>
      <c r="J791" s="3" t="str">
        <v>AB</v>
      </c>
      <c r="K791" s="23">
        <v>43143</v>
      </c>
      <c r="L791" s="22">
        <v>15.086625099182129</v>
      </c>
    </row>
    <row r="792" spans="1:12" x14ac:dyDescent="0.25">
      <c r="A792" s="9">
        <v>785</v>
      </c>
      <c r="B792" s="10">
        <v>43145</v>
      </c>
      <c r="C792" s="3">
        <v>15.621190776753449</v>
      </c>
      <c r="D792" s="3">
        <v>15.829077578634823</v>
      </c>
      <c r="E792" s="3">
        <v>15.502399127744043</v>
      </c>
      <c r="F792" s="3">
        <v>15.739983558654785</v>
      </c>
      <c r="G792" s="3">
        <v>543400</v>
      </c>
      <c r="H792" s="3">
        <v>0</v>
      </c>
      <c r="I792" s="3">
        <v>0</v>
      </c>
      <c r="J792" s="3" t="str">
        <v>AB</v>
      </c>
      <c r="K792" s="23">
        <v>43144</v>
      </c>
      <c r="L792" s="22">
        <v>15.65089225769043</v>
      </c>
    </row>
    <row r="793" spans="1:12" x14ac:dyDescent="0.25">
      <c r="A793" s="9">
        <v>786</v>
      </c>
      <c r="B793" s="10">
        <v>43146</v>
      </c>
      <c r="C793" s="3">
        <v>15.88847435337539</v>
      </c>
      <c r="D793" s="3">
        <v>16.185455182410443</v>
      </c>
      <c r="E793" s="3">
        <v>15.829077960989988</v>
      </c>
      <c r="F793" s="3">
        <v>16.09636116027832</v>
      </c>
      <c r="G793" s="3">
        <v>493200</v>
      </c>
      <c r="H793" s="3">
        <v>0</v>
      </c>
      <c r="I793" s="3">
        <v>0</v>
      </c>
      <c r="J793" s="3" t="str">
        <v>AB</v>
      </c>
      <c r="K793" s="23">
        <v>43145</v>
      </c>
      <c r="L793" s="22">
        <v>15.739983558654785</v>
      </c>
    </row>
    <row r="794" spans="1:12" x14ac:dyDescent="0.25">
      <c r="A794" s="9">
        <v>787</v>
      </c>
      <c r="B794" s="10">
        <v>43147</v>
      </c>
      <c r="C794" s="3">
        <v>16.06666476992239</v>
      </c>
      <c r="D794" s="3">
        <v>16.3042503745441</v>
      </c>
      <c r="E794" s="3">
        <v>15.918174333479884</v>
      </c>
      <c r="F794" s="3">
        <v>16.244853973388672</v>
      </c>
      <c r="G794" s="3">
        <v>527000</v>
      </c>
      <c r="H794" s="3">
        <v>0</v>
      </c>
      <c r="I794" s="3">
        <v>0</v>
      </c>
      <c r="J794" s="3" t="str">
        <v>AB</v>
      </c>
      <c r="K794" s="23">
        <v>43146</v>
      </c>
      <c r="L794" s="22">
        <v>16.09636116027832</v>
      </c>
    </row>
    <row r="795" spans="1:12" x14ac:dyDescent="0.25">
      <c r="A795" s="9">
        <v>788</v>
      </c>
      <c r="B795" s="10">
        <v>43151</v>
      </c>
      <c r="C795" s="3">
        <v>16.215150163463331</v>
      </c>
      <c r="D795" s="3">
        <v>16.601226084458176</v>
      </c>
      <c r="E795" s="3">
        <v>16.215150163463331</v>
      </c>
      <c r="F795" s="3">
        <v>16.482433319091797</v>
      </c>
      <c r="G795" s="3">
        <v>624400</v>
      </c>
      <c r="H795" s="3">
        <v>0</v>
      </c>
      <c r="I795" s="3">
        <v>0</v>
      </c>
      <c r="J795" s="3" t="str">
        <v>AB</v>
      </c>
      <c r="K795" s="23">
        <v>43147</v>
      </c>
      <c r="L795" s="22">
        <v>16.244853973388672</v>
      </c>
    </row>
    <row r="796" spans="1:12" x14ac:dyDescent="0.25">
      <c r="A796" s="9">
        <v>789</v>
      </c>
      <c r="B796" s="10">
        <v>43152</v>
      </c>
      <c r="C796" s="3">
        <v>16.512135112278898</v>
      </c>
      <c r="D796" s="3">
        <v>16.720021937702722</v>
      </c>
      <c r="E796" s="3">
        <v>16.452739847493856</v>
      </c>
      <c r="F796" s="3">
        <v>16.541833877563477</v>
      </c>
      <c r="G796" s="3">
        <v>575400</v>
      </c>
      <c r="H796" s="3">
        <v>0</v>
      </c>
      <c r="I796" s="3">
        <v>0</v>
      </c>
      <c r="J796" s="3" t="str">
        <v>AB</v>
      </c>
      <c r="K796" s="23">
        <v>43151</v>
      </c>
      <c r="L796" s="22">
        <v>16.482433319091797</v>
      </c>
    </row>
    <row r="797" spans="1:12" x14ac:dyDescent="0.25">
      <c r="A797" s="9">
        <v>790</v>
      </c>
      <c r="B797" s="10">
        <v>43153</v>
      </c>
      <c r="C797" s="3">
        <v>16.658197857037887</v>
      </c>
      <c r="D797" s="3">
        <v>16.780683901676255</v>
      </c>
      <c r="E797" s="3">
        <v>16.535710644274886</v>
      </c>
      <c r="F797" s="3">
        <v>16.56633186340332</v>
      </c>
      <c r="G797" s="3">
        <v>254900</v>
      </c>
      <c r="H797" s="3">
        <v>0.84</v>
      </c>
      <c r="I797" s="3">
        <v>0</v>
      </c>
      <c r="J797" s="3" t="str">
        <v>AB</v>
      </c>
      <c r="K797" s="23">
        <v>43152</v>
      </c>
      <c r="L797" s="22">
        <v>16.541833877563477</v>
      </c>
    </row>
    <row r="798" spans="1:12" x14ac:dyDescent="0.25">
      <c r="A798" s="9">
        <v>791</v>
      </c>
      <c r="B798" s="10">
        <v>43154</v>
      </c>
      <c r="C798" s="3">
        <v>16.719436548193091</v>
      </c>
      <c r="D798" s="3">
        <v>16.750058928583176</v>
      </c>
      <c r="E798" s="3">
        <v>16.53570693835006</v>
      </c>
      <c r="F798" s="3">
        <v>16.596950531005859</v>
      </c>
      <c r="G798" s="3">
        <v>251400</v>
      </c>
      <c r="H798" s="3">
        <v>0</v>
      </c>
      <c r="I798" s="3">
        <v>0</v>
      </c>
      <c r="J798" s="3" t="str">
        <v>AB</v>
      </c>
      <c r="K798" s="23">
        <v>43153</v>
      </c>
      <c r="L798" s="22">
        <v>16.56633186340332</v>
      </c>
    </row>
    <row r="799" spans="1:12" x14ac:dyDescent="0.25">
      <c r="A799" s="9">
        <v>792</v>
      </c>
      <c r="B799" s="10">
        <v>43157</v>
      </c>
      <c r="C799" s="3">
        <v>16.688813951280384</v>
      </c>
      <c r="D799" s="3">
        <v>16.719435161005499</v>
      </c>
      <c r="E799" s="3">
        <v>16.32135359395761</v>
      </c>
      <c r="F799" s="3">
        <v>16.53570556640625</v>
      </c>
      <c r="G799" s="3">
        <v>364700</v>
      </c>
      <c r="H799" s="3">
        <v>0</v>
      </c>
      <c r="I799" s="3">
        <v>0</v>
      </c>
      <c r="J799" s="3" t="str">
        <v>AB</v>
      </c>
      <c r="K799" s="23">
        <v>43154</v>
      </c>
      <c r="L799" s="22">
        <v>16.596950531005859</v>
      </c>
    </row>
    <row r="800" spans="1:12" x14ac:dyDescent="0.25">
      <c r="A800" s="9">
        <v>793</v>
      </c>
      <c r="B800" s="10">
        <v>43158</v>
      </c>
      <c r="C800" s="3">
        <v>16.566332843680822</v>
      </c>
      <c r="D800" s="3">
        <v>16.658198842751364</v>
      </c>
      <c r="E800" s="3">
        <v>16.168251130832381</v>
      </c>
      <c r="F800" s="3">
        <v>16.198873519897461</v>
      </c>
      <c r="G800" s="3">
        <v>180200</v>
      </c>
      <c r="H800" s="3">
        <v>0</v>
      </c>
      <c r="I800" s="3">
        <v>0</v>
      </c>
      <c r="J800" s="3" t="str">
        <v>AB</v>
      </c>
      <c r="K800" s="23">
        <v>43157</v>
      </c>
      <c r="L800" s="22">
        <v>16.53570556640625</v>
      </c>
    </row>
    <row r="801" spans="1:12" x14ac:dyDescent="0.25">
      <c r="A801" s="9">
        <v>794</v>
      </c>
      <c r="B801" s="10">
        <v>43159</v>
      </c>
      <c r="C801" s="3">
        <v>16.260112861524547</v>
      </c>
      <c r="D801" s="3">
        <v>16.351978843079355</v>
      </c>
      <c r="E801" s="3">
        <v>16.015139636335519</v>
      </c>
      <c r="F801" s="3">
        <v>16.290735244750977</v>
      </c>
      <c r="G801" s="3">
        <v>285400</v>
      </c>
      <c r="H801" s="3">
        <v>0</v>
      </c>
      <c r="I801" s="3">
        <v>0</v>
      </c>
      <c r="J801" s="3" t="str">
        <v>AB</v>
      </c>
      <c r="K801" s="23">
        <v>43158</v>
      </c>
      <c r="L801" s="22">
        <v>16.198873519897461</v>
      </c>
    </row>
    <row r="802" spans="1:12" x14ac:dyDescent="0.25">
      <c r="A802" s="9">
        <v>795</v>
      </c>
      <c r="B802" s="10">
        <v>43160</v>
      </c>
      <c r="C802" s="3">
        <v>16.290735605532454</v>
      </c>
      <c r="D802" s="3">
        <v>16.351979205217159</v>
      </c>
      <c r="E802" s="3">
        <v>15.81916140652209</v>
      </c>
      <c r="F802" s="3">
        <v>16.076383590698242</v>
      </c>
      <c r="G802" s="3">
        <v>376600</v>
      </c>
      <c r="H802" s="3">
        <v>0</v>
      </c>
      <c r="I802" s="3">
        <v>0</v>
      </c>
      <c r="J802" s="3" t="str">
        <v>AB</v>
      </c>
      <c r="K802" s="23">
        <v>43159</v>
      </c>
      <c r="L802" s="22">
        <v>16.290735244750977</v>
      </c>
    </row>
    <row r="803" spans="1:12" x14ac:dyDescent="0.25">
      <c r="A803" s="9">
        <v>796</v>
      </c>
      <c r="B803" s="10">
        <v>43161</v>
      </c>
      <c r="C803" s="3">
        <v>15.953896391328835</v>
      </c>
      <c r="D803" s="3">
        <v>16.198870790067652</v>
      </c>
      <c r="E803" s="3">
        <v>15.770166760399228</v>
      </c>
      <c r="F803" s="3">
        <v>16.076383590698242</v>
      </c>
      <c r="G803" s="3">
        <v>283100</v>
      </c>
      <c r="H803" s="3">
        <v>0</v>
      </c>
      <c r="I803" s="3">
        <v>0</v>
      </c>
      <c r="J803" s="3" t="str">
        <v>AB</v>
      </c>
      <c r="K803" s="23">
        <v>43160</v>
      </c>
      <c r="L803" s="22">
        <v>16.076383590698242</v>
      </c>
    </row>
    <row r="804" spans="1:12" x14ac:dyDescent="0.25">
      <c r="A804" s="9">
        <v>797</v>
      </c>
      <c r="B804" s="10">
        <v>43164</v>
      </c>
      <c r="C804" s="3">
        <v>16.045762019561945</v>
      </c>
      <c r="D804" s="3">
        <v>16.382600058181303</v>
      </c>
      <c r="E804" s="3">
        <v>15.984518421233568</v>
      </c>
      <c r="F804" s="3">
        <v>16.290735244750977</v>
      </c>
      <c r="G804" s="3">
        <v>330800</v>
      </c>
      <c r="H804" s="3">
        <v>0</v>
      </c>
      <c r="I804" s="3">
        <v>0</v>
      </c>
      <c r="J804" s="3" t="str">
        <v>AB</v>
      </c>
      <c r="K804" s="23">
        <v>43161</v>
      </c>
      <c r="L804" s="22">
        <v>16.076383590698242</v>
      </c>
    </row>
    <row r="805" spans="1:12" x14ac:dyDescent="0.25">
      <c r="A805" s="9">
        <v>798</v>
      </c>
      <c r="B805" s="10">
        <v>43165</v>
      </c>
      <c r="C805" s="3">
        <v>16.351980993255019</v>
      </c>
      <c r="D805" s="3">
        <v>16.627575469784819</v>
      </c>
      <c r="E805" s="3">
        <v>16.29073738687352</v>
      </c>
      <c r="F805" s="3">
        <v>16.56633186340332</v>
      </c>
      <c r="G805" s="3">
        <v>338600</v>
      </c>
      <c r="H805" s="3">
        <v>0</v>
      </c>
      <c r="I805" s="3">
        <v>0</v>
      </c>
      <c r="J805" s="3" t="str">
        <v>AB</v>
      </c>
      <c r="K805" s="23">
        <v>43164</v>
      </c>
      <c r="L805" s="22">
        <v>16.290735244750977</v>
      </c>
    </row>
    <row r="806" spans="1:12" x14ac:dyDescent="0.25">
      <c r="A806" s="9">
        <v>799</v>
      </c>
      <c r="B806" s="10">
        <v>43166</v>
      </c>
      <c r="C806" s="3">
        <v>16.443840769106625</v>
      </c>
      <c r="D806" s="3">
        <v>16.75005753885489</v>
      </c>
      <c r="E806" s="3">
        <v>16.38259718153212</v>
      </c>
      <c r="F806" s="3">
        <v>16.53570556640625</v>
      </c>
      <c r="G806" s="3">
        <v>311400</v>
      </c>
      <c r="H806" s="3">
        <v>0</v>
      </c>
      <c r="I806" s="3">
        <v>0</v>
      </c>
      <c r="J806" s="3" t="str">
        <v>AB</v>
      </c>
      <c r="K806" s="23">
        <v>43165</v>
      </c>
      <c r="L806" s="22">
        <v>16.56633186340332</v>
      </c>
    </row>
    <row r="807" spans="1:12" x14ac:dyDescent="0.25">
      <c r="A807" s="9">
        <v>800</v>
      </c>
      <c r="B807" s="10">
        <v>43167</v>
      </c>
      <c r="C807" s="3">
        <v>16.627571743271574</v>
      </c>
      <c r="D807" s="3">
        <v>16.658194123661662</v>
      </c>
      <c r="E807" s="3">
        <v>16.382598540772744</v>
      </c>
      <c r="F807" s="3">
        <v>16.596950531005859</v>
      </c>
      <c r="G807" s="3">
        <v>297900</v>
      </c>
      <c r="H807" s="3">
        <v>0</v>
      </c>
      <c r="I807" s="3">
        <v>0</v>
      </c>
      <c r="J807" s="3" t="str">
        <v>AB</v>
      </c>
      <c r="K807" s="23">
        <v>43166</v>
      </c>
      <c r="L807" s="22">
        <v>16.53570556640625</v>
      </c>
    </row>
    <row r="808" spans="1:12" x14ac:dyDescent="0.25">
      <c r="A808" s="9">
        <v>801</v>
      </c>
      <c r="B808" s="10">
        <v>43168</v>
      </c>
      <c r="C808" s="3">
        <v>16.750063494604547</v>
      </c>
      <c r="D808" s="3">
        <v>16.750063494604547</v>
      </c>
      <c r="E808" s="3">
        <v>16.535711445939651</v>
      </c>
      <c r="F808" s="3">
        <v>16.688819885253906</v>
      </c>
      <c r="G808" s="3">
        <v>366900</v>
      </c>
      <c r="H808" s="3">
        <v>0</v>
      </c>
      <c r="I808" s="3">
        <v>0</v>
      </c>
      <c r="J808" s="3" t="str">
        <v>AB</v>
      </c>
      <c r="K808" s="23">
        <v>43167</v>
      </c>
      <c r="L808" s="22">
        <v>16.596950531005859</v>
      </c>
    </row>
    <row r="809" spans="1:12" x14ac:dyDescent="0.25">
      <c r="A809" s="9">
        <v>802</v>
      </c>
      <c r="B809" s="10">
        <v>43171</v>
      </c>
      <c r="C809" s="3">
        <v>16.658194123661662</v>
      </c>
      <c r="D809" s="3">
        <v>16.719436548193091</v>
      </c>
      <c r="E809" s="3">
        <v>16.566328150615774</v>
      </c>
      <c r="F809" s="3">
        <v>16.596950531005859</v>
      </c>
      <c r="G809" s="3">
        <v>229400</v>
      </c>
      <c r="H809" s="3">
        <v>0</v>
      </c>
      <c r="I809" s="3">
        <v>0</v>
      </c>
      <c r="J809" s="3" t="str">
        <v>AB</v>
      </c>
      <c r="K809" s="23">
        <v>43168</v>
      </c>
      <c r="L809" s="22">
        <v>16.688819885253906</v>
      </c>
    </row>
    <row r="810" spans="1:12" x14ac:dyDescent="0.25">
      <c r="A810" s="9">
        <v>803</v>
      </c>
      <c r="B810" s="10">
        <v>43172</v>
      </c>
      <c r="C810" s="3">
        <v>16.596952803889494</v>
      </c>
      <c r="D810" s="3">
        <v>16.639822974182131</v>
      </c>
      <c r="E810" s="3">
        <v>16.229492365756883</v>
      </c>
      <c r="F810" s="3">
        <v>16.382600784301758</v>
      </c>
      <c r="G810" s="3">
        <v>403500</v>
      </c>
      <c r="H810" s="3">
        <v>0</v>
      </c>
      <c r="I810" s="3">
        <v>0</v>
      </c>
      <c r="J810" s="3" t="str">
        <v>AB</v>
      </c>
      <c r="K810" s="23">
        <v>43171</v>
      </c>
      <c r="L810" s="22">
        <v>16.596950531005859</v>
      </c>
    </row>
    <row r="811" spans="1:12" x14ac:dyDescent="0.25">
      <c r="A811" s="9">
        <v>804</v>
      </c>
      <c r="B811" s="10">
        <v>43173</v>
      </c>
      <c r="C811" s="3">
        <v>16.474466629866612</v>
      </c>
      <c r="D811" s="3">
        <v>16.474466629866612</v>
      </c>
      <c r="E811" s="3">
        <v>16.076384950433187</v>
      </c>
      <c r="F811" s="3">
        <v>16.137628555297852</v>
      </c>
      <c r="G811" s="3">
        <v>242300</v>
      </c>
      <c r="H811" s="3">
        <v>0</v>
      </c>
      <c r="I811" s="3">
        <v>0</v>
      </c>
      <c r="J811" s="3" t="str">
        <v>AB</v>
      </c>
      <c r="K811" s="23">
        <v>43172</v>
      </c>
      <c r="L811" s="22">
        <v>16.382600784301758</v>
      </c>
    </row>
    <row r="812" spans="1:12" x14ac:dyDescent="0.25">
      <c r="A812" s="9">
        <v>805</v>
      </c>
      <c r="B812" s="10">
        <v>43174</v>
      </c>
      <c r="C812" s="3">
        <v>16.137627190382947</v>
      </c>
      <c r="D812" s="3">
        <v>16.198870790067652</v>
      </c>
      <c r="E812" s="3">
        <v>16.015139991013537</v>
      </c>
      <c r="F812" s="3">
        <v>16.076383590698242</v>
      </c>
      <c r="G812" s="3">
        <v>164600</v>
      </c>
      <c r="H812" s="3">
        <v>0</v>
      </c>
      <c r="I812" s="3">
        <v>0</v>
      </c>
      <c r="J812" s="3" t="str">
        <v>AB</v>
      </c>
      <c r="K812" s="23">
        <v>43173</v>
      </c>
      <c r="L812" s="22">
        <v>16.137628555297852</v>
      </c>
    </row>
    <row r="813" spans="1:12" x14ac:dyDescent="0.25">
      <c r="A813" s="9">
        <v>806</v>
      </c>
      <c r="B813" s="10">
        <v>43175</v>
      </c>
      <c r="C813" s="3">
        <v>15.984518421233568</v>
      </c>
      <c r="D813" s="3">
        <v>16.413221273283252</v>
      </c>
      <c r="E813" s="3">
        <v>15.953896038007141</v>
      </c>
      <c r="F813" s="3">
        <v>16.290735244750977</v>
      </c>
      <c r="G813" s="3">
        <v>240800</v>
      </c>
      <c r="H813" s="3">
        <v>0</v>
      </c>
      <c r="I813" s="3">
        <v>0</v>
      </c>
      <c r="J813" s="3" t="str">
        <v>AB</v>
      </c>
      <c r="K813" s="23">
        <v>43174</v>
      </c>
      <c r="L813" s="22">
        <v>16.076383590698242</v>
      </c>
    </row>
    <row r="814" spans="1:12" x14ac:dyDescent="0.25">
      <c r="A814" s="9">
        <v>807</v>
      </c>
      <c r="B814" s="10">
        <v>43178</v>
      </c>
      <c r="C814" s="3">
        <v>16.290731323609602</v>
      </c>
      <c r="D814" s="3">
        <v>16.351974907196787</v>
      </c>
      <c r="E814" s="3">
        <v>15.984514573797856</v>
      </c>
      <c r="F814" s="3">
        <v>16.260108947753906</v>
      </c>
      <c r="G814" s="3">
        <v>277000</v>
      </c>
      <c r="H814" s="3">
        <v>0</v>
      </c>
      <c r="I814" s="3">
        <v>0</v>
      </c>
      <c r="J814" s="3" t="str">
        <v>AB</v>
      </c>
      <c r="K814" s="23">
        <v>43175</v>
      </c>
      <c r="L814" s="22">
        <v>16.290735244750977</v>
      </c>
    </row>
    <row r="815" spans="1:12" x14ac:dyDescent="0.25">
      <c r="A815" s="9">
        <v>808</v>
      </c>
      <c r="B815" s="10">
        <v>43179</v>
      </c>
      <c r="C815" s="3">
        <v>16.260108947753906</v>
      </c>
      <c r="D815" s="3">
        <v>16.321352531341095</v>
      </c>
      <c r="E815" s="3">
        <v>16.076379365116541</v>
      </c>
      <c r="F815" s="3">
        <v>16.260108947753906</v>
      </c>
      <c r="G815" s="3">
        <v>184500</v>
      </c>
      <c r="H815" s="3">
        <v>0</v>
      </c>
      <c r="I815" s="3">
        <v>0</v>
      </c>
      <c r="J815" s="3" t="str">
        <v>AB</v>
      </c>
      <c r="K815" s="23">
        <v>43178</v>
      </c>
      <c r="L815" s="22">
        <v>16.260108947753906</v>
      </c>
    </row>
    <row r="816" spans="1:12" x14ac:dyDescent="0.25">
      <c r="A816" s="9">
        <v>809</v>
      </c>
      <c r="B816" s="10">
        <v>43180</v>
      </c>
      <c r="C816" s="3">
        <v>16.198873519897461</v>
      </c>
      <c r="D816" s="3">
        <v>16.327484049596698</v>
      </c>
      <c r="E816" s="3">
        <v>16.168251130832381</v>
      </c>
      <c r="F816" s="3">
        <v>16.198873519897461</v>
      </c>
      <c r="G816" s="3">
        <v>156600</v>
      </c>
      <c r="H816" s="3">
        <v>0</v>
      </c>
      <c r="I816" s="3">
        <v>0</v>
      </c>
      <c r="J816" s="3" t="str">
        <v>AB</v>
      </c>
      <c r="K816" s="23">
        <v>43179</v>
      </c>
      <c r="L816" s="22">
        <v>16.260108947753906</v>
      </c>
    </row>
    <row r="817" spans="1:12" x14ac:dyDescent="0.25">
      <c r="A817" s="9">
        <v>810</v>
      </c>
      <c r="B817" s="10">
        <v>43181</v>
      </c>
      <c r="C817" s="3">
        <v>16.045759845716233</v>
      </c>
      <c r="D817" s="3">
        <v>16.260110658639039</v>
      </c>
      <c r="E817" s="3">
        <v>15.770164274637882</v>
      </c>
      <c r="F817" s="3">
        <v>15.862029075622559</v>
      </c>
      <c r="G817" s="3">
        <v>388000</v>
      </c>
      <c r="H817" s="3">
        <v>0</v>
      </c>
      <c r="I817" s="3">
        <v>0</v>
      </c>
      <c r="J817" s="3" t="str">
        <v>AB</v>
      </c>
      <c r="K817" s="23">
        <v>43180</v>
      </c>
      <c r="L817" s="22">
        <v>16.198873519897461</v>
      </c>
    </row>
    <row r="818" spans="1:12" x14ac:dyDescent="0.25">
      <c r="A818" s="9">
        <v>811</v>
      </c>
      <c r="B818" s="10">
        <v>43182</v>
      </c>
      <c r="C818" s="3">
        <v>15.862033602667589</v>
      </c>
      <c r="D818" s="3">
        <v>16.211120646913848</v>
      </c>
      <c r="E818" s="3">
        <v>15.831412382974801</v>
      </c>
      <c r="F818" s="3">
        <v>15.953898429870605</v>
      </c>
      <c r="G818" s="3">
        <v>375400</v>
      </c>
      <c r="H818" s="3">
        <v>0</v>
      </c>
      <c r="I818" s="3">
        <v>0</v>
      </c>
      <c r="J818" s="3" t="str">
        <v>AB</v>
      </c>
      <c r="K818" s="23">
        <v>43181</v>
      </c>
      <c r="L818" s="22">
        <v>15.862029075622559</v>
      </c>
    </row>
    <row r="819" spans="1:12" x14ac:dyDescent="0.25">
      <c r="A819" s="9">
        <v>812</v>
      </c>
      <c r="B819" s="10">
        <v>43185</v>
      </c>
      <c r="C819" s="3">
        <v>16.198870971377168</v>
      </c>
      <c r="D819" s="3">
        <v>16.321357003993022</v>
      </c>
      <c r="E819" s="3">
        <v>16.039638077664488</v>
      </c>
      <c r="F819" s="3">
        <v>16.2294921875</v>
      </c>
      <c r="G819" s="3">
        <v>260600</v>
      </c>
      <c r="H819" s="3">
        <v>0</v>
      </c>
      <c r="I819" s="3">
        <v>0</v>
      </c>
      <c r="J819" s="3" t="str">
        <v>AB</v>
      </c>
      <c r="K819" s="23">
        <v>43182</v>
      </c>
      <c r="L819" s="22">
        <v>15.953898429870605</v>
      </c>
    </row>
    <row r="820" spans="1:12" x14ac:dyDescent="0.25">
      <c r="A820" s="9">
        <v>813</v>
      </c>
      <c r="B820" s="10">
        <v>43186</v>
      </c>
      <c r="C820" s="3">
        <v>16.290732383208159</v>
      </c>
      <c r="D820" s="3">
        <v>16.321353592931349</v>
      </c>
      <c r="E820" s="3">
        <v>15.953893235631684</v>
      </c>
      <c r="F820" s="3">
        <v>16.045759201049805</v>
      </c>
      <c r="G820" s="3">
        <v>306300</v>
      </c>
      <c r="H820" s="3">
        <v>0</v>
      </c>
      <c r="I820" s="3">
        <v>0</v>
      </c>
      <c r="J820" s="3" t="str">
        <v>AB</v>
      </c>
      <c r="K820" s="23">
        <v>43185</v>
      </c>
      <c r="L820" s="22">
        <v>16.2294921875</v>
      </c>
    </row>
    <row r="821" spans="1:12" x14ac:dyDescent="0.25">
      <c r="A821" s="9">
        <v>814</v>
      </c>
      <c r="B821" s="10">
        <v>43187</v>
      </c>
      <c r="C821" s="3">
        <v>16.076384950433187</v>
      </c>
      <c r="D821" s="3">
        <v>16.168249773667885</v>
      </c>
      <c r="E821" s="3">
        <v>15.806913789903417</v>
      </c>
      <c r="F821" s="3">
        <v>16.137628555297852</v>
      </c>
      <c r="G821" s="3">
        <v>340800</v>
      </c>
      <c r="H821" s="3">
        <v>0</v>
      </c>
      <c r="I821" s="3">
        <v>0</v>
      </c>
      <c r="J821" s="3" t="str">
        <v>AB</v>
      </c>
      <c r="K821" s="23">
        <v>43186</v>
      </c>
      <c r="L821" s="22">
        <v>16.045759201049805</v>
      </c>
    </row>
    <row r="822" spans="1:12" x14ac:dyDescent="0.25">
      <c r="A822" s="9">
        <v>815</v>
      </c>
      <c r="B822" s="10">
        <v>43188</v>
      </c>
      <c r="C822" s="3">
        <v>16.198870613607014</v>
      </c>
      <c r="D822" s="3">
        <v>16.505087440570286</v>
      </c>
      <c r="E822" s="3">
        <v>16.107004631018437</v>
      </c>
      <c r="F822" s="3">
        <v>16.443843841552734</v>
      </c>
      <c r="G822" s="3">
        <v>274000</v>
      </c>
      <c r="H822" s="3">
        <v>0</v>
      </c>
      <c r="I822" s="3">
        <v>0</v>
      </c>
      <c r="J822" s="3" t="str">
        <v>AB</v>
      </c>
      <c r="K822" s="23">
        <v>43187</v>
      </c>
      <c r="L822" s="22">
        <v>16.137628555297852</v>
      </c>
    </row>
    <row r="823" spans="1:12" x14ac:dyDescent="0.25">
      <c r="A823" s="9">
        <v>816</v>
      </c>
      <c r="B823" s="10">
        <v>43192</v>
      </c>
      <c r="C823" s="3">
        <v>16.413217955516242</v>
      </c>
      <c r="D823" s="3">
        <v>16.443840332552664</v>
      </c>
      <c r="E823" s="3">
        <v>15.892650395263729</v>
      </c>
      <c r="F823" s="3">
        <v>15.984515190124512</v>
      </c>
      <c r="G823" s="3">
        <v>325100</v>
      </c>
      <c r="H823" s="3">
        <v>0</v>
      </c>
      <c r="I823" s="3">
        <v>0</v>
      </c>
      <c r="J823" s="3" t="str">
        <v>AB</v>
      </c>
      <c r="K823" s="23">
        <v>43188</v>
      </c>
      <c r="L823" s="22">
        <v>16.443843841552734</v>
      </c>
    </row>
    <row r="824" spans="1:12" x14ac:dyDescent="0.25">
      <c r="A824" s="9">
        <v>817</v>
      </c>
      <c r="B824" s="10">
        <v>43193</v>
      </c>
      <c r="C824" s="3">
        <v>16.168247762897497</v>
      </c>
      <c r="D824" s="3">
        <v>16.229491360145577</v>
      </c>
      <c r="E824" s="3">
        <v>15.953895756591436</v>
      </c>
      <c r="F824" s="3">
        <v>16.107004165649414</v>
      </c>
      <c r="G824" s="3">
        <v>228400</v>
      </c>
      <c r="H824" s="3">
        <v>0</v>
      </c>
      <c r="I824" s="3">
        <v>0</v>
      </c>
      <c r="J824" s="3" t="str">
        <v>AB</v>
      </c>
      <c r="K824" s="23">
        <v>43192</v>
      </c>
      <c r="L824" s="22">
        <v>15.984515190124512</v>
      </c>
    </row>
    <row r="825" spans="1:12" x14ac:dyDescent="0.25">
      <c r="A825" s="9">
        <v>818</v>
      </c>
      <c r="B825" s="10">
        <v>43194</v>
      </c>
      <c r="C825" s="3">
        <v>15.892654841716405</v>
      </c>
      <c r="D825" s="3">
        <v>16.351980112654747</v>
      </c>
      <c r="E825" s="3">
        <v>15.892654841716405</v>
      </c>
      <c r="F825" s="3">
        <v>16.321357727050781</v>
      </c>
      <c r="G825" s="3">
        <v>221900</v>
      </c>
      <c r="H825" s="3">
        <v>0</v>
      </c>
      <c r="I825" s="3">
        <v>0</v>
      </c>
      <c r="J825" s="3" t="str">
        <v>AB</v>
      </c>
      <c r="K825" s="23">
        <v>43193</v>
      </c>
      <c r="L825" s="22">
        <v>16.107004165649414</v>
      </c>
    </row>
    <row r="826" spans="1:12" x14ac:dyDescent="0.25">
      <c r="A826" s="9">
        <v>819</v>
      </c>
      <c r="B826" s="10">
        <v>43195</v>
      </c>
      <c r="C826" s="3">
        <v>16.443844385344615</v>
      </c>
      <c r="D826" s="3">
        <v>16.535709202846636</v>
      </c>
      <c r="E826" s="3">
        <v>16.3213571832589</v>
      </c>
      <c r="F826" s="3">
        <v>16.382600784301758</v>
      </c>
      <c r="G826" s="3">
        <v>220900</v>
      </c>
      <c r="H826" s="3">
        <v>0</v>
      </c>
      <c r="I826" s="3">
        <v>0</v>
      </c>
      <c r="J826" s="3" t="str">
        <v>AB</v>
      </c>
      <c r="K826" s="23">
        <v>43194</v>
      </c>
      <c r="L826" s="22">
        <v>16.321357727050781</v>
      </c>
    </row>
    <row r="827" spans="1:12" x14ac:dyDescent="0.25">
      <c r="A827" s="9">
        <v>820</v>
      </c>
      <c r="B827" s="10">
        <v>43196</v>
      </c>
      <c r="C827" s="3">
        <v>16.260114596902582</v>
      </c>
      <c r="D827" s="3">
        <v>16.351980588261881</v>
      </c>
      <c r="E827" s="3">
        <v>15.972271172600635</v>
      </c>
      <c r="F827" s="3">
        <v>16.137628555297852</v>
      </c>
      <c r="G827" s="3">
        <v>342000</v>
      </c>
      <c r="H827" s="3">
        <v>0</v>
      </c>
      <c r="I827" s="3">
        <v>0</v>
      </c>
      <c r="J827" s="3" t="str">
        <v>AB</v>
      </c>
      <c r="K827" s="23">
        <v>43195</v>
      </c>
      <c r="L827" s="22">
        <v>16.382600784301758</v>
      </c>
    </row>
    <row r="828" spans="1:12" x14ac:dyDescent="0.25">
      <c r="A828" s="9">
        <v>821</v>
      </c>
      <c r="B828" s="10">
        <v>43199</v>
      </c>
      <c r="C828" s="3">
        <v>16.3213571832589</v>
      </c>
      <c r="D828" s="3">
        <v>16.596952803889494</v>
      </c>
      <c r="E828" s="3">
        <v>16.168248764714026</v>
      </c>
      <c r="F828" s="3">
        <v>16.382600784301758</v>
      </c>
      <c r="G828" s="3">
        <v>551700</v>
      </c>
      <c r="H828" s="3">
        <v>0</v>
      </c>
      <c r="I828" s="3">
        <v>0</v>
      </c>
      <c r="J828" s="3" t="str">
        <v>AB</v>
      </c>
      <c r="K828" s="23">
        <v>43196</v>
      </c>
      <c r="L828" s="22">
        <v>16.137628555297852</v>
      </c>
    </row>
    <row r="829" spans="1:12" x14ac:dyDescent="0.25">
      <c r="A829" s="9">
        <v>822</v>
      </c>
      <c r="B829" s="10">
        <v>43200</v>
      </c>
      <c r="C829" s="3">
        <v>16.535710644274886</v>
      </c>
      <c r="D829" s="3">
        <v>16.627575469784819</v>
      </c>
      <c r="E829" s="3">
        <v>16.382602212383453</v>
      </c>
      <c r="F829" s="3">
        <v>16.56633186340332</v>
      </c>
      <c r="G829" s="3">
        <v>487900</v>
      </c>
      <c r="H829" s="3">
        <v>0</v>
      </c>
      <c r="I829" s="3">
        <v>0</v>
      </c>
      <c r="J829" s="3" t="str">
        <v>AB</v>
      </c>
      <c r="K829" s="23">
        <v>43199</v>
      </c>
      <c r="L829" s="22">
        <v>16.382600784301758</v>
      </c>
    </row>
    <row r="830" spans="1:12" x14ac:dyDescent="0.25">
      <c r="A830" s="9">
        <v>823</v>
      </c>
      <c r="B830" s="10">
        <v>43201</v>
      </c>
      <c r="C830" s="3">
        <v>16.382600604363208</v>
      </c>
      <c r="D830" s="3">
        <v>16.505087805103582</v>
      </c>
      <c r="E830" s="3">
        <v>16.113129463609098</v>
      </c>
      <c r="F830" s="3">
        <v>16.2294921875</v>
      </c>
      <c r="G830" s="3">
        <v>279500</v>
      </c>
      <c r="H830" s="3">
        <v>0</v>
      </c>
      <c r="I830" s="3">
        <v>0</v>
      </c>
      <c r="J830" s="3" t="str">
        <v>AB</v>
      </c>
      <c r="K830" s="23">
        <v>43200</v>
      </c>
      <c r="L830" s="22">
        <v>16.56633186340332</v>
      </c>
    </row>
    <row r="831" spans="1:12" x14ac:dyDescent="0.25">
      <c r="A831" s="9">
        <v>824</v>
      </c>
      <c r="B831" s="10">
        <v>43202</v>
      </c>
      <c r="C831" s="3">
        <v>16.229486073436625</v>
      </c>
      <c r="D831" s="3">
        <v>16.50508158721631</v>
      </c>
      <c r="E831" s="3">
        <v>16.229486073436625</v>
      </c>
      <c r="F831" s="3">
        <v>16.413215637207031</v>
      </c>
      <c r="G831" s="3">
        <v>211400</v>
      </c>
      <c r="H831" s="3">
        <v>0</v>
      </c>
      <c r="I831" s="3">
        <v>0</v>
      </c>
      <c r="J831" s="3" t="str">
        <v>AB</v>
      </c>
      <c r="K831" s="23">
        <v>43201</v>
      </c>
      <c r="L831" s="22">
        <v>16.2294921875</v>
      </c>
    </row>
    <row r="832" spans="1:12" x14ac:dyDescent="0.25">
      <c r="A832" s="9">
        <v>825</v>
      </c>
      <c r="B832" s="10">
        <v>43203</v>
      </c>
      <c r="C832" s="3">
        <v>16.474460906246968</v>
      </c>
      <c r="D832" s="3">
        <v>16.480585381418106</v>
      </c>
      <c r="E832" s="3">
        <v>16.260108947753906</v>
      </c>
      <c r="F832" s="3">
        <v>16.260108947753906</v>
      </c>
      <c r="G832" s="3">
        <v>153700</v>
      </c>
      <c r="H832" s="3">
        <v>0</v>
      </c>
      <c r="I832" s="3">
        <v>0</v>
      </c>
      <c r="J832" s="3" t="str">
        <v>AB</v>
      </c>
      <c r="K832" s="23">
        <v>43202</v>
      </c>
      <c r="L832" s="22">
        <v>16.413215637207031</v>
      </c>
    </row>
    <row r="833" spans="1:12" x14ac:dyDescent="0.25">
      <c r="A833" s="9">
        <v>826</v>
      </c>
      <c r="B833" s="10">
        <v>43206</v>
      </c>
      <c r="C833" s="3">
        <v>16.382603399037123</v>
      </c>
      <c r="D833" s="3">
        <v>16.535711842018777</v>
      </c>
      <c r="E833" s="3">
        <v>16.382603399037123</v>
      </c>
      <c r="F833" s="3">
        <v>16.474468231201172</v>
      </c>
      <c r="G833" s="3">
        <v>211500</v>
      </c>
      <c r="H833" s="3">
        <v>0</v>
      </c>
      <c r="I833" s="3">
        <v>0</v>
      </c>
      <c r="J833" s="3" t="str">
        <v>AB</v>
      </c>
      <c r="K833" s="23">
        <v>43203</v>
      </c>
      <c r="L833" s="22">
        <v>16.260108947753906</v>
      </c>
    </row>
    <row r="834" spans="1:12" x14ac:dyDescent="0.25">
      <c r="A834" s="9">
        <v>827</v>
      </c>
      <c r="B834" s="10">
        <v>43207</v>
      </c>
      <c r="C834" s="3">
        <v>16.535709753780253</v>
      </c>
      <c r="D834" s="3">
        <v>16.566330971259649</v>
      </c>
      <c r="E834" s="3">
        <v>16.198871689008634</v>
      </c>
      <c r="F834" s="3">
        <v>16.321357727050781</v>
      </c>
      <c r="G834" s="3">
        <v>264300</v>
      </c>
      <c r="H834" s="3">
        <v>0</v>
      </c>
      <c r="I834" s="3">
        <v>0</v>
      </c>
      <c r="J834" s="3" t="str">
        <v>AB</v>
      </c>
      <c r="K834" s="23">
        <v>43206</v>
      </c>
      <c r="L834" s="22">
        <v>16.474468231201172</v>
      </c>
    </row>
    <row r="835" spans="1:12" x14ac:dyDescent="0.25">
      <c r="A835" s="9">
        <v>828</v>
      </c>
      <c r="B835" s="10">
        <v>43208</v>
      </c>
      <c r="C835" s="3">
        <v>16.290731323609602</v>
      </c>
      <c r="D835" s="3">
        <v>16.413217322659779</v>
      </c>
      <c r="E835" s="3">
        <v>16.229487740022414</v>
      </c>
      <c r="F835" s="3">
        <v>16.260108947753906</v>
      </c>
      <c r="G835" s="3">
        <v>163500</v>
      </c>
      <c r="H835" s="3">
        <v>0</v>
      </c>
      <c r="I835" s="3">
        <v>0</v>
      </c>
      <c r="J835" s="3" t="str">
        <v>AB</v>
      </c>
      <c r="K835" s="23">
        <v>43207</v>
      </c>
      <c r="L835" s="22">
        <v>16.321357727050781</v>
      </c>
    </row>
    <row r="836" spans="1:12" x14ac:dyDescent="0.25">
      <c r="A836" s="9">
        <v>829</v>
      </c>
      <c r="B836" s="10">
        <v>43209</v>
      </c>
      <c r="C836" s="3">
        <v>16.229488903529557</v>
      </c>
      <c r="D836" s="3">
        <v>16.321353701434113</v>
      </c>
      <c r="E836" s="3">
        <v>16.045759307720445</v>
      </c>
      <c r="F836" s="3">
        <v>16.168245315551758</v>
      </c>
      <c r="G836" s="3">
        <v>220700</v>
      </c>
      <c r="H836" s="3">
        <v>0</v>
      </c>
      <c r="I836" s="3">
        <v>0</v>
      </c>
      <c r="J836" s="3" t="str">
        <v>AB</v>
      </c>
      <c r="K836" s="23">
        <v>43208</v>
      </c>
      <c r="L836" s="22">
        <v>16.260108947753906</v>
      </c>
    </row>
    <row r="837" spans="1:12" x14ac:dyDescent="0.25">
      <c r="A837" s="9">
        <v>830</v>
      </c>
      <c r="B837" s="10">
        <v>43210</v>
      </c>
      <c r="C837" s="3">
        <v>16.198867585914311</v>
      </c>
      <c r="D837" s="3">
        <v>16.229488795637501</v>
      </c>
      <c r="E837" s="3">
        <v>15.923272025908492</v>
      </c>
      <c r="F837" s="3">
        <v>16.045759201049805</v>
      </c>
      <c r="G837" s="3">
        <v>184100</v>
      </c>
      <c r="H837" s="3">
        <v>0</v>
      </c>
      <c r="I837" s="3">
        <v>0</v>
      </c>
      <c r="J837" s="3" t="str">
        <v>AB</v>
      </c>
      <c r="K837" s="23">
        <v>43209</v>
      </c>
      <c r="L837" s="22">
        <v>16.168245315551758</v>
      </c>
    </row>
    <row r="838" spans="1:12" x14ac:dyDescent="0.25">
      <c r="A838" s="9">
        <v>831</v>
      </c>
      <c r="B838" s="10">
        <v>43213</v>
      </c>
      <c r="C838" s="3">
        <v>16.045762374918144</v>
      </c>
      <c r="D838" s="3">
        <v>16.198870790067652</v>
      </c>
      <c r="E838" s="3">
        <v>15.923275175548735</v>
      </c>
      <c r="F838" s="3">
        <v>16.076383590698242</v>
      </c>
      <c r="G838" s="3">
        <v>263800</v>
      </c>
      <c r="H838" s="3">
        <v>0</v>
      </c>
      <c r="I838" s="3">
        <v>0</v>
      </c>
      <c r="J838" s="3" t="str">
        <v>AB</v>
      </c>
      <c r="K838" s="23">
        <v>43210</v>
      </c>
      <c r="L838" s="22">
        <v>16.045759201049805</v>
      </c>
    </row>
    <row r="839" spans="1:12" x14ac:dyDescent="0.25">
      <c r="A839" s="9">
        <v>832</v>
      </c>
      <c r="B839" s="10">
        <v>43214</v>
      </c>
      <c r="C839" s="3">
        <v>16.076384950433187</v>
      </c>
      <c r="D839" s="3">
        <v>16.260114596902582</v>
      </c>
      <c r="E839" s="3">
        <v>16.045763732063154</v>
      </c>
      <c r="F839" s="3">
        <v>16.137628555297852</v>
      </c>
      <c r="G839" s="3">
        <v>371200</v>
      </c>
      <c r="H839" s="3">
        <v>0</v>
      </c>
      <c r="I839" s="3">
        <v>0</v>
      </c>
      <c r="J839" s="3" t="str">
        <v>AB</v>
      </c>
      <c r="K839" s="23">
        <v>43213</v>
      </c>
      <c r="L839" s="22">
        <v>16.076383590698242</v>
      </c>
    </row>
    <row r="840" spans="1:12" x14ac:dyDescent="0.25">
      <c r="A840" s="9">
        <v>833</v>
      </c>
      <c r="B840" s="10">
        <v>43215</v>
      </c>
      <c r="C840" s="3">
        <v>16.107001193897471</v>
      </c>
      <c r="D840" s="3">
        <v>16.321353160655459</v>
      </c>
      <c r="E840" s="3">
        <v>15.892650395263729</v>
      </c>
      <c r="F840" s="3">
        <v>15.984515190124512</v>
      </c>
      <c r="G840" s="3">
        <v>334300</v>
      </c>
      <c r="H840" s="3">
        <v>0</v>
      </c>
      <c r="I840" s="3">
        <v>0</v>
      </c>
      <c r="J840" s="3" t="str">
        <v>AB</v>
      </c>
      <c r="K840" s="23">
        <v>43214</v>
      </c>
      <c r="L840" s="22">
        <v>16.137628555297852</v>
      </c>
    </row>
    <row r="841" spans="1:12" x14ac:dyDescent="0.25">
      <c r="A841" s="9">
        <v>834</v>
      </c>
      <c r="B841" s="10">
        <v>43216</v>
      </c>
      <c r="C841" s="3">
        <v>16.076383590698242</v>
      </c>
      <c r="D841" s="3">
        <v>16.198870790067652</v>
      </c>
      <c r="E841" s="3">
        <v>15.892653959768635</v>
      </c>
      <c r="F841" s="3">
        <v>16.076383590698242</v>
      </c>
      <c r="G841" s="3">
        <v>428900</v>
      </c>
      <c r="H841" s="3">
        <v>0</v>
      </c>
      <c r="I841" s="3">
        <v>0</v>
      </c>
      <c r="J841" s="3" t="str">
        <v>AB</v>
      </c>
      <c r="K841" s="23">
        <v>43215</v>
      </c>
      <c r="L841" s="22">
        <v>15.984515190124512</v>
      </c>
    </row>
    <row r="842" spans="1:12" x14ac:dyDescent="0.25">
      <c r="A842" s="9">
        <v>835</v>
      </c>
      <c r="B842" s="10">
        <v>43217</v>
      </c>
      <c r="C842" s="3">
        <v>16.168251345237863</v>
      </c>
      <c r="D842" s="3">
        <v>16.505090620672334</v>
      </c>
      <c r="E842" s="3">
        <v>16.07638651307381</v>
      </c>
      <c r="F842" s="3">
        <v>16.474468231201172</v>
      </c>
      <c r="G842" s="3">
        <v>162500</v>
      </c>
      <c r="H842" s="3">
        <v>0</v>
      </c>
      <c r="I842" s="3">
        <v>0</v>
      </c>
      <c r="J842" s="3" t="str">
        <v>AB</v>
      </c>
      <c r="K842" s="23">
        <v>43216</v>
      </c>
      <c r="L842" s="22">
        <v>16.076383590698242</v>
      </c>
    </row>
    <row r="843" spans="1:12" x14ac:dyDescent="0.25">
      <c r="A843" s="9">
        <v>836</v>
      </c>
      <c r="B843" s="10">
        <v>43220</v>
      </c>
      <c r="C843" s="3">
        <v>16.535706406882053</v>
      </c>
      <c r="D843" s="3">
        <v>16.780679601507288</v>
      </c>
      <c r="E843" s="3">
        <v>16.505085195600522</v>
      </c>
      <c r="F843" s="3">
        <v>16.658193588256836</v>
      </c>
      <c r="G843" s="3">
        <v>275600</v>
      </c>
      <c r="H843" s="3">
        <v>0</v>
      </c>
      <c r="I843" s="3">
        <v>0</v>
      </c>
      <c r="J843" s="3" t="str">
        <v>AB</v>
      </c>
      <c r="K843" s="23">
        <v>43217</v>
      </c>
      <c r="L843" s="22">
        <v>16.474468231201172</v>
      </c>
    </row>
    <row r="844" spans="1:12" x14ac:dyDescent="0.25">
      <c r="A844" s="9">
        <v>837</v>
      </c>
      <c r="B844" s="10">
        <v>43221</v>
      </c>
      <c r="C844" s="3">
        <v>16.596950531005859</v>
      </c>
      <c r="D844" s="3">
        <v>16.658194123661662</v>
      </c>
      <c r="E844" s="3">
        <v>16.382598540772744</v>
      </c>
      <c r="F844" s="3">
        <v>16.596950531005859</v>
      </c>
      <c r="G844" s="3">
        <v>286700</v>
      </c>
      <c r="H844" s="3">
        <v>0</v>
      </c>
      <c r="I844" s="3">
        <v>0</v>
      </c>
      <c r="J844" s="3" t="str">
        <v>AB</v>
      </c>
      <c r="K844" s="23">
        <v>43220</v>
      </c>
      <c r="L844" s="22">
        <v>16.658193588256836</v>
      </c>
    </row>
    <row r="845" spans="1:12" x14ac:dyDescent="0.25">
      <c r="A845" s="9">
        <v>838</v>
      </c>
      <c r="B845" s="10">
        <v>43222</v>
      </c>
      <c r="C845" s="3">
        <v>16.627570363705875</v>
      </c>
      <c r="D845" s="3">
        <v>16.707187377990017</v>
      </c>
      <c r="E845" s="3">
        <v>16.474461978831744</v>
      </c>
      <c r="F845" s="3">
        <v>16.53570556640625</v>
      </c>
      <c r="G845" s="3">
        <v>337200</v>
      </c>
      <c r="H845" s="3">
        <v>0</v>
      </c>
      <c r="I845" s="3">
        <v>0</v>
      </c>
      <c r="J845" s="3" t="str">
        <v>AB</v>
      </c>
      <c r="K845" s="23">
        <v>43221</v>
      </c>
      <c r="L845" s="22">
        <v>16.596950531005859</v>
      </c>
    </row>
    <row r="846" spans="1:12" x14ac:dyDescent="0.25">
      <c r="A846" s="9">
        <v>839</v>
      </c>
      <c r="B846" s="10">
        <v>43223</v>
      </c>
      <c r="C846" s="3">
        <v>16.535711842018777</v>
      </c>
      <c r="D846" s="3">
        <v>16.596955452836383</v>
      </c>
      <c r="E846" s="3">
        <v>16.198873734709021</v>
      </c>
      <c r="F846" s="3">
        <v>16.474468231201172</v>
      </c>
      <c r="G846" s="3">
        <v>591300</v>
      </c>
      <c r="H846" s="3">
        <v>0</v>
      </c>
      <c r="I846" s="3">
        <v>0</v>
      </c>
      <c r="J846" s="3" t="str">
        <v>AB</v>
      </c>
      <c r="K846" s="23">
        <v>43222</v>
      </c>
      <c r="L846" s="22">
        <v>16.53570556640625</v>
      </c>
    </row>
    <row r="847" spans="1:12" x14ac:dyDescent="0.25">
      <c r="A847" s="9">
        <v>840</v>
      </c>
      <c r="B847" s="10">
        <v>43224</v>
      </c>
      <c r="C847" s="3">
        <v>16.682206870391543</v>
      </c>
      <c r="D847" s="3">
        <v>16.808110798753511</v>
      </c>
      <c r="E847" s="3">
        <v>16.493352178557444</v>
      </c>
      <c r="F847" s="3">
        <v>16.776634216308594</v>
      </c>
      <c r="G847" s="3">
        <v>308300</v>
      </c>
      <c r="H847" s="3">
        <v>0.73</v>
      </c>
      <c r="I847" s="3">
        <v>0</v>
      </c>
      <c r="J847" s="3" t="str">
        <v>AB</v>
      </c>
      <c r="K847" s="23">
        <v>43223</v>
      </c>
      <c r="L847" s="22">
        <v>16.474468231201172</v>
      </c>
    </row>
    <row r="848" spans="1:12" x14ac:dyDescent="0.25">
      <c r="A848" s="9">
        <v>841</v>
      </c>
      <c r="B848" s="10">
        <v>43227</v>
      </c>
      <c r="C848" s="3">
        <v>16.839582319612855</v>
      </c>
      <c r="D848" s="3">
        <v>17.059913543375675</v>
      </c>
      <c r="E848" s="3">
        <v>16.726269050208632</v>
      </c>
      <c r="F848" s="3">
        <v>16.99696159362793</v>
      </c>
      <c r="G848" s="3">
        <v>294200</v>
      </c>
      <c r="H848" s="3">
        <v>0</v>
      </c>
      <c r="I848" s="3">
        <v>0</v>
      </c>
      <c r="J848" s="3" t="str">
        <v>AB</v>
      </c>
      <c r="K848" s="23">
        <v>43224</v>
      </c>
      <c r="L848" s="22">
        <v>16.776634216308594</v>
      </c>
    </row>
    <row r="849" spans="1:12" x14ac:dyDescent="0.25">
      <c r="A849" s="9">
        <v>842</v>
      </c>
      <c r="B849" s="10">
        <v>43228</v>
      </c>
      <c r="C849" s="3">
        <v>17.028440711725711</v>
      </c>
      <c r="D849" s="3">
        <v>17.154344638900255</v>
      </c>
      <c r="E849" s="3">
        <v>16.871061403111945</v>
      </c>
      <c r="F849" s="3">
        <v>16.934013366699219</v>
      </c>
      <c r="G849" s="3">
        <v>291200</v>
      </c>
      <c r="H849" s="3">
        <v>0</v>
      </c>
      <c r="I849" s="3">
        <v>0</v>
      </c>
      <c r="J849" s="3" t="str">
        <v>AB</v>
      </c>
      <c r="K849" s="23">
        <v>43227</v>
      </c>
      <c r="L849" s="22">
        <v>16.99696159362793</v>
      </c>
    </row>
    <row r="850" spans="1:12" x14ac:dyDescent="0.25">
      <c r="A850" s="9">
        <v>843</v>
      </c>
      <c r="B850" s="10">
        <v>43229</v>
      </c>
      <c r="C850" s="3">
        <v>16.996961532476725</v>
      </c>
      <c r="D850" s="3">
        <v>16.996961532476725</v>
      </c>
      <c r="E850" s="3">
        <v>16.587775661651406</v>
      </c>
      <c r="F850" s="3">
        <v>16.713678359985352</v>
      </c>
      <c r="G850" s="3">
        <v>425700</v>
      </c>
      <c r="H850" s="3">
        <v>0</v>
      </c>
      <c r="I850" s="3">
        <v>0</v>
      </c>
      <c r="J850" s="3" t="str">
        <v>AB</v>
      </c>
      <c r="K850" s="23">
        <v>43228</v>
      </c>
      <c r="L850" s="22">
        <v>16.934013366699219</v>
      </c>
    </row>
    <row r="851" spans="1:12" x14ac:dyDescent="0.25">
      <c r="A851" s="9">
        <v>844</v>
      </c>
      <c r="B851" s="10">
        <v>43230</v>
      </c>
      <c r="C851" s="3">
        <v>16.776632703840068</v>
      </c>
      <c r="D851" s="3">
        <v>16.839584662345725</v>
      </c>
      <c r="E851" s="3">
        <v>16.619253407930294</v>
      </c>
      <c r="F851" s="3">
        <v>16.808109283447266</v>
      </c>
      <c r="G851" s="3">
        <v>619300</v>
      </c>
      <c r="H851" s="3">
        <v>0</v>
      </c>
      <c r="I851" s="3">
        <v>0</v>
      </c>
      <c r="J851" s="3" t="str">
        <v>AB</v>
      </c>
      <c r="K851" s="23">
        <v>43229</v>
      </c>
      <c r="L851" s="22">
        <v>16.713678359985352</v>
      </c>
    </row>
    <row r="852" spans="1:12" x14ac:dyDescent="0.25">
      <c r="A852" s="9">
        <v>845</v>
      </c>
      <c r="B852" s="10">
        <v>43231</v>
      </c>
      <c r="C852" s="3">
        <v>16.839588304294217</v>
      </c>
      <c r="D852" s="3">
        <v>17.028443019946625</v>
      </c>
      <c r="E852" s="3">
        <v>16.713684360053275</v>
      </c>
      <c r="F852" s="3">
        <v>16.965492248535156</v>
      </c>
      <c r="G852" s="3">
        <v>701700</v>
      </c>
      <c r="H852" s="3">
        <v>0</v>
      </c>
      <c r="I852" s="3">
        <v>0</v>
      </c>
      <c r="J852" s="3" t="str">
        <v>AB</v>
      </c>
      <c r="K852" s="23">
        <v>43230</v>
      </c>
      <c r="L852" s="22">
        <v>16.808109283447266</v>
      </c>
    </row>
    <row r="853" spans="1:12" x14ac:dyDescent="0.25">
      <c r="A853" s="9">
        <v>846</v>
      </c>
      <c r="B853" s="10">
        <v>43234</v>
      </c>
      <c r="C853" s="3">
        <v>16.996967634240892</v>
      </c>
      <c r="D853" s="3">
        <v>17.059919606361362</v>
      </c>
      <c r="E853" s="3">
        <v>16.877359007282898</v>
      </c>
      <c r="F853" s="3">
        <v>16.965492248535156</v>
      </c>
      <c r="G853" s="3">
        <v>464500</v>
      </c>
      <c r="H853" s="3">
        <v>0</v>
      </c>
      <c r="I853" s="3">
        <v>0</v>
      </c>
      <c r="J853" s="3" t="str">
        <v>AB</v>
      </c>
      <c r="K853" s="23">
        <v>43231</v>
      </c>
      <c r="L853" s="22">
        <v>16.965492248535156</v>
      </c>
    </row>
    <row r="854" spans="1:12" x14ac:dyDescent="0.25">
      <c r="A854" s="9">
        <v>847</v>
      </c>
      <c r="B854" s="10">
        <v>43235</v>
      </c>
      <c r="C854" s="3">
        <v>16.965489948847274</v>
      </c>
      <c r="D854" s="3">
        <v>17.154344638900255</v>
      </c>
      <c r="E854" s="3">
        <v>16.934013366699219</v>
      </c>
      <c r="F854" s="3">
        <v>16.934013366699219</v>
      </c>
      <c r="G854" s="3">
        <v>673900</v>
      </c>
      <c r="H854" s="3">
        <v>0</v>
      </c>
      <c r="I854" s="3">
        <v>0</v>
      </c>
      <c r="J854" s="3" t="str">
        <v>AB</v>
      </c>
      <c r="K854" s="23">
        <v>43234</v>
      </c>
      <c r="L854" s="22">
        <v>16.965492248535156</v>
      </c>
    </row>
    <row r="855" spans="1:12" x14ac:dyDescent="0.25">
      <c r="A855" s="9">
        <v>848</v>
      </c>
      <c r="B855" s="10">
        <v>43236</v>
      </c>
      <c r="C855" s="3">
        <v>16.934009219189914</v>
      </c>
      <c r="D855" s="3">
        <v>17.311719707495154</v>
      </c>
      <c r="E855" s="3">
        <v>16.934009219189914</v>
      </c>
      <c r="F855" s="3">
        <v>17.185815811157227</v>
      </c>
      <c r="G855" s="3">
        <v>620500</v>
      </c>
      <c r="H855" s="3">
        <v>0</v>
      </c>
      <c r="I855" s="3">
        <v>0</v>
      </c>
      <c r="J855" s="3" t="str">
        <v>AB</v>
      </c>
      <c r="K855" s="23">
        <v>43235</v>
      </c>
      <c r="L855" s="22">
        <v>16.934013366699219</v>
      </c>
    </row>
    <row r="856" spans="1:12" x14ac:dyDescent="0.25">
      <c r="A856" s="9">
        <v>849</v>
      </c>
      <c r="B856" s="10">
        <v>43237</v>
      </c>
      <c r="C856" s="3">
        <v>17.280242814084801</v>
      </c>
      <c r="D856" s="3">
        <v>17.469097441274666</v>
      </c>
      <c r="E856" s="3">
        <v>17.122863557857102</v>
      </c>
      <c r="F856" s="3">
        <v>17.4376220703125</v>
      </c>
      <c r="G856" s="3">
        <v>354500</v>
      </c>
      <c r="H856" s="3">
        <v>0</v>
      </c>
      <c r="I856" s="3">
        <v>0</v>
      </c>
      <c r="J856" s="3" t="str">
        <v>AB</v>
      </c>
      <c r="K856" s="23">
        <v>43236</v>
      </c>
      <c r="L856" s="22">
        <v>17.185815811157227</v>
      </c>
    </row>
    <row r="857" spans="1:12" x14ac:dyDescent="0.25">
      <c r="A857" s="9">
        <v>850</v>
      </c>
      <c r="B857" s="10">
        <v>43238</v>
      </c>
      <c r="C857" s="3">
        <v>17.500574511698524</v>
      </c>
      <c r="D857" s="3">
        <v>17.595003035171743</v>
      </c>
      <c r="E857" s="3">
        <v>17.406147188933858</v>
      </c>
      <c r="F857" s="3">
        <v>17.532051086425781</v>
      </c>
      <c r="G857" s="3">
        <v>335400</v>
      </c>
      <c r="H857" s="3">
        <v>0</v>
      </c>
      <c r="I857" s="3">
        <v>0</v>
      </c>
      <c r="J857" s="3" t="str">
        <v>AB</v>
      </c>
      <c r="K857" s="23">
        <v>43237</v>
      </c>
      <c r="L857" s="22">
        <v>17.4376220703125</v>
      </c>
    </row>
    <row r="858" spans="1:12" x14ac:dyDescent="0.25">
      <c r="A858" s="9">
        <v>851</v>
      </c>
      <c r="B858" s="10">
        <v>43241</v>
      </c>
      <c r="C858" s="3">
        <v>17.595004416697556</v>
      </c>
      <c r="D858" s="3">
        <v>17.87828640723431</v>
      </c>
      <c r="E858" s="3">
        <v>17.569823154938565</v>
      </c>
      <c r="F858" s="3">
        <v>17.657955169677734</v>
      </c>
      <c r="G858" s="3">
        <v>408100</v>
      </c>
      <c r="H858" s="3">
        <v>0</v>
      </c>
      <c r="I858" s="3">
        <v>0</v>
      </c>
      <c r="J858" s="3" t="str">
        <v>AB</v>
      </c>
      <c r="K858" s="23">
        <v>43238</v>
      </c>
      <c r="L858" s="22">
        <v>17.532051086425781</v>
      </c>
    </row>
    <row r="859" spans="1:12" x14ac:dyDescent="0.25">
      <c r="A859" s="9">
        <v>852</v>
      </c>
      <c r="B859" s="10">
        <v>43242</v>
      </c>
      <c r="C859" s="3">
        <v>17.720907471406019</v>
      </c>
      <c r="D859" s="3">
        <v>18.004190668215116</v>
      </c>
      <c r="E859" s="3">
        <v>17.720907471406019</v>
      </c>
      <c r="F859" s="3">
        <v>17.909763336181641</v>
      </c>
      <c r="G859" s="3">
        <v>509800</v>
      </c>
      <c r="H859" s="3">
        <v>0</v>
      </c>
      <c r="I859" s="3">
        <v>0</v>
      </c>
      <c r="J859" s="3" t="str">
        <v>AB</v>
      </c>
      <c r="K859" s="23">
        <v>43241</v>
      </c>
      <c r="L859" s="22">
        <v>17.657955169677734</v>
      </c>
    </row>
    <row r="860" spans="1:12" x14ac:dyDescent="0.25">
      <c r="A860" s="9">
        <v>853</v>
      </c>
      <c r="B860" s="10">
        <v>43243</v>
      </c>
      <c r="C860" s="3">
        <v>17.720905703765197</v>
      </c>
      <c r="D860" s="3">
        <v>17.846809601056837</v>
      </c>
      <c r="E860" s="3">
        <v>17.469099109890468</v>
      </c>
      <c r="F860" s="3">
        <v>17.752382278442383</v>
      </c>
      <c r="G860" s="3">
        <v>458600</v>
      </c>
      <c r="H860" s="3">
        <v>0</v>
      </c>
      <c r="I860" s="3">
        <v>0</v>
      </c>
      <c r="J860" s="3" t="str">
        <v>AB</v>
      </c>
      <c r="K860" s="23">
        <v>43242</v>
      </c>
      <c r="L860" s="22">
        <v>17.909763336181641</v>
      </c>
    </row>
    <row r="861" spans="1:12" x14ac:dyDescent="0.25">
      <c r="A861" s="9">
        <v>854</v>
      </c>
      <c r="B861" s="10">
        <v>43244</v>
      </c>
      <c r="C861" s="3">
        <v>17.720911099812156</v>
      </c>
      <c r="D861" s="3">
        <v>17.846815035441754</v>
      </c>
      <c r="E861" s="3">
        <v>17.563531780629617</v>
      </c>
      <c r="F861" s="3">
        <v>17.783863067626953</v>
      </c>
      <c r="G861" s="3">
        <v>473000</v>
      </c>
      <c r="H861" s="3">
        <v>0</v>
      </c>
      <c r="I861" s="3">
        <v>0</v>
      </c>
      <c r="J861" s="3" t="str">
        <v>AB</v>
      </c>
      <c r="K861" s="23">
        <v>43243</v>
      </c>
      <c r="L861" s="22">
        <v>17.752382278442383</v>
      </c>
    </row>
    <row r="862" spans="1:12" x14ac:dyDescent="0.25">
      <c r="A862" s="9">
        <v>855</v>
      </c>
      <c r="B862" s="10">
        <v>43245</v>
      </c>
      <c r="C862" s="3">
        <v>17.783859031755945</v>
      </c>
      <c r="D862" s="3">
        <v>17.972713691632727</v>
      </c>
      <c r="E862" s="3">
        <v>17.783859031755945</v>
      </c>
      <c r="F862" s="3">
        <v>17.878286361694336</v>
      </c>
      <c r="G862" s="3">
        <v>389500</v>
      </c>
      <c r="H862" s="3">
        <v>0</v>
      </c>
      <c r="I862" s="3">
        <v>0</v>
      </c>
      <c r="J862" s="3" t="str">
        <v>AB</v>
      </c>
      <c r="K862" s="23">
        <v>43244</v>
      </c>
      <c r="L862" s="22">
        <v>17.783863067626953</v>
      </c>
    </row>
    <row r="863" spans="1:12" x14ac:dyDescent="0.25">
      <c r="A863" s="9">
        <v>856</v>
      </c>
      <c r="B863" s="10">
        <v>43249</v>
      </c>
      <c r="C863" s="3">
        <v>17.783859702399031</v>
      </c>
      <c r="D863" s="3">
        <v>17.846811658301473</v>
      </c>
      <c r="E863" s="3">
        <v>17.494282386239959</v>
      </c>
      <c r="F863" s="3">
        <v>17.595005035400391</v>
      </c>
      <c r="G863" s="3">
        <v>364600</v>
      </c>
      <c r="H863" s="3">
        <v>0</v>
      </c>
      <c r="I863" s="3">
        <v>0</v>
      </c>
      <c r="J863" s="3" t="str">
        <v>AB</v>
      </c>
      <c r="K863" s="23">
        <v>43245</v>
      </c>
      <c r="L863" s="22">
        <v>17.878286361694336</v>
      </c>
    </row>
    <row r="864" spans="1:12" x14ac:dyDescent="0.25">
      <c r="A864" s="9">
        <v>857</v>
      </c>
      <c r="B864" s="10">
        <v>43250</v>
      </c>
      <c r="C864" s="3">
        <v>17.689431701817554</v>
      </c>
      <c r="D864" s="3">
        <v>17.972713691632727</v>
      </c>
      <c r="E864" s="3">
        <v>17.664250440122707</v>
      </c>
      <c r="F864" s="3">
        <v>17.878286361694336</v>
      </c>
      <c r="G864" s="3">
        <v>220500</v>
      </c>
      <c r="H864" s="3">
        <v>0</v>
      </c>
      <c r="I864" s="3">
        <v>0</v>
      </c>
      <c r="J864" s="3" t="str">
        <v>AB</v>
      </c>
      <c r="K864" s="23">
        <v>43249</v>
      </c>
      <c r="L864" s="22">
        <v>17.595005035400391</v>
      </c>
    </row>
    <row r="865" spans="1:12" x14ac:dyDescent="0.25">
      <c r="A865" s="9">
        <v>858</v>
      </c>
      <c r="B865" s="10">
        <v>43251</v>
      </c>
      <c r="C865" s="3">
        <v>17.909759421022009</v>
      </c>
      <c r="D865" s="3">
        <v>17.928644162875205</v>
      </c>
      <c r="E865" s="3">
        <v>17.657951656367569</v>
      </c>
      <c r="F865" s="3">
        <v>17.846807479858398</v>
      </c>
      <c r="G865" s="3">
        <v>267900</v>
      </c>
      <c r="H865" s="3">
        <v>0</v>
      </c>
      <c r="I865" s="3">
        <v>0</v>
      </c>
      <c r="J865" s="3" t="str">
        <v>AB</v>
      </c>
      <c r="K865" s="23">
        <v>43250</v>
      </c>
      <c r="L865" s="22">
        <v>17.878286361694336</v>
      </c>
    </row>
    <row r="866" spans="1:12" x14ac:dyDescent="0.25">
      <c r="A866" s="9">
        <v>859</v>
      </c>
      <c r="B866" s="10">
        <v>43252</v>
      </c>
      <c r="C866" s="3">
        <v>17.941238094436407</v>
      </c>
      <c r="D866" s="3">
        <v>18.161569328720336</v>
      </c>
      <c r="E866" s="3">
        <v>17.90976271841383</v>
      </c>
      <c r="F866" s="3">
        <v>17.972713470458984</v>
      </c>
      <c r="G866" s="3">
        <v>319800</v>
      </c>
      <c r="H866" s="3">
        <v>0</v>
      </c>
      <c r="I866" s="3">
        <v>0</v>
      </c>
      <c r="J866" s="3" t="str">
        <v>AB</v>
      </c>
      <c r="K866" s="23">
        <v>43251</v>
      </c>
      <c r="L866" s="22">
        <v>17.846807479858398</v>
      </c>
    </row>
    <row r="867" spans="1:12" x14ac:dyDescent="0.25">
      <c r="A867" s="9">
        <v>860</v>
      </c>
      <c r="B867" s="10">
        <v>43255</v>
      </c>
      <c r="C867" s="3">
        <v>18.09861574092163</v>
      </c>
      <c r="D867" s="3">
        <v>18.193043061167344</v>
      </c>
      <c r="E867" s="3">
        <v>18.035663793854983</v>
      </c>
      <c r="F867" s="3">
        <v>18.161567687988281</v>
      </c>
      <c r="G867" s="3">
        <v>240700</v>
      </c>
      <c r="H867" s="3">
        <v>0</v>
      </c>
      <c r="I867" s="3">
        <v>0</v>
      </c>
      <c r="J867" s="3" t="str">
        <v>AB</v>
      </c>
      <c r="K867" s="23">
        <v>43252</v>
      </c>
      <c r="L867" s="22">
        <v>17.972713470458984</v>
      </c>
    </row>
    <row r="868" spans="1:12" x14ac:dyDescent="0.25">
      <c r="A868" s="9">
        <v>861</v>
      </c>
      <c r="B868" s="10">
        <v>43256</v>
      </c>
      <c r="C868" s="3">
        <v>18.161569817891973</v>
      </c>
      <c r="D868" s="3">
        <v>18.224521772341333</v>
      </c>
      <c r="E868" s="3">
        <v>17.909763200803198</v>
      </c>
      <c r="F868" s="3">
        <v>18.067142486572266</v>
      </c>
      <c r="G868" s="3">
        <v>257400</v>
      </c>
      <c r="H868" s="3">
        <v>0</v>
      </c>
      <c r="I868" s="3">
        <v>0</v>
      </c>
      <c r="J868" s="3" t="str">
        <v>AB</v>
      </c>
      <c r="K868" s="23">
        <v>43255</v>
      </c>
      <c r="L868" s="22">
        <v>18.161567687988281</v>
      </c>
    </row>
    <row r="869" spans="1:12" x14ac:dyDescent="0.25">
      <c r="A869" s="9">
        <v>862</v>
      </c>
      <c r="B869" s="10">
        <v>43257</v>
      </c>
      <c r="C869" s="3">
        <v>18.130094854485563</v>
      </c>
      <c r="D869" s="3">
        <v>18.413378074374837</v>
      </c>
      <c r="E869" s="3">
        <v>18.098619474812871</v>
      </c>
      <c r="F869" s="3">
        <v>18.381902694702148</v>
      </c>
      <c r="G869" s="3">
        <v>436000</v>
      </c>
      <c r="H869" s="3">
        <v>0</v>
      </c>
      <c r="I869" s="3">
        <v>0</v>
      </c>
      <c r="J869" s="3" t="str">
        <v>AB</v>
      </c>
      <c r="K869" s="23">
        <v>43256</v>
      </c>
      <c r="L869" s="22">
        <v>18.067142486572266</v>
      </c>
    </row>
    <row r="870" spans="1:12" x14ac:dyDescent="0.25">
      <c r="A870" s="9">
        <v>863</v>
      </c>
      <c r="B870" s="10">
        <v>43258</v>
      </c>
      <c r="C870" s="3">
        <v>18.381898593149998</v>
      </c>
      <c r="D870" s="3">
        <v>18.476325911807269</v>
      </c>
      <c r="E870" s="3">
        <v>18.067140063820091</v>
      </c>
      <c r="F870" s="3">
        <v>18.193042755126953</v>
      </c>
      <c r="G870" s="3">
        <v>460400</v>
      </c>
      <c r="H870" s="3">
        <v>0</v>
      </c>
      <c r="I870" s="3">
        <v>0</v>
      </c>
      <c r="J870" s="3" t="str">
        <v>AB</v>
      </c>
      <c r="K870" s="23">
        <v>43257</v>
      </c>
      <c r="L870" s="22">
        <v>18.381902694702148</v>
      </c>
    </row>
    <row r="871" spans="1:12" x14ac:dyDescent="0.25">
      <c r="A871" s="9">
        <v>864</v>
      </c>
      <c r="B871" s="10">
        <v>43259</v>
      </c>
      <c r="C871" s="3">
        <v>18.193044621219787</v>
      </c>
      <c r="D871" s="3">
        <v>18.444851230370261</v>
      </c>
      <c r="E871" s="3">
        <v>18.06714191699886</v>
      </c>
      <c r="F871" s="3">
        <v>18.413375854492188</v>
      </c>
      <c r="G871" s="3">
        <v>227700</v>
      </c>
      <c r="H871" s="3">
        <v>0</v>
      </c>
      <c r="I871" s="3">
        <v>0</v>
      </c>
      <c r="J871" s="3" t="str">
        <v>AB</v>
      </c>
      <c r="K871" s="23">
        <v>43258</v>
      </c>
      <c r="L871" s="22">
        <v>18.193042755126953</v>
      </c>
    </row>
    <row r="872" spans="1:12" x14ac:dyDescent="0.25">
      <c r="A872" s="9">
        <v>865</v>
      </c>
      <c r="B872" s="10">
        <v>43262</v>
      </c>
      <c r="C872" s="3">
        <v>18.413375725180416</v>
      </c>
      <c r="D872" s="3">
        <v>18.621116326359235</v>
      </c>
      <c r="E872" s="3">
        <v>18.381900349523381</v>
      </c>
      <c r="F872" s="3">
        <v>18.570755004882813</v>
      </c>
      <c r="G872" s="3">
        <v>234300</v>
      </c>
      <c r="H872" s="3">
        <v>0</v>
      </c>
      <c r="I872" s="3">
        <v>0</v>
      </c>
      <c r="J872" s="3" t="str">
        <v>AB</v>
      </c>
      <c r="K872" s="23">
        <v>43259</v>
      </c>
      <c r="L872" s="22">
        <v>18.413375854492188</v>
      </c>
    </row>
    <row r="873" spans="1:12" x14ac:dyDescent="0.25">
      <c r="A873" s="9">
        <v>866</v>
      </c>
      <c r="B873" s="10">
        <v>43263</v>
      </c>
      <c r="C873" s="3">
        <v>18.570755135299812</v>
      </c>
      <c r="D873" s="3">
        <v>18.60223051117789</v>
      </c>
      <c r="E873" s="3">
        <v>18.318948526149338</v>
      </c>
      <c r="F873" s="3">
        <v>18.413375854492188</v>
      </c>
      <c r="G873" s="3">
        <v>261800</v>
      </c>
      <c r="H873" s="3">
        <v>0</v>
      </c>
      <c r="I873" s="3">
        <v>0</v>
      </c>
      <c r="J873" s="3" t="str">
        <v>AB</v>
      </c>
      <c r="K873" s="23">
        <v>43262</v>
      </c>
      <c r="L873" s="22">
        <v>18.570755004882813</v>
      </c>
    </row>
    <row r="874" spans="1:12" x14ac:dyDescent="0.25">
      <c r="A874" s="9">
        <v>867</v>
      </c>
      <c r="B874" s="10">
        <v>43264</v>
      </c>
      <c r="C874" s="3">
        <v>18.444850921630859</v>
      </c>
      <c r="D874" s="3">
        <v>18.75960947797752</v>
      </c>
      <c r="E874" s="3">
        <v>18.035665038521923</v>
      </c>
      <c r="F874" s="3">
        <v>18.444850921630859</v>
      </c>
      <c r="G874" s="3">
        <v>674000</v>
      </c>
      <c r="H874" s="3">
        <v>0</v>
      </c>
      <c r="I874" s="3">
        <v>0</v>
      </c>
      <c r="J874" s="3" t="str">
        <v>AB</v>
      </c>
      <c r="K874" s="23">
        <v>43263</v>
      </c>
      <c r="L874" s="22">
        <v>18.413375854492188</v>
      </c>
    </row>
    <row r="875" spans="1:12" x14ac:dyDescent="0.25">
      <c r="A875" s="9">
        <v>868</v>
      </c>
      <c r="B875" s="10">
        <v>43265</v>
      </c>
      <c r="C875" s="3">
        <v>18.539281596321288</v>
      </c>
      <c r="D875" s="3">
        <v>18.633708934020142</v>
      </c>
      <c r="E875" s="3">
        <v>18.287473761512693</v>
      </c>
      <c r="F875" s="3">
        <v>18.350425720214844</v>
      </c>
      <c r="G875" s="3">
        <v>248100</v>
      </c>
      <c r="H875" s="3">
        <v>0</v>
      </c>
      <c r="I875" s="3">
        <v>0</v>
      </c>
      <c r="J875" s="3" t="str">
        <v>AB</v>
      </c>
      <c r="K875" s="23">
        <v>43264</v>
      </c>
      <c r="L875" s="22">
        <v>18.444850921630859</v>
      </c>
    </row>
    <row r="876" spans="1:12" x14ac:dyDescent="0.25">
      <c r="A876" s="9">
        <v>869</v>
      </c>
      <c r="B876" s="10">
        <v>43266</v>
      </c>
      <c r="C876" s="3">
        <v>18.350426032608706</v>
      </c>
      <c r="D876" s="3">
        <v>18.507805331688896</v>
      </c>
      <c r="E876" s="3">
        <v>18.255998693302342</v>
      </c>
      <c r="F876" s="3">
        <v>18.318950653076172</v>
      </c>
      <c r="G876" s="3">
        <v>289700</v>
      </c>
      <c r="H876" s="3">
        <v>0</v>
      </c>
      <c r="I876" s="3">
        <v>0</v>
      </c>
      <c r="J876" s="3" t="str">
        <v>AB</v>
      </c>
      <c r="K876" s="23">
        <v>43265</v>
      </c>
      <c r="L876" s="22">
        <v>18.350425720214844</v>
      </c>
    </row>
    <row r="877" spans="1:12" x14ac:dyDescent="0.25">
      <c r="A877" s="9">
        <v>870</v>
      </c>
      <c r="B877" s="10">
        <v>43269</v>
      </c>
      <c r="C877" s="3">
        <v>18.318948397500701</v>
      </c>
      <c r="D877" s="3">
        <v>18.570755004882813</v>
      </c>
      <c r="E877" s="3">
        <v>18.28747182113505</v>
      </c>
      <c r="F877" s="3">
        <v>18.570755004882813</v>
      </c>
      <c r="G877" s="3">
        <v>225500</v>
      </c>
      <c r="H877" s="3">
        <v>0</v>
      </c>
      <c r="I877" s="3">
        <v>0</v>
      </c>
      <c r="J877" s="3" t="str">
        <v>AB</v>
      </c>
      <c r="K877" s="23">
        <v>43266</v>
      </c>
      <c r="L877" s="22">
        <v>18.318950653076172</v>
      </c>
    </row>
    <row r="878" spans="1:12" x14ac:dyDescent="0.25">
      <c r="A878" s="9">
        <v>871</v>
      </c>
      <c r="B878" s="10">
        <v>43270</v>
      </c>
      <c r="C878" s="3">
        <v>18.444849510150707</v>
      </c>
      <c r="D878" s="3">
        <v>18.602228776280693</v>
      </c>
      <c r="E878" s="3">
        <v>18.35042219061442</v>
      </c>
      <c r="F878" s="3">
        <v>18.539278030395508</v>
      </c>
      <c r="G878" s="3">
        <v>214200</v>
      </c>
      <c r="H878" s="3">
        <v>0</v>
      </c>
      <c r="I878" s="3">
        <v>0</v>
      </c>
      <c r="J878" s="3" t="str">
        <v>AB</v>
      </c>
      <c r="K878" s="23">
        <v>43269</v>
      </c>
      <c r="L878" s="22">
        <v>18.570755004882813</v>
      </c>
    </row>
    <row r="879" spans="1:12" x14ac:dyDescent="0.25">
      <c r="A879" s="9">
        <v>872</v>
      </c>
      <c r="B879" s="10">
        <v>43271</v>
      </c>
      <c r="C879" s="3">
        <v>18.476330034428983</v>
      </c>
      <c r="D879" s="3">
        <v>18.570757374155818</v>
      </c>
      <c r="E879" s="3">
        <v>18.318950734648002</v>
      </c>
      <c r="F879" s="3">
        <v>18.381902694702148</v>
      </c>
      <c r="G879" s="3">
        <v>268100</v>
      </c>
      <c r="H879" s="3">
        <v>0</v>
      </c>
      <c r="I879" s="3">
        <v>0</v>
      </c>
      <c r="J879" s="3" t="str">
        <v>AB</v>
      </c>
      <c r="K879" s="23">
        <v>43270</v>
      </c>
      <c r="L879" s="22">
        <v>18.539278030395508</v>
      </c>
    </row>
    <row r="880" spans="1:12" x14ac:dyDescent="0.25">
      <c r="A880" s="9">
        <v>873</v>
      </c>
      <c r="B880" s="10">
        <v>43272</v>
      </c>
      <c r="C880" s="3">
        <v>18.413378225313274</v>
      </c>
      <c r="D880" s="3">
        <v>18.413378225313274</v>
      </c>
      <c r="E880" s="3">
        <v>18.104914939299064</v>
      </c>
      <c r="F880" s="3">
        <v>18.224523544311523</v>
      </c>
      <c r="G880" s="3">
        <v>308400</v>
      </c>
      <c r="H880" s="3">
        <v>0</v>
      </c>
      <c r="I880" s="3">
        <v>0</v>
      </c>
      <c r="J880" s="3" t="str">
        <v>AB</v>
      </c>
      <c r="K880" s="23">
        <v>43271</v>
      </c>
      <c r="L880" s="22">
        <v>18.381902694702148</v>
      </c>
    </row>
    <row r="881" spans="1:12" x14ac:dyDescent="0.25">
      <c r="A881" s="9">
        <v>874</v>
      </c>
      <c r="B881" s="10">
        <v>43273</v>
      </c>
      <c r="C881" s="3">
        <v>18.287473761512693</v>
      </c>
      <c r="D881" s="3">
        <v>18.381902299920288</v>
      </c>
      <c r="E881" s="3">
        <v>18.193046423813843</v>
      </c>
      <c r="F881" s="3">
        <v>18.350425720214844</v>
      </c>
      <c r="G881" s="3">
        <v>185500</v>
      </c>
      <c r="H881" s="3">
        <v>0</v>
      </c>
      <c r="I881" s="3">
        <v>0</v>
      </c>
      <c r="J881" s="3" t="str">
        <v>AB</v>
      </c>
      <c r="K881" s="23">
        <v>43272</v>
      </c>
      <c r="L881" s="22">
        <v>18.224523544311523</v>
      </c>
    </row>
    <row r="882" spans="1:12" x14ac:dyDescent="0.25">
      <c r="A882" s="9">
        <v>875</v>
      </c>
      <c r="B882" s="10">
        <v>43276</v>
      </c>
      <c r="C882" s="3">
        <v>18.318946955300643</v>
      </c>
      <c r="D882" s="3">
        <v>18.318946955300643</v>
      </c>
      <c r="E882" s="3">
        <v>17.972711846788332</v>
      </c>
      <c r="F882" s="3">
        <v>18.161567687988281</v>
      </c>
      <c r="G882" s="3">
        <v>216400</v>
      </c>
      <c r="H882" s="3">
        <v>0</v>
      </c>
      <c r="I882" s="3">
        <v>0</v>
      </c>
      <c r="J882" s="3" t="str">
        <v>AB</v>
      </c>
      <c r="K882" s="23">
        <v>43273</v>
      </c>
      <c r="L882" s="22">
        <v>18.350425720214844</v>
      </c>
    </row>
    <row r="883" spans="1:12" x14ac:dyDescent="0.25">
      <c r="A883" s="9">
        <v>876</v>
      </c>
      <c r="B883" s="10">
        <v>43277</v>
      </c>
      <c r="C883" s="3">
        <v>18.25599899484062</v>
      </c>
      <c r="D883" s="3">
        <v>18.25599899484062</v>
      </c>
      <c r="E883" s="3">
        <v>17.815336469854056</v>
      </c>
      <c r="F883" s="3">
        <v>18.004192352294922</v>
      </c>
      <c r="G883" s="3">
        <v>330800</v>
      </c>
      <c r="H883" s="3">
        <v>0</v>
      </c>
      <c r="I883" s="3">
        <v>0</v>
      </c>
      <c r="J883" s="3" t="str">
        <v>AB</v>
      </c>
      <c r="K883" s="23">
        <v>43276</v>
      </c>
      <c r="L883" s="22">
        <v>18.161567687988281</v>
      </c>
    </row>
    <row r="884" spans="1:12" x14ac:dyDescent="0.25">
      <c r="A884" s="9">
        <v>877</v>
      </c>
      <c r="B884" s="10">
        <v>43278</v>
      </c>
      <c r="C884" s="3">
        <v>17.941238315222812</v>
      </c>
      <c r="D884" s="3">
        <v>18.098617598689678</v>
      </c>
      <c r="E884" s="3">
        <v>17.81533440816586</v>
      </c>
      <c r="F884" s="3">
        <v>17.878286361694336</v>
      </c>
      <c r="G884" s="3">
        <v>318000</v>
      </c>
      <c r="H884" s="3">
        <v>0</v>
      </c>
      <c r="I884" s="3">
        <v>0</v>
      </c>
      <c r="J884" s="3" t="str">
        <v>AB</v>
      </c>
      <c r="K884" s="23">
        <v>43277</v>
      </c>
      <c r="L884" s="22">
        <v>18.004192352294922</v>
      </c>
    </row>
    <row r="885" spans="1:12" x14ac:dyDescent="0.25">
      <c r="A885" s="9">
        <v>878</v>
      </c>
      <c r="B885" s="10">
        <v>43279</v>
      </c>
      <c r="C885" s="3">
        <v>17.846811246353841</v>
      </c>
      <c r="D885" s="3">
        <v>18.098617863442612</v>
      </c>
      <c r="E885" s="3">
        <v>17.846811246353841</v>
      </c>
      <c r="F885" s="3">
        <v>18.067142486572266</v>
      </c>
      <c r="G885" s="3">
        <v>281400</v>
      </c>
      <c r="H885" s="3">
        <v>0</v>
      </c>
      <c r="I885" s="3">
        <v>0</v>
      </c>
      <c r="J885" s="3" t="str">
        <v>AB</v>
      </c>
      <c r="K885" s="23">
        <v>43278</v>
      </c>
      <c r="L885" s="22">
        <v>17.878286361694336</v>
      </c>
    </row>
    <row r="886" spans="1:12" x14ac:dyDescent="0.25">
      <c r="A886" s="9">
        <v>879</v>
      </c>
      <c r="B886" s="10">
        <v>43280</v>
      </c>
      <c r="C886" s="3">
        <v>18.098617375966551</v>
      </c>
      <c r="D886" s="3">
        <v>18.193044704742913</v>
      </c>
      <c r="E886" s="3">
        <v>17.878286141682626</v>
      </c>
      <c r="F886" s="3">
        <v>17.972713470458984</v>
      </c>
      <c r="G886" s="3">
        <v>259000</v>
      </c>
      <c r="H886" s="3">
        <v>0</v>
      </c>
      <c r="I886" s="3">
        <v>0</v>
      </c>
      <c r="J886" s="3" t="str">
        <v>AB</v>
      </c>
      <c r="K886" s="23">
        <v>43279</v>
      </c>
      <c r="L886" s="22">
        <v>18.067142486572266</v>
      </c>
    </row>
    <row r="887" spans="1:12" x14ac:dyDescent="0.25">
      <c r="A887" s="9">
        <v>880</v>
      </c>
      <c r="B887" s="10">
        <v>43283</v>
      </c>
      <c r="C887" s="3">
        <v>17.909766357206312</v>
      </c>
      <c r="D887" s="3">
        <v>18.161573018673295</v>
      </c>
      <c r="E887" s="3">
        <v>17.878289774079892</v>
      </c>
      <c r="F887" s="3">
        <v>18.130096435546875</v>
      </c>
      <c r="G887" s="3">
        <v>301500</v>
      </c>
      <c r="H887" s="3">
        <v>0</v>
      </c>
      <c r="I887" s="3">
        <v>0</v>
      </c>
      <c r="J887" s="3" t="str">
        <v>AB</v>
      </c>
      <c r="K887" s="23">
        <v>43280</v>
      </c>
      <c r="L887" s="22">
        <v>17.972713470458984</v>
      </c>
    </row>
    <row r="888" spans="1:12" x14ac:dyDescent="0.25">
      <c r="A888" s="9">
        <v>881</v>
      </c>
      <c r="B888" s="10">
        <v>43284</v>
      </c>
      <c r="C888" s="3">
        <v>18.1300911366985</v>
      </c>
      <c r="D888" s="3">
        <v>18.224519657770433</v>
      </c>
      <c r="E888" s="3">
        <v>17.909761122753384</v>
      </c>
      <c r="F888" s="3">
        <v>17.94123649597168</v>
      </c>
      <c r="G888" s="3">
        <v>193400</v>
      </c>
      <c r="H888" s="3">
        <v>0</v>
      </c>
      <c r="I888" s="3">
        <v>0</v>
      </c>
      <c r="J888" s="3" t="str">
        <v>AB</v>
      </c>
      <c r="K888" s="23">
        <v>43283</v>
      </c>
      <c r="L888" s="22">
        <v>18.130096435546875</v>
      </c>
    </row>
    <row r="889" spans="1:12" x14ac:dyDescent="0.25">
      <c r="A889" s="9">
        <v>882</v>
      </c>
      <c r="B889" s="10">
        <v>43286</v>
      </c>
      <c r="C889" s="3">
        <v>18.035665600338909</v>
      </c>
      <c r="D889" s="3">
        <v>18.287472213118377</v>
      </c>
      <c r="E889" s="3">
        <v>17.941238270635189</v>
      </c>
      <c r="F889" s="3">
        <v>18.098617553710938</v>
      </c>
      <c r="G889" s="3">
        <v>210900</v>
      </c>
      <c r="H889" s="3">
        <v>0</v>
      </c>
      <c r="I889" s="3">
        <v>0</v>
      </c>
      <c r="J889" s="3" t="str">
        <v>AB</v>
      </c>
      <c r="K889" s="23">
        <v>43284</v>
      </c>
      <c r="L889" s="22">
        <v>17.94123649597168</v>
      </c>
    </row>
    <row r="890" spans="1:12" x14ac:dyDescent="0.25">
      <c r="A890" s="9">
        <v>883</v>
      </c>
      <c r="B890" s="10">
        <v>43287</v>
      </c>
      <c r="C890" s="3">
        <v>18.193046733528512</v>
      </c>
      <c r="D890" s="3">
        <v>18.381902612850002</v>
      </c>
      <c r="E890" s="3">
        <v>18.035667434448321</v>
      </c>
      <c r="F890" s="3">
        <v>18.318950653076172</v>
      </c>
      <c r="G890" s="3">
        <v>192600</v>
      </c>
      <c r="H890" s="3">
        <v>0</v>
      </c>
      <c r="I890" s="3">
        <v>0</v>
      </c>
      <c r="J890" s="3" t="str">
        <v>AB</v>
      </c>
      <c r="K890" s="23">
        <v>43286</v>
      </c>
      <c r="L890" s="22">
        <v>18.098617553710938</v>
      </c>
    </row>
    <row r="891" spans="1:12" x14ac:dyDescent="0.25">
      <c r="A891" s="9">
        <v>884</v>
      </c>
      <c r="B891" s="10">
        <v>43290</v>
      </c>
      <c r="C891" s="3">
        <v>18.41336994318242</v>
      </c>
      <c r="D891" s="3">
        <v>18.539273807692602</v>
      </c>
      <c r="E891" s="3">
        <v>18.3189426451539</v>
      </c>
      <c r="F891" s="3">
        <v>18.507797241210938</v>
      </c>
      <c r="G891" s="3">
        <v>158600</v>
      </c>
      <c r="H891" s="3">
        <v>0</v>
      </c>
      <c r="I891" s="3">
        <v>0</v>
      </c>
      <c r="J891" s="3" t="str">
        <v>AB</v>
      </c>
      <c r="K891" s="23">
        <v>43287</v>
      </c>
      <c r="L891" s="22">
        <v>18.318950653076172</v>
      </c>
    </row>
    <row r="892" spans="1:12" x14ac:dyDescent="0.25">
      <c r="A892" s="9">
        <v>885</v>
      </c>
      <c r="B892" s="10">
        <v>43291</v>
      </c>
      <c r="C892" s="3">
        <v>18.633707046508789</v>
      </c>
      <c r="D892" s="3">
        <v>18.665182422317177</v>
      </c>
      <c r="E892" s="3">
        <v>18.495212511251193</v>
      </c>
      <c r="F892" s="3">
        <v>18.633707046508789</v>
      </c>
      <c r="G892" s="3">
        <v>282800</v>
      </c>
      <c r="H892" s="3">
        <v>0</v>
      </c>
      <c r="I892" s="3">
        <v>0</v>
      </c>
      <c r="J892" s="3" t="str">
        <v>AB</v>
      </c>
      <c r="K892" s="23">
        <v>43290</v>
      </c>
      <c r="L892" s="22">
        <v>18.507797241210938</v>
      </c>
    </row>
    <row r="893" spans="1:12" x14ac:dyDescent="0.25">
      <c r="A893" s="9">
        <v>886</v>
      </c>
      <c r="B893" s="10">
        <v>43292</v>
      </c>
      <c r="C893" s="3">
        <v>18.570757291462726</v>
      </c>
      <c r="D893" s="3">
        <v>18.60223267099526</v>
      </c>
      <c r="E893" s="3">
        <v>18.255998693302342</v>
      </c>
      <c r="F893" s="3">
        <v>18.318950653076172</v>
      </c>
      <c r="G893" s="3">
        <v>219600</v>
      </c>
      <c r="H893" s="3">
        <v>0</v>
      </c>
      <c r="I893" s="3">
        <v>0</v>
      </c>
      <c r="J893" s="3" t="str">
        <v>AB</v>
      </c>
      <c r="K893" s="23">
        <v>43291</v>
      </c>
      <c r="L893" s="22">
        <v>18.633707046508789</v>
      </c>
    </row>
    <row r="894" spans="1:12" x14ac:dyDescent="0.25">
      <c r="A894" s="9">
        <v>887</v>
      </c>
      <c r="B894" s="10">
        <v>43293</v>
      </c>
      <c r="C894" s="3">
        <v>18.287470381413058</v>
      </c>
      <c r="D894" s="3">
        <v>18.375603587589776</v>
      </c>
      <c r="E894" s="3">
        <v>18.067140367742567</v>
      </c>
      <c r="F894" s="3">
        <v>18.161567687988281</v>
      </c>
      <c r="G894" s="3">
        <v>247700</v>
      </c>
      <c r="H894" s="3">
        <v>0</v>
      </c>
      <c r="I894" s="3">
        <v>0</v>
      </c>
      <c r="J894" s="3" t="str">
        <v>AB</v>
      </c>
      <c r="K894" s="23">
        <v>43292</v>
      </c>
      <c r="L894" s="22">
        <v>18.318950653076172</v>
      </c>
    </row>
    <row r="895" spans="1:12" x14ac:dyDescent="0.25">
      <c r="A895" s="9">
        <v>888</v>
      </c>
      <c r="B895" s="10">
        <v>43294</v>
      </c>
      <c r="C895" s="3">
        <v>18.130090601032951</v>
      </c>
      <c r="D895" s="3">
        <v>18.444849126750249</v>
      </c>
      <c r="E895" s="3">
        <v>18.130090601032951</v>
      </c>
      <c r="F895" s="3">
        <v>18.287469863891602</v>
      </c>
      <c r="G895" s="3">
        <v>145300</v>
      </c>
      <c r="H895" s="3">
        <v>0</v>
      </c>
      <c r="I895" s="3">
        <v>0</v>
      </c>
      <c r="J895" s="3" t="str">
        <v>AB</v>
      </c>
      <c r="K895" s="23">
        <v>43293</v>
      </c>
      <c r="L895" s="22">
        <v>18.161567687988281</v>
      </c>
    </row>
    <row r="896" spans="1:12" x14ac:dyDescent="0.25">
      <c r="A896" s="9">
        <v>889</v>
      </c>
      <c r="B896" s="10">
        <v>43297</v>
      </c>
      <c r="C896" s="3">
        <v>18.224520892755081</v>
      </c>
      <c r="D896" s="3">
        <v>18.507802873041914</v>
      </c>
      <c r="E896" s="3">
        <v>18.193044316695254</v>
      </c>
      <c r="F896" s="3">
        <v>18.444850921630859</v>
      </c>
      <c r="G896" s="3">
        <v>149800</v>
      </c>
      <c r="H896" s="3">
        <v>0</v>
      </c>
      <c r="I896" s="3">
        <v>0</v>
      </c>
      <c r="J896" s="3" t="str">
        <v>AB</v>
      </c>
      <c r="K896" s="23">
        <v>43294</v>
      </c>
      <c r="L896" s="22">
        <v>18.287469863891602</v>
      </c>
    </row>
    <row r="897" spans="1:12" x14ac:dyDescent="0.25">
      <c r="A897" s="9">
        <v>890</v>
      </c>
      <c r="B897" s="10">
        <v>43298</v>
      </c>
      <c r="C897" s="3">
        <v>18.444851100837447</v>
      </c>
      <c r="D897" s="3">
        <v>18.684068278381915</v>
      </c>
      <c r="E897" s="3">
        <v>18.444851100837447</v>
      </c>
      <c r="F897" s="3">
        <v>18.570755004882813</v>
      </c>
      <c r="G897" s="3">
        <v>167100</v>
      </c>
      <c r="H897" s="3">
        <v>0</v>
      </c>
      <c r="I897" s="3">
        <v>0</v>
      </c>
      <c r="J897" s="3" t="str">
        <v>AB</v>
      </c>
      <c r="K897" s="23">
        <v>43297</v>
      </c>
      <c r="L897" s="22">
        <v>18.444850921630859</v>
      </c>
    </row>
    <row r="898" spans="1:12" x14ac:dyDescent="0.25">
      <c r="A898" s="9">
        <v>891</v>
      </c>
      <c r="B898" s="10">
        <v>43299</v>
      </c>
      <c r="C898" s="3">
        <v>18.5392792862398</v>
      </c>
      <c r="D898" s="3">
        <v>18.948465165754165</v>
      </c>
      <c r="E898" s="3">
        <v>18.5392792862398</v>
      </c>
      <c r="F898" s="3">
        <v>18.822561264038086</v>
      </c>
      <c r="G898" s="3">
        <v>188800</v>
      </c>
      <c r="H898" s="3">
        <v>0</v>
      </c>
      <c r="I898" s="3">
        <v>0</v>
      </c>
      <c r="J898" s="3" t="str">
        <v>AB</v>
      </c>
      <c r="K898" s="23">
        <v>43298</v>
      </c>
      <c r="L898" s="22">
        <v>18.570755004882813</v>
      </c>
    </row>
    <row r="899" spans="1:12" x14ac:dyDescent="0.25">
      <c r="A899" s="9">
        <v>892</v>
      </c>
      <c r="B899" s="10">
        <v>43300</v>
      </c>
      <c r="C899" s="3">
        <v>18.759607508709937</v>
      </c>
      <c r="D899" s="3">
        <v>18.935872714015932</v>
      </c>
      <c r="E899" s="3">
        <v>18.759607508709937</v>
      </c>
      <c r="F899" s="3">
        <v>18.88551139831543</v>
      </c>
      <c r="G899" s="3">
        <v>195300</v>
      </c>
      <c r="H899" s="3">
        <v>0</v>
      </c>
      <c r="I899" s="3">
        <v>0</v>
      </c>
      <c r="J899" s="3" t="str">
        <v>AB</v>
      </c>
      <c r="K899" s="23">
        <v>43299</v>
      </c>
      <c r="L899" s="22">
        <v>18.822561264038086</v>
      </c>
    </row>
    <row r="900" spans="1:12" x14ac:dyDescent="0.25">
      <c r="A900" s="9">
        <v>893</v>
      </c>
      <c r="B900" s="10">
        <v>43301</v>
      </c>
      <c r="C900" s="3">
        <v>18.854037839821402</v>
      </c>
      <c r="D900" s="3">
        <v>18.948465165754165</v>
      </c>
      <c r="E900" s="3">
        <v>18.728133938105326</v>
      </c>
      <c r="F900" s="3">
        <v>18.822561264038086</v>
      </c>
      <c r="G900" s="3">
        <v>215000</v>
      </c>
      <c r="H900" s="3">
        <v>0</v>
      </c>
      <c r="I900" s="3">
        <v>0</v>
      </c>
      <c r="J900" s="3" t="str">
        <v>AB</v>
      </c>
      <c r="K900" s="23">
        <v>43300</v>
      </c>
      <c r="L900" s="22">
        <v>18.88551139831543</v>
      </c>
    </row>
    <row r="901" spans="1:12" x14ac:dyDescent="0.25">
      <c r="A901" s="9">
        <v>894</v>
      </c>
      <c r="B901" s="10">
        <v>43304</v>
      </c>
      <c r="C901" s="3">
        <v>18.948468926080075</v>
      </c>
      <c r="D901" s="3">
        <v>19.187684945962758</v>
      </c>
      <c r="E901" s="3">
        <v>18.854041581408193</v>
      </c>
      <c r="F901" s="3">
        <v>19.042896270751953</v>
      </c>
      <c r="G901" s="3">
        <v>683700</v>
      </c>
      <c r="H901" s="3">
        <v>0</v>
      </c>
      <c r="I901" s="3">
        <v>0</v>
      </c>
      <c r="J901" s="3" t="str">
        <v>AB</v>
      </c>
      <c r="K901" s="23">
        <v>43301</v>
      </c>
      <c r="L901" s="22">
        <v>18.822561264038086</v>
      </c>
    </row>
    <row r="902" spans="1:12" x14ac:dyDescent="0.25">
      <c r="A902" s="9">
        <v>895</v>
      </c>
      <c r="B902" s="10">
        <v>43305</v>
      </c>
      <c r="C902" s="3">
        <v>19.168797964924913</v>
      </c>
      <c r="D902" s="3">
        <v>19.326177254618191</v>
      </c>
      <c r="E902" s="3">
        <v>19.011418675231631</v>
      </c>
      <c r="F902" s="3">
        <v>19.074369430541992</v>
      </c>
      <c r="G902" s="3">
        <v>287400</v>
      </c>
      <c r="H902" s="3">
        <v>0</v>
      </c>
      <c r="I902" s="3">
        <v>0</v>
      </c>
      <c r="J902" s="3" t="str">
        <v>AB</v>
      </c>
      <c r="K902" s="23">
        <v>43304</v>
      </c>
      <c r="L902" s="22">
        <v>19.042896270751953</v>
      </c>
    </row>
    <row r="903" spans="1:12" x14ac:dyDescent="0.25">
      <c r="A903" s="9">
        <v>896</v>
      </c>
      <c r="B903" s="10">
        <v>43306</v>
      </c>
      <c r="C903" s="3">
        <v>19.105840779207817</v>
      </c>
      <c r="D903" s="3">
        <v>19.20026808703517</v>
      </c>
      <c r="E903" s="3">
        <v>18.885509593805086</v>
      </c>
      <c r="F903" s="3">
        <v>18.948461532592773</v>
      </c>
      <c r="G903" s="3">
        <v>464200</v>
      </c>
      <c r="H903" s="3">
        <v>0</v>
      </c>
      <c r="I903" s="3">
        <v>0</v>
      </c>
      <c r="J903" s="3" t="str">
        <v>AB</v>
      </c>
      <c r="K903" s="23">
        <v>43305</v>
      </c>
      <c r="L903" s="22">
        <v>19.074369430541992</v>
      </c>
    </row>
    <row r="904" spans="1:12" x14ac:dyDescent="0.25">
      <c r="A904" s="9">
        <v>897</v>
      </c>
      <c r="B904" s="10">
        <v>43307</v>
      </c>
      <c r="C904" s="3">
        <v>19.200271514845792</v>
      </c>
      <c r="D904" s="3">
        <v>19.389126164216581</v>
      </c>
      <c r="E904" s="3">
        <v>19.011416865475002</v>
      </c>
      <c r="F904" s="3">
        <v>19.137319564819336</v>
      </c>
      <c r="G904" s="3">
        <v>324700</v>
      </c>
      <c r="H904" s="3">
        <v>0</v>
      </c>
      <c r="I904" s="3">
        <v>0</v>
      </c>
      <c r="J904" s="3" t="str">
        <v>AB</v>
      </c>
      <c r="K904" s="23">
        <v>43306</v>
      </c>
      <c r="L904" s="22">
        <v>18.948461532592773</v>
      </c>
    </row>
    <row r="905" spans="1:12" x14ac:dyDescent="0.25">
      <c r="A905" s="9">
        <v>898</v>
      </c>
      <c r="B905" s="10">
        <v>43308</v>
      </c>
      <c r="C905" s="3">
        <v>19.200273342580093</v>
      </c>
      <c r="D905" s="3">
        <v>19.23174872023527</v>
      </c>
      <c r="E905" s="3">
        <v>19.042894052886812</v>
      </c>
      <c r="F905" s="3">
        <v>19.074369430541992</v>
      </c>
      <c r="G905" s="3">
        <v>265800</v>
      </c>
      <c r="H905" s="3">
        <v>0</v>
      </c>
      <c r="I905" s="3">
        <v>0</v>
      </c>
      <c r="J905" s="3" t="str">
        <v>AB</v>
      </c>
      <c r="K905" s="23">
        <v>43307</v>
      </c>
      <c r="L905" s="22">
        <v>19.137319564819336</v>
      </c>
    </row>
    <row r="906" spans="1:12" x14ac:dyDescent="0.25">
      <c r="A906" s="9">
        <v>899</v>
      </c>
      <c r="B906" s="10">
        <v>43311</v>
      </c>
      <c r="C906" s="3">
        <v>19.200270004140421</v>
      </c>
      <c r="D906" s="3">
        <v>19.294697321396136</v>
      </c>
      <c r="E906" s="3">
        <v>19.105842686884703</v>
      </c>
      <c r="F906" s="3">
        <v>19.168794631958008</v>
      </c>
      <c r="G906" s="3">
        <v>471600</v>
      </c>
      <c r="H906" s="3">
        <v>0</v>
      </c>
      <c r="I906" s="3">
        <v>0</v>
      </c>
      <c r="J906" s="3" t="str">
        <v>AB</v>
      </c>
      <c r="K906" s="23">
        <v>43308</v>
      </c>
      <c r="L906" s="22">
        <v>19.074369430541992</v>
      </c>
    </row>
    <row r="907" spans="1:12" x14ac:dyDescent="0.25">
      <c r="A907" s="9">
        <v>900</v>
      </c>
      <c r="B907" s="10">
        <v>43312</v>
      </c>
      <c r="C907" s="3">
        <v>19.200272043486539</v>
      </c>
      <c r="D907" s="3">
        <v>19.26322399524625</v>
      </c>
      <c r="E907" s="3">
        <v>18.916988860922146</v>
      </c>
      <c r="F907" s="3">
        <v>19.011417388916016</v>
      </c>
      <c r="G907" s="3">
        <v>473800</v>
      </c>
      <c r="H907" s="3">
        <v>0</v>
      </c>
      <c r="I907" s="3">
        <v>0</v>
      </c>
      <c r="J907" s="3" t="str">
        <v>AB</v>
      </c>
      <c r="K907" s="23">
        <v>43311</v>
      </c>
      <c r="L907" s="22">
        <v>19.168794631958008</v>
      </c>
    </row>
    <row r="908" spans="1:12" x14ac:dyDescent="0.25">
      <c r="A908" s="9">
        <v>901</v>
      </c>
      <c r="B908" s="10">
        <v>43313</v>
      </c>
      <c r="C908" s="3">
        <v>19.074364510712293</v>
      </c>
      <c r="D908" s="3">
        <v>19.200268390276147</v>
      </c>
      <c r="E908" s="3">
        <v>18.602226763410421</v>
      </c>
      <c r="F908" s="3">
        <v>18.6966552734375</v>
      </c>
      <c r="G908" s="3">
        <v>471500</v>
      </c>
      <c r="H908" s="3">
        <v>0</v>
      </c>
      <c r="I908" s="3">
        <v>0</v>
      </c>
      <c r="J908" s="3" t="str">
        <v>AB</v>
      </c>
      <c r="K908" s="23">
        <v>43312</v>
      </c>
      <c r="L908" s="22">
        <v>19.011417388916016</v>
      </c>
    </row>
    <row r="909" spans="1:12" x14ac:dyDescent="0.25">
      <c r="A909" s="9">
        <v>902</v>
      </c>
      <c r="B909" s="10">
        <v>43314</v>
      </c>
      <c r="C909" s="3">
        <v>18.633705315508934</v>
      </c>
      <c r="D909" s="3">
        <v>18.633705315508934</v>
      </c>
      <c r="E909" s="3">
        <v>17.815332412719727</v>
      </c>
      <c r="F909" s="3">
        <v>17.815332412719727</v>
      </c>
      <c r="G909" s="3">
        <v>911800</v>
      </c>
      <c r="H909" s="3">
        <v>0</v>
      </c>
      <c r="I909" s="3">
        <v>0</v>
      </c>
      <c r="J909" s="3" t="str">
        <v>AB</v>
      </c>
      <c r="K909" s="23">
        <v>43313</v>
      </c>
      <c r="L909" s="22">
        <v>18.6966552734375</v>
      </c>
    </row>
    <row r="910" spans="1:12" x14ac:dyDescent="0.25">
      <c r="A910" s="9">
        <v>903</v>
      </c>
      <c r="B910" s="10">
        <v>43315</v>
      </c>
      <c r="C910" s="3">
        <v>17.82820465173549</v>
      </c>
      <c r="D910" s="3">
        <v>18.246555767386436</v>
      </c>
      <c r="E910" s="3">
        <v>17.641554993655717</v>
      </c>
      <c r="F910" s="3">
        <v>18.085651397705078</v>
      </c>
      <c r="G910" s="3">
        <v>541400</v>
      </c>
      <c r="H910" s="3">
        <v>0.62</v>
      </c>
      <c r="I910" s="3">
        <v>0</v>
      </c>
      <c r="J910" s="3" t="str">
        <v>AB</v>
      </c>
      <c r="K910" s="23">
        <v>43314</v>
      </c>
      <c r="L910" s="22">
        <v>17.815332412719727</v>
      </c>
    </row>
    <row r="911" spans="1:12" x14ac:dyDescent="0.25">
      <c r="A911" s="9">
        <v>904</v>
      </c>
      <c r="B911" s="10">
        <v>43318</v>
      </c>
      <c r="C911" s="3">
        <v>18.085659905037634</v>
      </c>
      <c r="D911" s="3">
        <v>18.536191615509765</v>
      </c>
      <c r="E911" s="3">
        <v>18.02773420649638</v>
      </c>
      <c r="F911" s="3">
        <v>18.407468795776367</v>
      </c>
      <c r="G911" s="3">
        <v>258000</v>
      </c>
      <c r="H911" s="3">
        <v>0</v>
      </c>
      <c r="I911" s="3">
        <v>0</v>
      </c>
      <c r="J911" s="3" t="str">
        <v>AB</v>
      </c>
      <c r="K911" s="23">
        <v>43315</v>
      </c>
      <c r="L911" s="22">
        <v>18.085651397705078</v>
      </c>
    </row>
    <row r="912" spans="1:12" x14ac:dyDescent="0.25">
      <c r="A912" s="9">
        <v>905</v>
      </c>
      <c r="B912" s="10">
        <v>43319</v>
      </c>
      <c r="C912" s="3">
        <v>18.471823094350881</v>
      </c>
      <c r="D912" s="3">
        <v>18.986716613158041</v>
      </c>
      <c r="E912" s="3">
        <v>18.407461097599239</v>
      </c>
      <c r="F912" s="3">
        <v>18.697088241577148</v>
      </c>
      <c r="G912" s="3">
        <v>319400</v>
      </c>
      <c r="H912" s="3">
        <v>0</v>
      </c>
      <c r="I912" s="3">
        <v>0</v>
      </c>
      <c r="J912" s="3" t="str">
        <v>AB</v>
      </c>
      <c r="K912" s="23">
        <v>43318</v>
      </c>
      <c r="L912" s="22">
        <v>18.407468795776367</v>
      </c>
    </row>
    <row r="913" spans="1:12" x14ac:dyDescent="0.25">
      <c r="A913" s="9">
        <v>906</v>
      </c>
      <c r="B913" s="10">
        <v>43320</v>
      </c>
      <c r="C913" s="3">
        <v>18.664908878364159</v>
      </c>
      <c r="D913" s="3">
        <v>19.051079652402649</v>
      </c>
      <c r="E913" s="3">
        <v>18.632728492028889</v>
      </c>
      <c r="F913" s="3">
        <v>18.922355651855469</v>
      </c>
      <c r="G913" s="3">
        <v>207200</v>
      </c>
      <c r="H913" s="3">
        <v>0</v>
      </c>
      <c r="I913" s="3">
        <v>0</v>
      </c>
      <c r="J913" s="3" t="str">
        <v>AB</v>
      </c>
      <c r="K913" s="23">
        <v>43319</v>
      </c>
      <c r="L913" s="22">
        <v>18.697088241577148</v>
      </c>
    </row>
    <row r="914" spans="1:12" x14ac:dyDescent="0.25">
      <c r="A914" s="9">
        <v>907</v>
      </c>
      <c r="B914" s="10">
        <v>43321</v>
      </c>
      <c r="C914" s="3">
        <v>18.922360537786261</v>
      </c>
      <c r="D914" s="3">
        <v>19.083264966215744</v>
      </c>
      <c r="E914" s="3">
        <v>18.890180143141713</v>
      </c>
      <c r="F914" s="3">
        <v>18.95454216003418</v>
      </c>
      <c r="G914" s="3">
        <v>232400</v>
      </c>
      <c r="H914" s="3">
        <v>0</v>
      </c>
      <c r="I914" s="3">
        <v>0</v>
      </c>
      <c r="J914" s="3" t="str">
        <v>AB</v>
      </c>
      <c r="K914" s="23">
        <v>43320</v>
      </c>
      <c r="L914" s="22">
        <v>18.922355651855469</v>
      </c>
    </row>
    <row r="915" spans="1:12" x14ac:dyDescent="0.25">
      <c r="A915" s="9">
        <v>908</v>
      </c>
      <c r="B915" s="10">
        <v>43322</v>
      </c>
      <c r="C915" s="3">
        <v>18.890178680419922</v>
      </c>
      <c r="D915" s="3">
        <v>18.954540692328649</v>
      </c>
      <c r="E915" s="3">
        <v>18.72283794049854</v>
      </c>
      <c r="F915" s="3">
        <v>18.890178680419922</v>
      </c>
      <c r="G915" s="3">
        <v>208400</v>
      </c>
      <c r="H915" s="3">
        <v>0</v>
      </c>
      <c r="I915" s="3">
        <v>0</v>
      </c>
      <c r="J915" s="3" t="str">
        <v>AB</v>
      </c>
      <c r="K915" s="23">
        <v>43321</v>
      </c>
      <c r="L915" s="22">
        <v>18.95454216003418</v>
      </c>
    </row>
    <row r="916" spans="1:12" x14ac:dyDescent="0.25">
      <c r="A916" s="9">
        <v>909</v>
      </c>
      <c r="B916" s="10">
        <v>43325</v>
      </c>
      <c r="C916" s="3">
        <v>18.825813265246609</v>
      </c>
      <c r="D916" s="3">
        <v>19.051079652402649</v>
      </c>
      <c r="E916" s="3">
        <v>18.793632878911339</v>
      </c>
      <c r="F916" s="3">
        <v>18.922355651855469</v>
      </c>
      <c r="G916" s="3">
        <v>224800</v>
      </c>
      <c r="H916" s="3">
        <v>0</v>
      </c>
      <c r="I916" s="3">
        <v>0</v>
      </c>
      <c r="J916" s="3" t="str">
        <v>AB</v>
      </c>
      <c r="K916" s="23">
        <v>43322</v>
      </c>
      <c r="L916" s="22">
        <v>18.890178680419922</v>
      </c>
    </row>
    <row r="917" spans="1:12" x14ac:dyDescent="0.25">
      <c r="A917" s="9">
        <v>910</v>
      </c>
      <c r="B917" s="10">
        <v>43326</v>
      </c>
      <c r="C917" s="3">
        <v>18.986717172577038</v>
      </c>
      <c r="D917" s="3">
        <v>19.276345552691453</v>
      </c>
      <c r="E917" s="3">
        <v>18.922355173929052</v>
      </c>
      <c r="F917" s="3">
        <v>19.179801940917969</v>
      </c>
      <c r="G917" s="3">
        <v>291500</v>
      </c>
      <c r="H917" s="3">
        <v>0</v>
      </c>
      <c r="I917" s="3">
        <v>0</v>
      </c>
      <c r="J917" s="3" t="str">
        <v>AB</v>
      </c>
      <c r="K917" s="23">
        <v>43325</v>
      </c>
      <c r="L917" s="22">
        <v>18.922355651855469</v>
      </c>
    </row>
    <row r="918" spans="1:12" x14ac:dyDescent="0.25">
      <c r="A918" s="9">
        <v>911</v>
      </c>
      <c r="B918" s="10">
        <v>43327</v>
      </c>
      <c r="C918" s="3">
        <v>19.115441195688494</v>
      </c>
      <c r="D918" s="3">
        <v>19.244163965555281</v>
      </c>
      <c r="E918" s="3">
        <v>18.986717198218685</v>
      </c>
      <c r="F918" s="3">
        <v>19.083259582519531</v>
      </c>
      <c r="G918" s="3">
        <v>211400</v>
      </c>
      <c r="H918" s="3">
        <v>0</v>
      </c>
      <c r="I918" s="3">
        <v>0</v>
      </c>
      <c r="J918" s="3" t="str">
        <v>AB</v>
      </c>
      <c r="K918" s="23">
        <v>43326</v>
      </c>
      <c r="L918" s="22">
        <v>19.179801940917969</v>
      </c>
    </row>
    <row r="919" spans="1:12" x14ac:dyDescent="0.25">
      <c r="A919" s="9">
        <v>912</v>
      </c>
      <c r="B919" s="10">
        <v>43328</v>
      </c>
      <c r="C919" s="3">
        <v>19.14762302893218</v>
      </c>
      <c r="D919" s="3">
        <v>19.372889427734361</v>
      </c>
      <c r="E919" s="3">
        <v>19.14762302893218</v>
      </c>
      <c r="F919" s="3">
        <v>19.244165420532227</v>
      </c>
      <c r="G919" s="3">
        <v>298100</v>
      </c>
      <c r="H919" s="3">
        <v>0</v>
      </c>
      <c r="I919" s="3">
        <v>0</v>
      </c>
      <c r="J919" s="3" t="str">
        <v>AB</v>
      </c>
      <c r="K919" s="23">
        <v>43327</v>
      </c>
      <c r="L919" s="22">
        <v>19.083259582519531</v>
      </c>
    </row>
    <row r="920" spans="1:12" x14ac:dyDescent="0.25">
      <c r="A920" s="9">
        <v>913</v>
      </c>
      <c r="B920" s="10">
        <v>43329</v>
      </c>
      <c r="C920" s="3">
        <v>19.17980727129699</v>
      </c>
      <c r="D920" s="3">
        <v>19.340711698833385</v>
      </c>
      <c r="E920" s="3">
        <v>19.147626876831055</v>
      </c>
      <c r="F920" s="3">
        <v>19.147626876831055</v>
      </c>
      <c r="G920" s="3">
        <v>155700</v>
      </c>
      <c r="H920" s="3">
        <v>0</v>
      </c>
      <c r="I920" s="3">
        <v>0</v>
      </c>
      <c r="J920" s="3" t="str">
        <v>AB</v>
      </c>
      <c r="K920" s="23">
        <v>43328</v>
      </c>
      <c r="L920" s="22">
        <v>19.244165420532227</v>
      </c>
    </row>
    <row r="921" spans="1:12" x14ac:dyDescent="0.25">
      <c r="A921" s="9">
        <v>914</v>
      </c>
      <c r="B921" s="10">
        <v>43332</v>
      </c>
      <c r="C921" s="3">
        <v>19.244166496612078</v>
      </c>
      <c r="D921" s="3">
        <v>19.437252518212105</v>
      </c>
      <c r="E921" s="3">
        <v>19.211986106813661</v>
      </c>
      <c r="F921" s="3">
        <v>19.276348114013672</v>
      </c>
      <c r="G921" s="3">
        <v>209500</v>
      </c>
      <c r="H921" s="3">
        <v>0</v>
      </c>
      <c r="I921" s="3">
        <v>0</v>
      </c>
      <c r="J921" s="3" t="str">
        <v>AB</v>
      </c>
      <c r="K921" s="23">
        <v>43329</v>
      </c>
      <c r="L921" s="22">
        <v>19.147626876831055</v>
      </c>
    </row>
    <row r="922" spans="1:12" x14ac:dyDescent="0.25">
      <c r="A922" s="9">
        <v>915</v>
      </c>
      <c r="B922" s="10">
        <v>43333</v>
      </c>
      <c r="C922" s="3">
        <v>19.37288899496113</v>
      </c>
      <c r="D922" s="3">
        <v>19.469431384404501</v>
      </c>
      <c r="E922" s="3">
        <v>19.276346605517755</v>
      </c>
      <c r="F922" s="3">
        <v>19.308526992797852</v>
      </c>
      <c r="G922" s="3">
        <v>252200</v>
      </c>
      <c r="H922" s="3">
        <v>0</v>
      </c>
      <c r="I922" s="3">
        <v>0</v>
      </c>
      <c r="J922" s="3" t="str">
        <v>AB</v>
      </c>
      <c r="K922" s="23">
        <v>43332</v>
      </c>
      <c r="L922" s="22">
        <v>19.276348114013672</v>
      </c>
    </row>
    <row r="923" spans="1:12" x14ac:dyDescent="0.25">
      <c r="A923" s="9">
        <v>916</v>
      </c>
      <c r="B923" s="10">
        <v>43334</v>
      </c>
      <c r="C923" s="3">
        <v>19.244165387496352</v>
      </c>
      <c r="D923" s="3">
        <v>19.405069782421243</v>
      </c>
      <c r="E923" s="3">
        <v>19.179803384005773</v>
      </c>
      <c r="F923" s="3">
        <v>19.340707778930664</v>
      </c>
      <c r="G923" s="3">
        <v>179000</v>
      </c>
      <c r="H923" s="3">
        <v>0</v>
      </c>
      <c r="I923" s="3">
        <v>0</v>
      </c>
      <c r="J923" s="3" t="str">
        <v>AB</v>
      </c>
      <c r="K923" s="23">
        <v>43333</v>
      </c>
      <c r="L923" s="22">
        <v>19.308526992797852</v>
      </c>
    </row>
    <row r="924" spans="1:12" x14ac:dyDescent="0.25">
      <c r="A924" s="9">
        <v>917</v>
      </c>
      <c r="B924" s="10">
        <v>43335</v>
      </c>
      <c r="C924" s="3">
        <v>19.405070900810511</v>
      </c>
      <c r="D924" s="3">
        <v>19.533794915210528</v>
      </c>
      <c r="E924" s="3">
        <v>19.115443709815239</v>
      </c>
      <c r="F924" s="3">
        <v>19.276348114013672</v>
      </c>
      <c r="G924" s="3">
        <v>311300</v>
      </c>
      <c r="H924" s="3">
        <v>0</v>
      </c>
      <c r="I924" s="3">
        <v>0</v>
      </c>
      <c r="J924" s="3" t="str">
        <v>AB</v>
      </c>
      <c r="K924" s="23">
        <v>43334</v>
      </c>
      <c r="L924" s="22">
        <v>19.340707778930664</v>
      </c>
    </row>
    <row r="925" spans="1:12" x14ac:dyDescent="0.25">
      <c r="A925" s="9">
        <v>918</v>
      </c>
      <c r="B925" s="10">
        <v>43336</v>
      </c>
      <c r="C925" s="3">
        <v>19.340706524553195</v>
      </c>
      <c r="D925" s="3">
        <v>19.501610909042331</v>
      </c>
      <c r="E925" s="3">
        <v>19.276345752839962</v>
      </c>
      <c r="F925" s="3">
        <v>19.437250137329102</v>
      </c>
      <c r="G925" s="3">
        <v>285500</v>
      </c>
      <c r="H925" s="3">
        <v>0</v>
      </c>
      <c r="I925" s="3">
        <v>0</v>
      </c>
      <c r="J925" s="3" t="str">
        <v>AB</v>
      </c>
      <c r="K925" s="23">
        <v>43335</v>
      </c>
      <c r="L925" s="22">
        <v>19.276348114013672</v>
      </c>
    </row>
    <row r="926" spans="1:12" x14ac:dyDescent="0.25">
      <c r="A926" s="9">
        <v>919</v>
      </c>
      <c r="B926" s="10">
        <v>43339</v>
      </c>
      <c r="C926" s="3">
        <v>19.469435756803971</v>
      </c>
      <c r="D926" s="3">
        <v>19.759064217781244</v>
      </c>
      <c r="E926" s="3">
        <v>19.469435756803971</v>
      </c>
      <c r="F926" s="3">
        <v>19.598159790039063</v>
      </c>
      <c r="G926" s="3">
        <v>300200</v>
      </c>
      <c r="H926" s="3">
        <v>0</v>
      </c>
      <c r="I926" s="3">
        <v>0</v>
      </c>
      <c r="J926" s="3" t="str">
        <v>AB</v>
      </c>
      <c r="K926" s="23">
        <v>43336</v>
      </c>
      <c r="L926" s="22">
        <v>19.437250137329102</v>
      </c>
    </row>
    <row r="927" spans="1:12" x14ac:dyDescent="0.25">
      <c r="A927" s="9">
        <v>920</v>
      </c>
      <c r="B927" s="10">
        <v>43340</v>
      </c>
      <c r="C927" s="3">
        <v>19.662519997141235</v>
      </c>
      <c r="D927" s="3">
        <v>19.662519997141235</v>
      </c>
      <c r="E927" s="3">
        <v>19.244168742913335</v>
      </c>
      <c r="F927" s="3">
        <v>19.405073165893555</v>
      </c>
      <c r="G927" s="3">
        <v>345300</v>
      </c>
      <c r="H927" s="3">
        <v>0</v>
      </c>
      <c r="I927" s="3">
        <v>0</v>
      </c>
      <c r="J927" s="3" t="str">
        <v>AB</v>
      </c>
      <c r="K927" s="23">
        <v>43339</v>
      </c>
      <c r="L927" s="22">
        <v>19.598159790039063</v>
      </c>
    </row>
    <row r="928" spans="1:12" x14ac:dyDescent="0.25">
      <c r="A928" s="9">
        <v>921</v>
      </c>
      <c r="B928" s="10">
        <v>43341</v>
      </c>
      <c r="C928" s="3">
        <v>19.340706524553195</v>
      </c>
      <c r="D928" s="3">
        <v>19.501610909042331</v>
      </c>
      <c r="E928" s="3">
        <v>19.115441368350826</v>
      </c>
      <c r="F928" s="3">
        <v>19.437250137329102</v>
      </c>
      <c r="G928" s="3">
        <v>306500</v>
      </c>
      <c r="H928" s="3">
        <v>0</v>
      </c>
      <c r="I928" s="3">
        <v>0</v>
      </c>
      <c r="J928" s="3" t="str">
        <v>AB</v>
      </c>
      <c r="K928" s="23">
        <v>43340</v>
      </c>
      <c r="L928" s="22">
        <v>19.405073165893555</v>
      </c>
    </row>
    <row r="929" spans="1:12" x14ac:dyDescent="0.25">
      <c r="A929" s="9">
        <v>922</v>
      </c>
      <c r="B929" s="10">
        <v>43342</v>
      </c>
      <c r="C929" s="3">
        <v>19.437251431335426</v>
      </c>
      <c r="D929" s="3">
        <v>19.469431819334403</v>
      </c>
      <c r="E929" s="3">
        <v>19.179803416931158</v>
      </c>
      <c r="F929" s="3">
        <v>19.244165420532227</v>
      </c>
      <c r="G929" s="3">
        <v>205400</v>
      </c>
      <c r="H929" s="3">
        <v>0</v>
      </c>
      <c r="I929" s="3">
        <v>0</v>
      </c>
      <c r="J929" s="3" t="str">
        <v>AB</v>
      </c>
      <c r="K929" s="23">
        <v>43341</v>
      </c>
      <c r="L929" s="22">
        <v>19.437250137329102</v>
      </c>
    </row>
    <row r="930" spans="1:12" x14ac:dyDescent="0.25">
      <c r="A930" s="9">
        <v>923</v>
      </c>
      <c r="B930" s="10">
        <v>43343</v>
      </c>
      <c r="C930" s="3">
        <v>19.244165387496352</v>
      </c>
      <c r="D930" s="3">
        <v>19.450122816583715</v>
      </c>
      <c r="E930" s="3">
        <v>19.154059319171409</v>
      </c>
      <c r="F930" s="3">
        <v>19.340707778930664</v>
      </c>
      <c r="G930" s="3">
        <v>169400</v>
      </c>
      <c r="H930" s="3">
        <v>0</v>
      </c>
      <c r="I930" s="3">
        <v>0</v>
      </c>
      <c r="J930" s="3" t="str">
        <v>AB</v>
      </c>
      <c r="K930" s="23">
        <v>43342</v>
      </c>
      <c r="L930" s="22">
        <v>19.244165420532227</v>
      </c>
    </row>
    <row r="931" spans="1:12" x14ac:dyDescent="0.25">
      <c r="A931" s="9">
        <v>924</v>
      </c>
      <c r="B931" s="10">
        <v>43347</v>
      </c>
      <c r="C931" s="3">
        <v>19.276345552691453</v>
      </c>
      <c r="D931" s="3">
        <v>19.437249935509904</v>
      </c>
      <c r="E931" s="3">
        <v>19.147621555395485</v>
      </c>
      <c r="F931" s="3">
        <v>19.179801940917969</v>
      </c>
      <c r="G931" s="3">
        <v>218300</v>
      </c>
      <c r="H931" s="3">
        <v>0</v>
      </c>
      <c r="I931" s="3">
        <v>0</v>
      </c>
      <c r="J931" s="3" t="str">
        <v>AB</v>
      </c>
      <c r="K931" s="23">
        <v>43343</v>
      </c>
      <c r="L931" s="22">
        <v>19.340707778930664</v>
      </c>
    </row>
    <row r="932" spans="1:12" x14ac:dyDescent="0.25">
      <c r="A932" s="9">
        <v>925</v>
      </c>
      <c r="B932" s="10">
        <v>43348</v>
      </c>
      <c r="C932" s="3">
        <v>19.179805859342338</v>
      </c>
      <c r="D932" s="3">
        <v>19.630338714318832</v>
      </c>
      <c r="E932" s="3">
        <v>19.179805859342338</v>
      </c>
      <c r="F932" s="3">
        <v>19.533796310424805</v>
      </c>
      <c r="G932" s="3">
        <v>262300</v>
      </c>
      <c r="H932" s="3">
        <v>0</v>
      </c>
      <c r="I932" s="3">
        <v>0</v>
      </c>
      <c r="J932" s="3" t="str">
        <v>AB</v>
      </c>
      <c r="K932" s="23">
        <v>43347</v>
      </c>
      <c r="L932" s="22">
        <v>19.179801940917969</v>
      </c>
    </row>
    <row r="933" spans="1:12" x14ac:dyDescent="0.25">
      <c r="A933" s="9">
        <v>926</v>
      </c>
      <c r="B933" s="10">
        <v>43349</v>
      </c>
      <c r="C933" s="3">
        <v>19.501614690724615</v>
      </c>
      <c r="D933" s="3">
        <v>19.630338714318832</v>
      </c>
      <c r="E933" s="3">
        <v>19.405072286830585</v>
      </c>
      <c r="F933" s="3">
        <v>19.533796310424805</v>
      </c>
      <c r="G933" s="3">
        <v>151300</v>
      </c>
      <c r="H933" s="3">
        <v>0</v>
      </c>
      <c r="I933" s="3">
        <v>0</v>
      </c>
      <c r="J933" s="3" t="str">
        <v>AB</v>
      </c>
      <c r="K933" s="23">
        <v>43348</v>
      </c>
      <c r="L933" s="22">
        <v>19.533796310424805</v>
      </c>
    </row>
    <row r="934" spans="1:12" x14ac:dyDescent="0.25">
      <c r="A934" s="9">
        <v>927</v>
      </c>
      <c r="B934" s="10">
        <v>43350</v>
      </c>
      <c r="C934" s="3">
        <v>19.469430523185718</v>
      </c>
      <c r="D934" s="3">
        <v>19.598154521818241</v>
      </c>
      <c r="E934" s="3">
        <v>19.340706524553195</v>
      </c>
      <c r="F934" s="3">
        <v>19.437250137329102</v>
      </c>
      <c r="G934" s="3">
        <v>165500</v>
      </c>
      <c r="H934" s="3">
        <v>0</v>
      </c>
      <c r="I934" s="3">
        <v>0</v>
      </c>
      <c r="J934" s="3" t="str">
        <v>AB</v>
      </c>
      <c r="K934" s="23">
        <v>43349</v>
      </c>
      <c r="L934" s="22">
        <v>19.533796310424805</v>
      </c>
    </row>
    <row r="935" spans="1:12" x14ac:dyDescent="0.25">
      <c r="A935" s="9">
        <v>928</v>
      </c>
      <c r="B935" s="10">
        <v>43353</v>
      </c>
      <c r="C935" s="3">
        <v>19.437247780595932</v>
      </c>
      <c r="D935" s="3">
        <v>19.759056510555446</v>
      </c>
      <c r="E935" s="3">
        <v>19.437247780595932</v>
      </c>
      <c r="F935" s="3">
        <v>19.694694519042969</v>
      </c>
      <c r="G935" s="3">
        <v>199300</v>
      </c>
      <c r="H935" s="3">
        <v>0</v>
      </c>
      <c r="I935" s="3">
        <v>0</v>
      </c>
      <c r="J935" s="3" t="str">
        <v>AB</v>
      </c>
      <c r="K935" s="23">
        <v>43350</v>
      </c>
      <c r="L935" s="22">
        <v>19.437250137329102</v>
      </c>
    </row>
    <row r="936" spans="1:12" x14ac:dyDescent="0.25">
      <c r="A936" s="9">
        <v>929</v>
      </c>
      <c r="B936" s="10">
        <v>43354</v>
      </c>
      <c r="C936" s="3">
        <v>19.533796310424805</v>
      </c>
      <c r="D936" s="3">
        <v>19.662519106415754</v>
      </c>
      <c r="E936" s="3">
        <v>19.469434298627696</v>
      </c>
      <c r="F936" s="3">
        <v>19.533796310424805</v>
      </c>
      <c r="G936" s="3">
        <v>174900</v>
      </c>
      <c r="H936" s="3">
        <v>0</v>
      </c>
      <c r="I936" s="3">
        <v>0</v>
      </c>
      <c r="J936" s="3" t="str">
        <v>AB</v>
      </c>
      <c r="K936" s="23">
        <v>43353</v>
      </c>
      <c r="L936" s="22">
        <v>19.694694519042969</v>
      </c>
    </row>
    <row r="937" spans="1:12" x14ac:dyDescent="0.25">
      <c r="A937" s="9">
        <v>930</v>
      </c>
      <c r="B937" s="10">
        <v>43355</v>
      </c>
      <c r="C937" s="3">
        <v>19.598159790039063</v>
      </c>
      <c r="D937" s="3">
        <v>19.662520579053243</v>
      </c>
      <c r="E937" s="3">
        <v>19.501616151311062</v>
      </c>
      <c r="F937" s="3">
        <v>19.598159790039063</v>
      </c>
      <c r="G937" s="3">
        <v>162600</v>
      </c>
      <c r="H937" s="3">
        <v>0</v>
      </c>
      <c r="I937" s="3">
        <v>0</v>
      </c>
      <c r="J937" s="3" t="str">
        <v>AB</v>
      </c>
      <c r="K937" s="23">
        <v>43354</v>
      </c>
      <c r="L937" s="22">
        <v>19.533796310424805</v>
      </c>
    </row>
    <row r="938" spans="1:12" x14ac:dyDescent="0.25">
      <c r="A938" s="9">
        <v>931</v>
      </c>
      <c r="B938" s="10">
        <v>43356</v>
      </c>
      <c r="C938" s="3">
        <v>19.630340184546153</v>
      </c>
      <c r="D938" s="3">
        <v>19.662520579053243</v>
      </c>
      <c r="E938" s="3">
        <v>19.565978167928609</v>
      </c>
      <c r="F938" s="3">
        <v>19.598159790039063</v>
      </c>
      <c r="G938" s="3">
        <v>186400</v>
      </c>
      <c r="H938" s="3">
        <v>0</v>
      </c>
      <c r="I938" s="3">
        <v>0</v>
      </c>
      <c r="J938" s="3" t="str">
        <v>AB</v>
      </c>
      <c r="K938" s="23">
        <v>43355</v>
      </c>
      <c r="L938" s="22">
        <v>19.598159790039063</v>
      </c>
    </row>
    <row r="939" spans="1:12" x14ac:dyDescent="0.25">
      <c r="A939" s="9">
        <v>932</v>
      </c>
      <c r="B939" s="10">
        <v>43357</v>
      </c>
      <c r="C939" s="3">
        <v>19.662513949652112</v>
      </c>
      <c r="D939" s="3">
        <v>20.100174041966174</v>
      </c>
      <c r="E939" s="3">
        <v>19.662513949652112</v>
      </c>
      <c r="F939" s="3">
        <v>19.919961929321289</v>
      </c>
      <c r="G939" s="3">
        <v>492300</v>
      </c>
      <c r="H939" s="3">
        <v>0</v>
      </c>
      <c r="I939" s="3">
        <v>0</v>
      </c>
      <c r="J939" s="3" t="str">
        <v>AB</v>
      </c>
      <c r="K939" s="23">
        <v>43356</v>
      </c>
      <c r="L939" s="22">
        <v>19.598159790039063</v>
      </c>
    </row>
    <row r="940" spans="1:12" x14ac:dyDescent="0.25">
      <c r="A940" s="9">
        <v>933</v>
      </c>
      <c r="B940" s="10">
        <v>43360</v>
      </c>
      <c r="C940" s="3">
        <v>19.919968645523426</v>
      </c>
      <c r="D940" s="3">
        <v>19.984329434537607</v>
      </c>
      <c r="E940" s="3">
        <v>19.533797773421515</v>
      </c>
      <c r="F940" s="3">
        <v>19.598159790039063</v>
      </c>
      <c r="G940" s="3">
        <v>233100</v>
      </c>
      <c r="H940" s="3">
        <v>0</v>
      </c>
      <c r="I940" s="3">
        <v>0</v>
      </c>
      <c r="J940" s="3" t="str">
        <v>AB</v>
      </c>
      <c r="K940" s="23">
        <v>43357</v>
      </c>
      <c r="L940" s="22">
        <v>19.919961929321289</v>
      </c>
    </row>
    <row r="941" spans="1:12" x14ac:dyDescent="0.25">
      <c r="A941" s="9">
        <v>934</v>
      </c>
      <c r="B941" s="10">
        <v>43361</v>
      </c>
      <c r="C941" s="3">
        <v>19.598154953834584</v>
      </c>
      <c r="D941" s="3">
        <v>19.649644308902005</v>
      </c>
      <c r="E941" s="3">
        <v>19.051079788991334</v>
      </c>
      <c r="F941" s="3">
        <v>19.372888565063477</v>
      </c>
      <c r="G941" s="3">
        <v>432700</v>
      </c>
      <c r="H941" s="3">
        <v>0</v>
      </c>
      <c r="I941" s="3">
        <v>0</v>
      </c>
      <c r="J941" s="3" t="str">
        <v>AB</v>
      </c>
      <c r="K941" s="23">
        <v>43360</v>
      </c>
      <c r="L941" s="22">
        <v>19.598159790039063</v>
      </c>
    </row>
    <row r="942" spans="1:12" x14ac:dyDescent="0.25">
      <c r="A942" s="9">
        <v>935</v>
      </c>
      <c r="B942" s="10">
        <v>43362</v>
      </c>
      <c r="C942" s="3">
        <v>19.43725048008411</v>
      </c>
      <c r="D942" s="3">
        <v>19.791239641161223</v>
      </c>
      <c r="E942" s="3">
        <v>19.43725048008411</v>
      </c>
      <c r="F942" s="3">
        <v>19.662515640258789</v>
      </c>
      <c r="G942" s="3">
        <v>171200</v>
      </c>
      <c r="H942" s="3">
        <v>0</v>
      </c>
      <c r="I942" s="3">
        <v>0</v>
      </c>
      <c r="J942" s="3" t="str">
        <v>AB</v>
      </c>
      <c r="K942" s="23">
        <v>43361</v>
      </c>
      <c r="L942" s="22">
        <v>19.372888565063477</v>
      </c>
    </row>
    <row r="943" spans="1:12" x14ac:dyDescent="0.25">
      <c r="A943" s="9">
        <v>936</v>
      </c>
      <c r="B943" s="10">
        <v>43363</v>
      </c>
      <c r="C943" s="3">
        <v>19.791244952293571</v>
      </c>
      <c r="D943" s="3">
        <v>19.95214938280002</v>
      </c>
      <c r="E943" s="3">
        <v>19.694702539510374</v>
      </c>
      <c r="F943" s="3">
        <v>19.726882934570313</v>
      </c>
      <c r="G943" s="3">
        <v>156000</v>
      </c>
      <c r="H943" s="3">
        <v>0</v>
      </c>
      <c r="I943" s="3">
        <v>0</v>
      </c>
      <c r="J943" s="3" t="str">
        <v>AB</v>
      </c>
      <c r="K943" s="23">
        <v>43362</v>
      </c>
      <c r="L943" s="22">
        <v>19.662515640258789</v>
      </c>
    </row>
    <row r="944" spans="1:12" x14ac:dyDescent="0.25">
      <c r="A944" s="9">
        <v>937</v>
      </c>
      <c r="B944" s="10">
        <v>43364</v>
      </c>
      <c r="C944" s="3">
        <v>19.759060772263243</v>
      </c>
      <c r="D944" s="3">
        <v>19.829857873354158</v>
      </c>
      <c r="E944" s="3">
        <v>19.598156372579023</v>
      </c>
      <c r="F944" s="3">
        <v>19.630336761474609</v>
      </c>
      <c r="G944" s="3">
        <v>129300</v>
      </c>
      <c r="H944" s="3">
        <v>0</v>
      </c>
      <c r="I944" s="3">
        <v>0</v>
      </c>
      <c r="J944" s="3" t="str">
        <v>AB</v>
      </c>
      <c r="K944" s="23">
        <v>43363</v>
      </c>
      <c r="L944" s="22">
        <v>19.726882934570313</v>
      </c>
    </row>
    <row r="945" spans="1:12" x14ac:dyDescent="0.25">
      <c r="A945" s="9">
        <v>938</v>
      </c>
      <c r="B945" s="10">
        <v>43367</v>
      </c>
      <c r="C945" s="3">
        <v>19.630338714318832</v>
      </c>
      <c r="D945" s="3">
        <v>19.662519106415754</v>
      </c>
      <c r="E945" s="3">
        <v>19.437253906530774</v>
      </c>
      <c r="F945" s="3">
        <v>19.533796310424805</v>
      </c>
      <c r="G945" s="3">
        <v>168500</v>
      </c>
      <c r="H945" s="3">
        <v>0</v>
      </c>
      <c r="I945" s="3">
        <v>0</v>
      </c>
      <c r="J945" s="3" t="str">
        <v>AB</v>
      </c>
      <c r="K945" s="23">
        <v>43364</v>
      </c>
      <c r="L945" s="22">
        <v>19.630336761474609</v>
      </c>
    </row>
    <row r="946" spans="1:12" x14ac:dyDescent="0.25">
      <c r="A946" s="9">
        <v>939</v>
      </c>
      <c r="B946" s="10">
        <v>43368</v>
      </c>
      <c r="C946" s="3">
        <v>19.533797773421515</v>
      </c>
      <c r="D946" s="3">
        <v>19.694702201163697</v>
      </c>
      <c r="E946" s="3">
        <v>19.533797773421515</v>
      </c>
      <c r="F946" s="3">
        <v>19.598159790039063</v>
      </c>
      <c r="G946" s="3">
        <v>134600</v>
      </c>
      <c r="H946" s="3">
        <v>0</v>
      </c>
      <c r="I946" s="3">
        <v>0</v>
      </c>
      <c r="J946" s="3" t="str">
        <v>AB</v>
      </c>
      <c r="K946" s="23">
        <v>43367</v>
      </c>
      <c r="L946" s="22">
        <v>19.533796310424805</v>
      </c>
    </row>
    <row r="947" spans="1:12" x14ac:dyDescent="0.25">
      <c r="A947" s="9">
        <v>940</v>
      </c>
      <c r="B947" s="10">
        <v>43369</v>
      </c>
      <c r="C947" s="3">
        <v>19.662517150370192</v>
      </c>
      <c r="D947" s="3">
        <v>19.759060772263243</v>
      </c>
      <c r="E947" s="3">
        <v>19.598156372579023</v>
      </c>
      <c r="F947" s="3">
        <v>19.630336761474609</v>
      </c>
      <c r="G947" s="3">
        <v>126900</v>
      </c>
      <c r="H947" s="3">
        <v>0</v>
      </c>
      <c r="I947" s="3">
        <v>0</v>
      </c>
      <c r="J947" s="3" t="str">
        <v>AB</v>
      </c>
      <c r="K947" s="23">
        <v>43368</v>
      </c>
      <c r="L947" s="22">
        <v>19.598159790039063</v>
      </c>
    </row>
    <row r="948" spans="1:12" x14ac:dyDescent="0.25">
      <c r="A948" s="9">
        <v>941</v>
      </c>
      <c r="B948" s="10">
        <v>43370</v>
      </c>
      <c r="C948" s="3">
        <v>19.694697254285924</v>
      </c>
      <c r="D948" s="3">
        <v>19.919963642063653</v>
      </c>
      <c r="E948" s="3">
        <v>19.630335253834708</v>
      </c>
      <c r="F948" s="3">
        <v>19.662515640258789</v>
      </c>
      <c r="G948" s="3">
        <v>165300</v>
      </c>
      <c r="H948" s="3">
        <v>0</v>
      </c>
      <c r="I948" s="3">
        <v>0</v>
      </c>
      <c r="J948" s="3" t="str">
        <v>AB</v>
      </c>
      <c r="K948" s="23">
        <v>43369</v>
      </c>
      <c r="L948" s="22">
        <v>19.630336761474609</v>
      </c>
    </row>
    <row r="949" spans="1:12" x14ac:dyDescent="0.25">
      <c r="A949" s="9">
        <v>942</v>
      </c>
      <c r="B949" s="10">
        <v>43371</v>
      </c>
      <c r="C949" s="3">
        <v>19.598159790039063</v>
      </c>
      <c r="D949" s="3">
        <v>19.694702201163697</v>
      </c>
      <c r="E949" s="3">
        <v>19.533797773421515</v>
      </c>
      <c r="F949" s="3">
        <v>19.598159790039063</v>
      </c>
      <c r="G949" s="3">
        <v>316800</v>
      </c>
      <c r="H949" s="3">
        <v>0</v>
      </c>
      <c r="I949" s="3">
        <v>0</v>
      </c>
      <c r="J949" s="3" t="str">
        <v>AB</v>
      </c>
      <c r="K949" s="23">
        <v>43370</v>
      </c>
      <c r="L949" s="22">
        <v>19.662515640258789</v>
      </c>
    </row>
    <row r="950" spans="1:12" x14ac:dyDescent="0.25">
      <c r="A950" s="9">
        <v>943</v>
      </c>
      <c r="B950" s="10">
        <v>43374</v>
      </c>
      <c r="C950" s="3">
        <v>19.66251721283917</v>
      </c>
      <c r="D950" s="3">
        <v>20.067996988789396</v>
      </c>
      <c r="E950" s="3">
        <v>19.578847464882937</v>
      </c>
      <c r="F950" s="3">
        <v>19.75262451171875</v>
      </c>
      <c r="G950" s="3">
        <v>236300</v>
      </c>
      <c r="H950" s="3">
        <v>0</v>
      </c>
      <c r="I950" s="3">
        <v>0</v>
      </c>
      <c r="J950" s="3" t="str">
        <v>AB</v>
      </c>
      <c r="K950" s="23">
        <v>43371</v>
      </c>
      <c r="L950" s="22">
        <v>19.598159790039063</v>
      </c>
    </row>
    <row r="951" spans="1:12" x14ac:dyDescent="0.25">
      <c r="A951" s="9">
        <v>944</v>
      </c>
      <c r="B951" s="10">
        <v>43375</v>
      </c>
      <c r="C951" s="3">
        <v>19.810545239435374</v>
      </c>
      <c r="D951" s="3">
        <v>19.90065128817653</v>
      </c>
      <c r="E951" s="3">
        <v>19.585278889979637</v>
      </c>
      <c r="F951" s="3">
        <v>19.61102294921875</v>
      </c>
      <c r="G951" s="3">
        <v>251600</v>
      </c>
      <c r="H951" s="3">
        <v>0</v>
      </c>
      <c r="I951" s="3">
        <v>0</v>
      </c>
      <c r="J951" s="3" t="str">
        <v>AB</v>
      </c>
      <c r="K951" s="23">
        <v>43374</v>
      </c>
      <c r="L951" s="22">
        <v>19.75262451171875</v>
      </c>
    </row>
    <row r="952" spans="1:12" x14ac:dyDescent="0.25">
      <c r="A952" s="9">
        <v>945</v>
      </c>
      <c r="B952" s="10">
        <v>43376</v>
      </c>
      <c r="C952" s="3">
        <v>19.630340529319291</v>
      </c>
      <c r="D952" s="3">
        <v>19.75262824028006</v>
      </c>
      <c r="E952" s="3">
        <v>19.585287485176739</v>
      </c>
      <c r="F952" s="3">
        <v>19.617467880249023</v>
      </c>
      <c r="G952" s="3">
        <v>164400</v>
      </c>
      <c r="H952" s="3">
        <v>0</v>
      </c>
      <c r="I952" s="3">
        <v>0</v>
      </c>
      <c r="J952" s="3" t="str">
        <v>AB</v>
      </c>
      <c r="K952" s="23">
        <v>43375</v>
      </c>
      <c r="L952" s="22">
        <v>19.61102294921875</v>
      </c>
    </row>
    <row r="953" spans="1:12" x14ac:dyDescent="0.25">
      <c r="A953" s="9">
        <v>946</v>
      </c>
      <c r="B953" s="10">
        <v>43377</v>
      </c>
      <c r="C953" s="3">
        <v>19.656083049772523</v>
      </c>
      <c r="D953" s="3">
        <v>19.868476819004105</v>
      </c>
      <c r="E953" s="3">
        <v>19.488742318316852</v>
      </c>
      <c r="F953" s="3">
        <v>19.85560417175293</v>
      </c>
      <c r="G953" s="3">
        <v>235100</v>
      </c>
      <c r="H953" s="3">
        <v>0</v>
      </c>
      <c r="I953" s="3">
        <v>0</v>
      </c>
      <c r="J953" s="3" t="str">
        <v>AB</v>
      </c>
      <c r="K953" s="23">
        <v>43376</v>
      </c>
      <c r="L953" s="22">
        <v>19.617467880249023</v>
      </c>
    </row>
    <row r="954" spans="1:12" x14ac:dyDescent="0.25">
      <c r="A954" s="9">
        <v>947</v>
      </c>
      <c r="B954" s="10">
        <v>43378</v>
      </c>
      <c r="C954" s="3">
        <v>19.887781089187822</v>
      </c>
      <c r="D954" s="3">
        <v>20.106611143829749</v>
      </c>
      <c r="E954" s="3">
        <v>19.668951034545898</v>
      </c>
      <c r="F954" s="3">
        <v>19.668951034545898</v>
      </c>
      <c r="G954" s="3">
        <v>208900</v>
      </c>
      <c r="H954" s="3">
        <v>0</v>
      </c>
      <c r="I954" s="3">
        <v>0</v>
      </c>
      <c r="J954" s="3" t="str">
        <v>AB</v>
      </c>
      <c r="K954" s="23">
        <v>43377</v>
      </c>
      <c r="L954" s="22">
        <v>19.85560417175293</v>
      </c>
    </row>
    <row r="955" spans="1:12" x14ac:dyDescent="0.25">
      <c r="A955" s="9">
        <v>948</v>
      </c>
      <c r="B955" s="10">
        <v>43381</v>
      </c>
      <c r="C955" s="3">
        <v>19.585284247062884</v>
      </c>
      <c r="D955" s="3">
        <v>19.688262967392369</v>
      </c>
      <c r="E955" s="3">
        <v>19.372890482932924</v>
      </c>
      <c r="F955" s="3">
        <v>19.482305526733398</v>
      </c>
      <c r="G955" s="3">
        <v>216800</v>
      </c>
      <c r="H955" s="3">
        <v>0</v>
      </c>
      <c r="I955" s="3">
        <v>0</v>
      </c>
      <c r="J955" s="3" t="str">
        <v>AB</v>
      </c>
      <c r="K955" s="23">
        <v>43378</v>
      </c>
      <c r="L955" s="22">
        <v>19.668951034545898</v>
      </c>
    </row>
    <row r="956" spans="1:12" x14ac:dyDescent="0.25">
      <c r="A956" s="9">
        <v>949</v>
      </c>
      <c r="B956" s="10">
        <v>43382</v>
      </c>
      <c r="C956" s="3">
        <v>19.424382138588378</v>
      </c>
      <c r="D956" s="3">
        <v>19.508051898392626</v>
      </c>
      <c r="E956" s="3">
        <v>19.366456448107233</v>
      </c>
      <c r="F956" s="3">
        <v>19.405073165893555</v>
      </c>
      <c r="G956" s="3">
        <v>143200</v>
      </c>
      <c r="H956" s="3">
        <v>0</v>
      </c>
      <c r="I956" s="3">
        <v>0</v>
      </c>
      <c r="J956" s="3" t="str">
        <v>AB</v>
      </c>
      <c r="K956" s="23">
        <v>43381</v>
      </c>
      <c r="L956" s="22">
        <v>19.482305526733398</v>
      </c>
    </row>
    <row r="957" spans="1:12" x14ac:dyDescent="0.25">
      <c r="A957" s="9">
        <v>950</v>
      </c>
      <c r="B957" s="10">
        <v>43383</v>
      </c>
      <c r="C957" s="3">
        <v>19.437252475446236</v>
      </c>
      <c r="D957" s="3">
        <v>19.527358548766088</v>
      </c>
      <c r="E957" s="3">
        <v>18.79363486006859</v>
      </c>
      <c r="F957" s="3">
        <v>18.838687896728516</v>
      </c>
      <c r="G957" s="3">
        <v>302000</v>
      </c>
      <c r="H957" s="3">
        <v>0</v>
      </c>
      <c r="I957" s="3">
        <v>0</v>
      </c>
      <c r="J957" s="3" t="str">
        <v>AB</v>
      </c>
      <c r="K957" s="23">
        <v>43382</v>
      </c>
      <c r="L957" s="22">
        <v>19.405073165893555</v>
      </c>
    </row>
    <row r="958" spans="1:12" x14ac:dyDescent="0.25">
      <c r="A958" s="9">
        <v>951</v>
      </c>
      <c r="B958" s="10">
        <v>43384</v>
      </c>
      <c r="C958" s="3">
        <v>18.787197511133943</v>
      </c>
      <c r="D958" s="3">
        <v>18.948101906195653</v>
      </c>
      <c r="E958" s="3">
        <v>18.085654250456646</v>
      </c>
      <c r="F958" s="3">
        <v>18.188632965087891</v>
      </c>
      <c r="G958" s="3">
        <v>673000</v>
      </c>
      <c r="H958" s="3">
        <v>0</v>
      </c>
      <c r="I958" s="3">
        <v>0</v>
      </c>
      <c r="J958" s="3" t="str">
        <v>AB</v>
      </c>
      <c r="K958" s="23">
        <v>43383</v>
      </c>
      <c r="L958" s="22">
        <v>18.838687896728516</v>
      </c>
    </row>
    <row r="959" spans="1:12" x14ac:dyDescent="0.25">
      <c r="A959" s="9">
        <v>952</v>
      </c>
      <c r="B959" s="10">
        <v>43385</v>
      </c>
      <c r="C959" s="3">
        <v>18.48469703363476</v>
      </c>
      <c r="D959" s="3">
        <v>18.877304162543631</v>
      </c>
      <c r="E959" s="3">
        <v>18.446080321356177</v>
      </c>
      <c r="F959" s="3">
        <v>18.793634414672852</v>
      </c>
      <c r="G959" s="3">
        <v>489300</v>
      </c>
      <c r="H959" s="3">
        <v>0</v>
      </c>
      <c r="I959" s="3">
        <v>0</v>
      </c>
      <c r="J959" s="3" t="str">
        <v>AB</v>
      </c>
      <c r="K959" s="23">
        <v>43384</v>
      </c>
      <c r="L959" s="22">
        <v>18.188632965087891</v>
      </c>
    </row>
    <row r="960" spans="1:12" x14ac:dyDescent="0.25">
      <c r="A960" s="9">
        <v>953</v>
      </c>
      <c r="B960" s="10">
        <v>43388</v>
      </c>
      <c r="C960" s="3">
        <v>18.767888558049311</v>
      </c>
      <c r="D960" s="3">
        <v>19.327836393494547</v>
      </c>
      <c r="E960" s="3">
        <v>18.735708170050334</v>
      </c>
      <c r="F960" s="3">
        <v>19.244165420532227</v>
      </c>
      <c r="G960" s="3">
        <v>406300</v>
      </c>
      <c r="H960" s="3">
        <v>0</v>
      </c>
      <c r="I960" s="3">
        <v>0</v>
      </c>
      <c r="J960" s="3" t="str">
        <v>AB</v>
      </c>
      <c r="K960" s="23">
        <v>43385</v>
      </c>
      <c r="L960" s="22">
        <v>18.793634414672852</v>
      </c>
    </row>
    <row r="961" spans="1:12" x14ac:dyDescent="0.25">
      <c r="A961" s="9">
        <v>954</v>
      </c>
      <c r="B961" s="10">
        <v>43389</v>
      </c>
      <c r="C961" s="3">
        <v>19.314964285405917</v>
      </c>
      <c r="D961" s="3">
        <v>19.720442832464762</v>
      </c>
      <c r="E961" s="3">
        <v>19.166932532321194</v>
      </c>
      <c r="F961" s="3">
        <v>19.630336761474609</v>
      </c>
      <c r="G961" s="3">
        <v>701000</v>
      </c>
      <c r="H961" s="3">
        <v>0</v>
      </c>
      <c r="I961" s="3">
        <v>0</v>
      </c>
      <c r="J961" s="3" t="str">
        <v>AB</v>
      </c>
      <c r="K961" s="23">
        <v>43388</v>
      </c>
      <c r="L961" s="22">
        <v>19.244165420532227</v>
      </c>
    </row>
    <row r="962" spans="1:12" x14ac:dyDescent="0.25">
      <c r="A962" s="9">
        <v>955</v>
      </c>
      <c r="B962" s="10">
        <v>43390</v>
      </c>
      <c r="C962" s="3">
        <v>19.662520916847054</v>
      </c>
      <c r="D962" s="3">
        <v>19.746191908168303</v>
      </c>
      <c r="E962" s="3">
        <v>19.450127117682673</v>
      </c>
      <c r="F962" s="3">
        <v>19.726882934570313</v>
      </c>
      <c r="G962" s="3">
        <v>371300</v>
      </c>
      <c r="H962" s="3">
        <v>0</v>
      </c>
      <c r="I962" s="3">
        <v>0</v>
      </c>
      <c r="J962" s="3" t="str">
        <v>AB</v>
      </c>
      <c r="K962" s="23">
        <v>43389</v>
      </c>
      <c r="L962" s="22">
        <v>19.630336761474609</v>
      </c>
    </row>
    <row r="963" spans="1:12" x14ac:dyDescent="0.25">
      <c r="A963" s="9">
        <v>956</v>
      </c>
      <c r="B963" s="10">
        <v>43391</v>
      </c>
      <c r="C963" s="3">
        <v>19.720439969063936</v>
      </c>
      <c r="D963" s="3">
        <v>19.720439969063936</v>
      </c>
      <c r="E963" s="3">
        <v>19.199110133512853</v>
      </c>
      <c r="F963" s="3">
        <v>19.224855422973633</v>
      </c>
      <c r="G963" s="3">
        <v>408800</v>
      </c>
      <c r="H963" s="3">
        <v>0</v>
      </c>
      <c r="I963" s="3">
        <v>0</v>
      </c>
      <c r="J963" s="3" t="str">
        <v>AB</v>
      </c>
      <c r="K963" s="23">
        <v>43390</v>
      </c>
      <c r="L963" s="22">
        <v>19.726882934570313</v>
      </c>
    </row>
    <row r="964" spans="1:12" x14ac:dyDescent="0.25">
      <c r="A964" s="9">
        <v>957</v>
      </c>
      <c r="B964" s="10">
        <v>43392</v>
      </c>
      <c r="C964" s="3">
        <v>19.26346881199083</v>
      </c>
      <c r="D964" s="3">
        <v>19.649639494175084</v>
      </c>
      <c r="E964" s="3">
        <v>19.05751144218663</v>
      </c>
      <c r="F964" s="3">
        <v>19.475862503051758</v>
      </c>
      <c r="G964" s="3">
        <v>239000</v>
      </c>
      <c r="H964" s="3">
        <v>0</v>
      </c>
      <c r="I964" s="3">
        <v>0</v>
      </c>
      <c r="J964" s="3" t="str">
        <v>AB</v>
      </c>
      <c r="K964" s="23">
        <v>43391</v>
      </c>
      <c r="L964" s="22">
        <v>19.224855422973633</v>
      </c>
    </row>
    <row r="965" spans="1:12" x14ac:dyDescent="0.25">
      <c r="A965" s="9">
        <v>958</v>
      </c>
      <c r="B965" s="10">
        <v>43395</v>
      </c>
      <c r="C965" s="3">
        <v>19.546661716192808</v>
      </c>
      <c r="D965" s="3">
        <v>19.546661716192808</v>
      </c>
      <c r="E965" s="3">
        <v>19.063948647966413</v>
      </c>
      <c r="F965" s="3">
        <v>19.166927337646484</v>
      </c>
      <c r="G965" s="3">
        <v>424300</v>
      </c>
      <c r="H965" s="3">
        <v>0</v>
      </c>
      <c r="I965" s="3">
        <v>0</v>
      </c>
      <c r="J965" s="3" t="str">
        <v>AB</v>
      </c>
      <c r="K965" s="23">
        <v>43392</v>
      </c>
      <c r="L965" s="22">
        <v>19.475862503051758</v>
      </c>
    </row>
    <row r="966" spans="1:12" x14ac:dyDescent="0.25">
      <c r="A966" s="9">
        <v>959</v>
      </c>
      <c r="B966" s="10">
        <v>43396</v>
      </c>
      <c r="C966" s="3">
        <v>18.915918876849986</v>
      </c>
      <c r="D966" s="3">
        <v>19.302089641656394</v>
      </c>
      <c r="E966" s="3">
        <v>18.56192972521254</v>
      </c>
      <c r="F966" s="3">
        <v>19.083259582519531</v>
      </c>
      <c r="G966" s="3">
        <v>312600</v>
      </c>
      <c r="H966" s="3">
        <v>0</v>
      </c>
      <c r="I966" s="3">
        <v>0</v>
      </c>
      <c r="J966" s="3" t="str">
        <v>AB</v>
      </c>
      <c r="K966" s="23">
        <v>43395</v>
      </c>
      <c r="L966" s="22">
        <v>19.166927337646484</v>
      </c>
    </row>
    <row r="967" spans="1:12" x14ac:dyDescent="0.25">
      <c r="A967" s="9">
        <v>960</v>
      </c>
      <c r="B967" s="10">
        <v>43397</v>
      </c>
      <c r="C967" s="3">
        <v>19.308526362535908</v>
      </c>
      <c r="D967" s="3">
        <v>19.437250362660698</v>
      </c>
      <c r="E967" s="3">
        <v>18.355972689942199</v>
      </c>
      <c r="F967" s="3">
        <v>18.388153076171875</v>
      </c>
      <c r="G967" s="3">
        <v>630400</v>
      </c>
      <c r="H967" s="3">
        <v>0</v>
      </c>
      <c r="I967" s="3">
        <v>0</v>
      </c>
      <c r="J967" s="3" t="str">
        <v>AB</v>
      </c>
      <c r="K967" s="23">
        <v>43396</v>
      </c>
      <c r="L967" s="22">
        <v>19.083259582519531</v>
      </c>
    </row>
    <row r="968" spans="1:12" x14ac:dyDescent="0.25">
      <c r="A968" s="9">
        <v>961</v>
      </c>
      <c r="B968" s="10">
        <v>43398</v>
      </c>
      <c r="C968" s="3">
        <v>18.523315450445217</v>
      </c>
      <c r="D968" s="3">
        <v>18.870868325107352</v>
      </c>
      <c r="E968" s="3">
        <v>18.413900406502787</v>
      </c>
      <c r="F968" s="3">
        <v>18.742145538330078</v>
      </c>
      <c r="G968" s="3">
        <v>389500</v>
      </c>
      <c r="H968" s="3">
        <v>0</v>
      </c>
      <c r="I968" s="3">
        <v>0</v>
      </c>
      <c r="J968" s="3" t="str">
        <v>AB</v>
      </c>
      <c r="K968" s="23">
        <v>43397</v>
      </c>
      <c r="L968" s="22">
        <v>18.388153076171875</v>
      </c>
    </row>
    <row r="969" spans="1:12" x14ac:dyDescent="0.25">
      <c r="A969" s="9">
        <v>962</v>
      </c>
      <c r="B969" s="10">
        <v>43399</v>
      </c>
      <c r="C969" s="3">
        <v>18.664908822658841</v>
      </c>
      <c r="D969" s="3">
        <v>18.735707145508798</v>
      </c>
      <c r="E969" s="3">
        <v>18.130706308907556</v>
      </c>
      <c r="F969" s="3">
        <v>18.182195663452148</v>
      </c>
      <c r="G969" s="3">
        <v>863600</v>
      </c>
      <c r="H969" s="3">
        <v>0</v>
      </c>
      <c r="I969" s="3">
        <v>0</v>
      </c>
      <c r="J969" s="3" t="str">
        <v>AB</v>
      </c>
      <c r="K969" s="23">
        <v>43398</v>
      </c>
      <c r="L969" s="22">
        <v>18.742145538330078</v>
      </c>
    </row>
    <row r="970" spans="1:12" x14ac:dyDescent="0.25">
      <c r="A970" s="9">
        <v>963</v>
      </c>
      <c r="B970" s="10">
        <v>43402</v>
      </c>
      <c r="C970" s="3">
        <v>18.458954687854092</v>
      </c>
      <c r="D970" s="3">
        <v>18.690657438320244</v>
      </c>
      <c r="E970" s="3">
        <v>18.072783846278263</v>
      </c>
      <c r="F970" s="3">
        <v>18.317358016967773</v>
      </c>
      <c r="G970" s="3">
        <v>360800</v>
      </c>
      <c r="H970" s="3">
        <v>0</v>
      </c>
      <c r="I970" s="3">
        <v>0</v>
      </c>
      <c r="J970" s="3" t="str">
        <v>AB</v>
      </c>
      <c r="K970" s="23">
        <v>43399</v>
      </c>
      <c r="L970" s="22">
        <v>18.182195663452148</v>
      </c>
    </row>
    <row r="971" spans="1:12" x14ac:dyDescent="0.25">
      <c r="A971" s="9">
        <v>964</v>
      </c>
      <c r="B971" s="10">
        <v>43403</v>
      </c>
      <c r="C971" s="3">
        <v>18.291613037797678</v>
      </c>
      <c r="D971" s="3">
        <v>18.883741304692023</v>
      </c>
      <c r="E971" s="3">
        <v>18.195070639113389</v>
      </c>
      <c r="F971" s="3">
        <v>18.542623519897461</v>
      </c>
      <c r="G971" s="3">
        <v>365400</v>
      </c>
      <c r="H971" s="3">
        <v>0</v>
      </c>
      <c r="I971" s="3">
        <v>0</v>
      </c>
      <c r="J971" s="3" t="str">
        <v>AB</v>
      </c>
      <c r="K971" s="23">
        <v>43402</v>
      </c>
      <c r="L971" s="22">
        <v>18.317358016967773</v>
      </c>
    </row>
    <row r="972" spans="1:12" x14ac:dyDescent="0.25">
      <c r="A972" s="9">
        <v>965</v>
      </c>
      <c r="B972" s="10">
        <v>43404</v>
      </c>
      <c r="C972" s="3">
        <v>18.761455095141308</v>
      </c>
      <c r="D972" s="3">
        <v>18.909486866669251</v>
      </c>
      <c r="E972" s="3">
        <v>18.50400826909199</v>
      </c>
      <c r="F972" s="3">
        <v>18.606986999511719</v>
      </c>
      <c r="G972" s="3">
        <v>539500</v>
      </c>
      <c r="H972" s="3">
        <v>0</v>
      </c>
      <c r="I972" s="3">
        <v>0</v>
      </c>
      <c r="J972" s="3" t="str">
        <v>AB</v>
      </c>
      <c r="K972" s="23">
        <v>43403</v>
      </c>
      <c r="L972" s="22">
        <v>18.542623519897461</v>
      </c>
    </row>
    <row r="973" spans="1:12" x14ac:dyDescent="0.25">
      <c r="A973" s="9">
        <v>966</v>
      </c>
      <c r="B973" s="10">
        <v>43405</v>
      </c>
      <c r="C973" s="3">
        <v>18.909482530434811</v>
      </c>
      <c r="D973" s="3">
        <v>18.986717174340168</v>
      </c>
      <c r="E973" s="3">
        <v>18.690653699176178</v>
      </c>
      <c r="F973" s="3">
        <v>18.767887115478516</v>
      </c>
      <c r="G973" s="3">
        <v>620800</v>
      </c>
      <c r="H973" s="3">
        <v>0</v>
      </c>
      <c r="I973" s="3">
        <v>0</v>
      </c>
      <c r="J973" s="3" t="str">
        <v>AB</v>
      </c>
      <c r="K973" s="23">
        <v>43404</v>
      </c>
      <c r="L973" s="22">
        <v>18.606986999511719</v>
      </c>
    </row>
    <row r="974" spans="1:12" x14ac:dyDescent="0.25">
      <c r="A974" s="9">
        <v>967</v>
      </c>
      <c r="B974" s="10">
        <v>43406</v>
      </c>
      <c r="C974" s="3">
        <v>18.952467605544758</v>
      </c>
      <c r="D974" s="3">
        <v>19.090902417567786</v>
      </c>
      <c r="E974" s="3">
        <v>18.563529908877335</v>
      </c>
      <c r="F974" s="3">
        <v>18.774478912353516</v>
      </c>
      <c r="G974" s="3">
        <v>286500</v>
      </c>
      <c r="H974" s="3">
        <v>0.69</v>
      </c>
      <c r="I974" s="3">
        <v>0</v>
      </c>
      <c r="J974" s="3" t="str">
        <v>AB</v>
      </c>
      <c r="K974" s="23">
        <v>43405</v>
      </c>
      <c r="L974" s="22">
        <v>18.767887115478516</v>
      </c>
    </row>
    <row r="975" spans="1:12" x14ac:dyDescent="0.25">
      <c r="A975" s="9">
        <v>968</v>
      </c>
      <c r="B975" s="10">
        <v>43409</v>
      </c>
      <c r="C975" s="3">
        <v>18.814037268812541</v>
      </c>
      <c r="D975" s="3">
        <v>19.235935376121709</v>
      </c>
      <c r="E975" s="3">
        <v>18.655824221216061</v>
      </c>
      <c r="F975" s="3">
        <v>19.064538955688477</v>
      </c>
      <c r="G975" s="3">
        <v>249600</v>
      </c>
      <c r="H975" s="3">
        <v>0</v>
      </c>
      <c r="I975" s="3">
        <v>0</v>
      </c>
      <c r="J975" s="3" t="str">
        <v>AB</v>
      </c>
      <c r="K975" s="23">
        <v>43406</v>
      </c>
      <c r="L975" s="22">
        <v>18.774478912353516</v>
      </c>
    </row>
    <row r="976" spans="1:12" x14ac:dyDescent="0.25">
      <c r="A976" s="9">
        <v>969</v>
      </c>
      <c r="B976" s="10">
        <v>43410</v>
      </c>
      <c r="C976" s="3">
        <v>19.051352890031218</v>
      </c>
      <c r="D976" s="3">
        <v>19.242526241348532</v>
      </c>
      <c r="E976" s="3">
        <v>18.840403852271038</v>
      </c>
      <c r="F976" s="3">
        <v>19.163419723510742</v>
      </c>
      <c r="G976" s="3">
        <v>311000</v>
      </c>
      <c r="H976" s="3">
        <v>0</v>
      </c>
      <c r="I976" s="3">
        <v>0</v>
      </c>
      <c r="J976" s="3" t="str">
        <v>AB</v>
      </c>
      <c r="K976" s="23">
        <v>43409</v>
      </c>
      <c r="L976" s="22">
        <v>19.064538955688477</v>
      </c>
    </row>
    <row r="977" spans="1:12" x14ac:dyDescent="0.25">
      <c r="A977" s="9">
        <v>970</v>
      </c>
      <c r="B977" s="10">
        <v>43411</v>
      </c>
      <c r="C977" s="3">
        <v>19.268895105768745</v>
      </c>
      <c r="D977" s="3">
        <v>19.816044668483531</v>
      </c>
      <c r="E977" s="3">
        <v>19.123867950149275</v>
      </c>
      <c r="F977" s="3">
        <v>19.789676666259766</v>
      </c>
      <c r="G977" s="3">
        <v>423400</v>
      </c>
      <c r="H977" s="3">
        <v>0</v>
      </c>
      <c r="I977" s="3">
        <v>0</v>
      </c>
      <c r="J977" s="3" t="str">
        <v>AB</v>
      </c>
      <c r="K977" s="23">
        <v>43410</v>
      </c>
      <c r="L977" s="22">
        <v>19.163419723510742</v>
      </c>
    </row>
    <row r="978" spans="1:12" x14ac:dyDescent="0.25">
      <c r="A978" s="9">
        <v>971</v>
      </c>
      <c r="B978" s="10">
        <v>43412</v>
      </c>
      <c r="C978" s="3">
        <v>19.717162001098028</v>
      </c>
      <c r="D978" s="3">
        <v>19.974255989237683</v>
      </c>
      <c r="E978" s="3">
        <v>19.684201684746192</v>
      </c>
      <c r="F978" s="3">
        <v>19.835821151733398</v>
      </c>
      <c r="G978" s="3">
        <v>221000</v>
      </c>
      <c r="H978" s="3">
        <v>0</v>
      </c>
      <c r="I978" s="3">
        <v>0</v>
      </c>
      <c r="J978" s="3" t="str">
        <v>AB</v>
      </c>
      <c r="K978" s="23">
        <v>43411</v>
      </c>
      <c r="L978" s="22">
        <v>19.789676666259766</v>
      </c>
    </row>
    <row r="979" spans="1:12" x14ac:dyDescent="0.25">
      <c r="A979" s="9">
        <v>972</v>
      </c>
      <c r="B979" s="10">
        <v>43413</v>
      </c>
      <c r="C979" s="3">
        <v>19.802861758870602</v>
      </c>
      <c r="D979" s="3">
        <v>19.822637446661737</v>
      </c>
      <c r="E979" s="3">
        <v>19.486436923301596</v>
      </c>
      <c r="F979" s="3">
        <v>19.743532180786133</v>
      </c>
      <c r="G979" s="3">
        <v>227200</v>
      </c>
      <c r="H979" s="3">
        <v>0</v>
      </c>
      <c r="I979" s="3">
        <v>0</v>
      </c>
      <c r="J979" s="3" t="str">
        <v>AB</v>
      </c>
      <c r="K979" s="23">
        <v>43412</v>
      </c>
      <c r="L979" s="22">
        <v>19.835821151733398</v>
      </c>
    </row>
    <row r="980" spans="1:12" x14ac:dyDescent="0.25">
      <c r="A980" s="9">
        <v>973</v>
      </c>
      <c r="B980" s="10">
        <v>43416</v>
      </c>
      <c r="C980" s="3">
        <v>19.6710168470192</v>
      </c>
      <c r="D980" s="3">
        <v>19.730346421708802</v>
      </c>
      <c r="E980" s="3">
        <v>19.37436897357119</v>
      </c>
      <c r="F980" s="3">
        <v>19.49962043762207</v>
      </c>
      <c r="G980" s="3">
        <v>335200</v>
      </c>
      <c r="H980" s="3">
        <v>0</v>
      </c>
      <c r="I980" s="3">
        <v>0</v>
      </c>
      <c r="J980" s="3" t="str">
        <v>AB</v>
      </c>
      <c r="K980" s="23">
        <v>43413</v>
      </c>
      <c r="L980" s="22">
        <v>19.743532180786133</v>
      </c>
    </row>
    <row r="981" spans="1:12" x14ac:dyDescent="0.25">
      <c r="A981" s="9">
        <v>974</v>
      </c>
      <c r="B981" s="10">
        <v>43417</v>
      </c>
      <c r="C981" s="3">
        <v>19.618278932057049</v>
      </c>
      <c r="D981" s="3">
        <v>19.862188279988906</v>
      </c>
      <c r="E981" s="3">
        <v>19.433697899478695</v>
      </c>
      <c r="F981" s="3">
        <v>19.822635650634766</v>
      </c>
      <c r="G981" s="3">
        <v>367300</v>
      </c>
      <c r="H981" s="3">
        <v>0</v>
      </c>
      <c r="I981" s="3">
        <v>0</v>
      </c>
      <c r="J981" s="3" t="str">
        <v>AB</v>
      </c>
      <c r="K981" s="23">
        <v>43416</v>
      </c>
      <c r="L981" s="22">
        <v>19.49962043762207</v>
      </c>
    </row>
    <row r="982" spans="1:12" x14ac:dyDescent="0.25">
      <c r="A982" s="9">
        <v>975</v>
      </c>
      <c r="B982" s="10">
        <v>43418</v>
      </c>
      <c r="C982" s="3">
        <v>19.941291998008996</v>
      </c>
      <c r="D982" s="3">
        <v>20.033581872670897</v>
      </c>
      <c r="E982" s="3">
        <v>19.578723555532743</v>
      </c>
      <c r="F982" s="3">
        <v>19.8094482421875</v>
      </c>
      <c r="G982" s="3">
        <v>204400</v>
      </c>
      <c r="H982" s="3">
        <v>0</v>
      </c>
      <c r="I982" s="3">
        <v>0</v>
      </c>
      <c r="J982" s="3" t="str">
        <v>AB</v>
      </c>
      <c r="K982" s="23">
        <v>43417</v>
      </c>
      <c r="L982" s="22">
        <v>19.822635650634766</v>
      </c>
    </row>
    <row r="983" spans="1:12" x14ac:dyDescent="0.25">
      <c r="A983" s="9">
        <v>976</v>
      </c>
      <c r="B983" s="10">
        <v>43419</v>
      </c>
      <c r="C983" s="3">
        <v>19.736940086510462</v>
      </c>
      <c r="D983" s="3">
        <v>19.816045353270919</v>
      </c>
      <c r="E983" s="3">
        <v>19.400739559389656</v>
      </c>
      <c r="F983" s="3">
        <v>19.611688613891602</v>
      </c>
      <c r="G983" s="3">
        <v>464800</v>
      </c>
      <c r="H983" s="3">
        <v>0</v>
      </c>
      <c r="I983" s="3">
        <v>0</v>
      </c>
      <c r="J983" s="3" t="str">
        <v>AB</v>
      </c>
      <c r="K983" s="23">
        <v>43418</v>
      </c>
      <c r="L983" s="22">
        <v>19.8094482421875</v>
      </c>
    </row>
    <row r="984" spans="1:12" x14ac:dyDescent="0.25">
      <c r="A984" s="9">
        <v>977</v>
      </c>
      <c r="B984" s="10">
        <v>43420</v>
      </c>
      <c r="C984" s="3">
        <v>19.598500269377901</v>
      </c>
      <c r="D984" s="3">
        <v>19.605092583251167</v>
      </c>
      <c r="E984" s="3">
        <v>19.06453541919635</v>
      </c>
      <c r="F984" s="3">
        <v>19.54576301574707</v>
      </c>
      <c r="G984" s="3">
        <v>276100</v>
      </c>
      <c r="H984" s="3">
        <v>0</v>
      </c>
      <c r="I984" s="3">
        <v>0</v>
      </c>
      <c r="J984" s="3" t="str">
        <v>AB</v>
      </c>
      <c r="K984" s="23">
        <v>43419</v>
      </c>
      <c r="L984" s="22">
        <v>19.611688613891602</v>
      </c>
    </row>
    <row r="985" spans="1:12" x14ac:dyDescent="0.25">
      <c r="A985" s="9">
        <v>978</v>
      </c>
      <c r="B985" s="10">
        <v>43423</v>
      </c>
      <c r="C985" s="3">
        <v>19.539171295714819</v>
      </c>
      <c r="D985" s="3">
        <v>19.644645806182091</v>
      </c>
      <c r="E985" s="3">
        <v>19.255708077325767</v>
      </c>
      <c r="F985" s="3">
        <v>19.328222274780273</v>
      </c>
      <c r="G985" s="3">
        <v>208200</v>
      </c>
      <c r="H985" s="3">
        <v>0</v>
      </c>
      <c r="I985" s="3">
        <v>0</v>
      </c>
      <c r="J985" s="3" t="str">
        <v>AB</v>
      </c>
      <c r="K985" s="23">
        <v>43420</v>
      </c>
      <c r="L985" s="22">
        <v>19.54576301574707</v>
      </c>
    </row>
    <row r="986" spans="1:12" x14ac:dyDescent="0.25">
      <c r="A986" s="9">
        <v>979</v>
      </c>
      <c r="B986" s="10">
        <v>43424</v>
      </c>
      <c r="C986" s="3">
        <v>19.328224535568395</v>
      </c>
      <c r="D986" s="3">
        <v>19.585318527734785</v>
      </c>
      <c r="E986" s="3">
        <v>18.972248335442284</v>
      </c>
      <c r="F986" s="3">
        <v>19.348001480102539</v>
      </c>
      <c r="G986" s="3">
        <v>329200</v>
      </c>
      <c r="H986" s="3">
        <v>0</v>
      </c>
      <c r="I986" s="3">
        <v>0</v>
      </c>
      <c r="J986" s="3" t="str">
        <v>AB</v>
      </c>
      <c r="K986" s="23">
        <v>43423</v>
      </c>
      <c r="L986" s="22">
        <v>19.328222274780273</v>
      </c>
    </row>
    <row r="987" spans="1:12" x14ac:dyDescent="0.25">
      <c r="A987" s="9">
        <v>980</v>
      </c>
      <c r="B987" s="10">
        <v>43425</v>
      </c>
      <c r="C987" s="3">
        <v>19.499619479603059</v>
      </c>
      <c r="D987" s="3">
        <v>19.921517539018577</v>
      </c>
      <c r="E987" s="3">
        <v>19.407329593444764</v>
      </c>
      <c r="F987" s="3">
        <v>19.697383880615234</v>
      </c>
      <c r="G987" s="3">
        <v>265900</v>
      </c>
      <c r="H987" s="3">
        <v>0</v>
      </c>
      <c r="I987" s="3">
        <v>0</v>
      </c>
      <c r="J987" s="3" t="str">
        <v>AB</v>
      </c>
      <c r="K987" s="23">
        <v>43424</v>
      </c>
      <c r="L987" s="22">
        <v>19.348001480102539</v>
      </c>
    </row>
    <row r="988" spans="1:12" x14ac:dyDescent="0.25">
      <c r="A988" s="9">
        <v>981</v>
      </c>
      <c r="B988" s="10">
        <v>43427</v>
      </c>
      <c r="C988" s="3">
        <v>19.644646006969172</v>
      </c>
      <c r="D988" s="3">
        <v>19.987438798169151</v>
      </c>
      <c r="E988" s="3">
        <v>19.578725380269862</v>
      </c>
      <c r="F988" s="3">
        <v>19.7698974609375</v>
      </c>
      <c r="G988" s="3">
        <v>134900</v>
      </c>
      <c r="H988" s="3">
        <v>0</v>
      </c>
      <c r="I988" s="3">
        <v>0</v>
      </c>
      <c r="J988" s="3" t="str">
        <v>AB</v>
      </c>
      <c r="K988" s="23">
        <v>43425</v>
      </c>
      <c r="L988" s="22">
        <v>19.697383880615234</v>
      </c>
    </row>
    <row r="989" spans="1:12" x14ac:dyDescent="0.25">
      <c r="A989" s="9">
        <v>982</v>
      </c>
      <c r="B989" s="10">
        <v>43430</v>
      </c>
      <c r="C989" s="3">
        <v>20.020398895857454</v>
      </c>
      <c r="D989" s="3">
        <v>20.178610651534886</v>
      </c>
      <c r="E989" s="3">
        <v>19.70397412714733</v>
      </c>
      <c r="F989" s="3">
        <v>19.723751068115234</v>
      </c>
      <c r="G989" s="3">
        <v>272500</v>
      </c>
      <c r="H989" s="3">
        <v>0</v>
      </c>
      <c r="I989" s="3">
        <v>0</v>
      </c>
      <c r="J989" s="3" t="str">
        <v>AB</v>
      </c>
      <c r="K989" s="23">
        <v>43427</v>
      </c>
      <c r="L989" s="22">
        <v>19.7698974609375</v>
      </c>
    </row>
    <row r="990" spans="1:12" x14ac:dyDescent="0.25">
      <c r="A990" s="9">
        <v>983</v>
      </c>
      <c r="B990" s="10">
        <v>43431</v>
      </c>
      <c r="C990" s="3">
        <v>19.677606582641602</v>
      </c>
      <c r="D990" s="3">
        <v>19.743528463362811</v>
      </c>
      <c r="E990" s="3">
        <v>19.558947448814479</v>
      </c>
      <c r="F990" s="3">
        <v>19.677606582641602</v>
      </c>
      <c r="G990" s="3">
        <v>206100</v>
      </c>
      <c r="H990" s="3">
        <v>0</v>
      </c>
      <c r="I990" s="3">
        <v>0</v>
      </c>
      <c r="J990" s="3" t="str">
        <v>AB</v>
      </c>
      <c r="K990" s="23">
        <v>43430</v>
      </c>
      <c r="L990" s="22">
        <v>19.723751068115234</v>
      </c>
    </row>
    <row r="991" spans="1:12" x14ac:dyDescent="0.25">
      <c r="A991" s="9">
        <v>984</v>
      </c>
      <c r="B991" s="10">
        <v>43432</v>
      </c>
      <c r="C991" s="3">
        <v>19.730346630580954</v>
      </c>
      <c r="D991" s="3">
        <v>19.868781468085235</v>
      </c>
      <c r="E991" s="3">
        <v>19.493028329310214</v>
      </c>
      <c r="F991" s="3">
        <v>19.835821151733398</v>
      </c>
      <c r="G991" s="3">
        <v>286200</v>
      </c>
      <c r="H991" s="3">
        <v>0</v>
      </c>
      <c r="I991" s="3">
        <v>0</v>
      </c>
      <c r="J991" s="3" t="str">
        <v>AB</v>
      </c>
      <c r="K991" s="23">
        <v>43431</v>
      </c>
      <c r="L991" s="22">
        <v>19.677606582641602</v>
      </c>
    </row>
    <row r="992" spans="1:12" x14ac:dyDescent="0.25">
      <c r="A992" s="9">
        <v>985</v>
      </c>
      <c r="B992" s="10">
        <v>43433</v>
      </c>
      <c r="C992" s="3">
        <v>19.776489613524685</v>
      </c>
      <c r="D992" s="3">
        <v>20.092913145575796</v>
      </c>
      <c r="E992" s="3">
        <v>19.776489613524685</v>
      </c>
      <c r="F992" s="3">
        <v>19.796266555786133</v>
      </c>
      <c r="G992" s="3">
        <v>296700</v>
      </c>
      <c r="H992" s="3">
        <v>0</v>
      </c>
      <c r="I992" s="3">
        <v>0</v>
      </c>
      <c r="J992" s="3" t="str">
        <v>AB</v>
      </c>
      <c r="K992" s="23">
        <v>43432</v>
      </c>
      <c r="L992" s="22">
        <v>19.835821151733398</v>
      </c>
    </row>
    <row r="993" spans="1:12" x14ac:dyDescent="0.25">
      <c r="A993" s="9">
        <v>986</v>
      </c>
      <c r="B993" s="10">
        <v>43434</v>
      </c>
      <c r="C993" s="3">
        <v>19.776489796536847</v>
      </c>
      <c r="D993" s="3">
        <v>20.119282588108771</v>
      </c>
      <c r="E993" s="3">
        <v>19.776489796536847</v>
      </c>
      <c r="F993" s="3">
        <v>19.914924621582031</v>
      </c>
      <c r="G993" s="3">
        <v>245400</v>
      </c>
      <c r="H993" s="3">
        <v>0</v>
      </c>
      <c r="I993" s="3">
        <v>0</v>
      </c>
      <c r="J993" s="3" t="str">
        <v>AB</v>
      </c>
      <c r="K993" s="23">
        <v>43433</v>
      </c>
      <c r="L993" s="22">
        <v>19.796266555786133</v>
      </c>
    </row>
    <row r="994" spans="1:12" x14ac:dyDescent="0.25">
      <c r="A994" s="9">
        <v>987</v>
      </c>
      <c r="B994" s="10">
        <v>43437</v>
      </c>
      <c r="C994" s="3">
        <v>20.152247168645012</v>
      </c>
      <c r="D994" s="3">
        <v>20.369788552176146</v>
      </c>
      <c r="E994" s="3">
        <v>19.888560833661156</v>
      </c>
      <c r="F994" s="3">
        <v>20.336828231811523</v>
      </c>
      <c r="G994" s="3">
        <v>377300</v>
      </c>
      <c r="H994" s="3">
        <v>0</v>
      </c>
      <c r="I994" s="3">
        <v>0</v>
      </c>
      <c r="J994" s="3" t="str">
        <v>AB</v>
      </c>
      <c r="K994" s="23">
        <v>43434</v>
      </c>
      <c r="L994" s="22">
        <v>19.914924621582031</v>
      </c>
    </row>
    <row r="995" spans="1:12" x14ac:dyDescent="0.25">
      <c r="A995" s="9">
        <v>988</v>
      </c>
      <c r="B995" s="10">
        <v>43438</v>
      </c>
      <c r="C995" s="3">
        <v>20.369784749999198</v>
      </c>
      <c r="D995" s="3">
        <v>20.369784749999198</v>
      </c>
      <c r="E995" s="3">
        <v>19.611686206917174</v>
      </c>
      <c r="F995" s="3">
        <v>19.7633056640625</v>
      </c>
      <c r="G995" s="3">
        <v>295700</v>
      </c>
      <c r="H995" s="3">
        <v>0</v>
      </c>
      <c r="I995" s="3">
        <v>0</v>
      </c>
      <c r="J995" s="3" t="str">
        <v>AB</v>
      </c>
      <c r="K995" s="23">
        <v>43437</v>
      </c>
      <c r="L995" s="22">
        <v>20.336828231811523</v>
      </c>
    </row>
    <row r="996" spans="1:12" x14ac:dyDescent="0.25">
      <c r="A996" s="9">
        <v>989</v>
      </c>
      <c r="B996" s="10">
        <v>43440</v>
      </c>
      <c r="C996" s="3">
        <v>18.5371630501464</v>
      </c>
      <c r="D996" s="3">
        <v>18.998613709240928</v>
      </c>
      <c r="E996" s="3">
        <v>17.06051742044902</v>
      </c>
      <c r="F996" s="3">
        <v>18.194370269775391</v>
      </c>
      <c r="G996" s="3">
        <v>2312600</v>
      </c>
      <c r="H996" s="3">
        <v>0</v>
      </c>
      <c r="I996" s="3">
        <v>0</v>
      </c>
      <c r="J996" s="3" t="str">
        <v>AB</v>
      </c>
      <c r="K996" s="23">
        <v>43438</v>
      </c>
      <c r="L996" s="22">
        <v>19.7633056640625</v>
      </c>
    </row>
    <row r="997" spans="1:12" x14ac:dyDescent="0.25">
      <c r="A997" s="9">
        <v>990</v>
      </c>
      <c r="B997" s="10">
        <v>43441</v>
      </c>
      <c r="C997" s="3">
        <v>18.293256527286221</v>
      </c>
      <c r="D997" s="3">
        <v>18.787668865861527</v>
      </c>
      <c r="E997" s="3">
        <v>18.293256527286221</v>
      </c>
      <c r="F997" s="3">
        <v>18.570127487182617</v>
      </c>
      <c r="G997" s="3">
        <v>497600</v>
      </c>
      <c r="H997" s="3">
        <v>0</v>
      </c>
      <c r="I997" s="3">
        <v>0</v>
      </c>
      <c r="J997" s="3" t="str">
        <v>AB</v>
      </c>
      <c r="K997" s="23">
        <v>43440</v>
      </c>
      <c r="L997" s="22">
        <v>18.194370269775391</v>
      </c>
    </row>
    <row r="998" spans="1:12" x14ac:dyDescent="0.25">
      <c r="A998" s="9">
        <v>991</v>
      </c>
      <c r="B998" s="10">
        <v>43444</v>
      </c>
      <c r="C998" s="3">
        <v>18.128449022362481</v>
      </c>
      <c r="D998" s="3">
        <v>18.372359616990629</v>
      </c>
      <c r="E998" s="3">
        <v>17.060518017626951</v>
      </c>
      <c r="F998" s="3">
        <v>17.871355056762695</v>
      </c>
      <c r="G998" s="3">
        <v>1475100</v>
      </c>
      <c r="H998" s="3">
        <v>0</v>
      </c>
      <c r="I998" s="3">
        <v>0</v>
      </c>
      <c r="J998" s="3" t="str">
        <v>AB</v>
      </c>
      <c r="K998" s="23">
        <v>43441</v>
      </c>
      <c r="L998" s="22">
        <v>18.570127487182617</v>
      </c>
    </row>
    <row r="999" spans="1:12" x14ac:dyDescent="0.25">
      <c r="A999" s="9">
        <v>992</v>
      </c>
      <c r="B999" s="10">
        <v>43445</v>
      </c>
      <c r="C999" s="3">
        <v>17.871355240155125</v>
      </c>
      <c r="D999" s="3">
        <v>18.293253292105828</v>
      </c>
      <c r="E999" s="3">
        <v>17.561522758067873</v>
      </c>
      <c r="F999" s="3">
        <v>17.594484329223633</v>
      </c>
      <c r="G999" s="3">
        <v>1068100</v>
      </c>
      <c r="H999" s="3">
        <v>0</v>
      </c>
      <c r="I999" s="3">
        <v>0</v>
      </c>
      <c r="J999" s="3" t="str">
        <v>AB</v>
      </c>
      <c r="K999" s="23">
        <v>43444</v>
      </c>
      <c r="L999" s="22">
        <v>17.871355056762695</v>
      </c>
    </row>
    <row r="1000" spans="1:12" x14ac:dyDescent="0.25">
      <c r="A1000" s="9">
        <v>993</v>
      </c>
      <c r="B1000" s="10">
        <v>43446</v>
      </c>
      <c r="C1000" s="3">
        <v>17.594485122948104</v>
      </c>
      <c r="D1000" s="3">
        <v>18.108673082620285</v>
      </c>
      <c r="E1000" s="3">
        <v>17.587892808419557</v>
      </c>
      <c r="F1000" s="3">
        <v>17.963645935058594</v>
      </c>
      <c r="G1000" s="3">
        <v>807800</v>
      </c>
      <c r="H1000" s="3">
        <v>0</v>
      </c>
      <c r="I1000" s="3">
        <v>0</v>
      </c>
      <c r="J1000" s="3" t="str">
        <v>AB</v>
      </c>
      <c r="K1000" s="23">
        <v>43445</v>
      </c>
      <c r="L1000" s="22">
        <v>17.594484329223633</v>
      </c>
    </row>
    <row r="1001" spans="1:12" x14ac:dyDescent="0.25">
      <c r="A1001" s="9">
        <v>994</v>
      </c>
      <c r="B1001" s="10">
        <v>43447</v>
      </c>
      <c r="C1001" s="3">
        <v>17.891132662459956</v>
      </c>
      <c r="D1001" s="3">
        <v>18.240517806498918</v>
      </c>
      <c r="E1001" s="3">
        <v>17.732920877618398</v>
      </c>
      <c r="F1001" s="3">
        <v>18.161411285400391</v>
      </c>
      <c r="G1001" s="3">
        <v>538300</v>
      </c>
      <c r="H1001" s="3">
        <v>0</v>
      </c>
      <c r="I1001" s="3">
        <v>0</v>
      </c>
      <c r="J1001" s="3" t="str">
        <v>AB</v>
      </c>
      <c r="K1001" s="23">
        <v>43446</v>
      </c>
      <c r="L1001" s="22">
        <v>17.963645935058594</v>
      </c>
    </row>
    <row r="1002" spans="1:12" x14ac:dyDescent="0.25">
      <c r="A1002" s="9">
        <v>995</v>
      </c>
      <c r="B1002" s="10">
        <v>43448</v>
      </c>
      <c r="C1002" s="3">
        <v>17.87795066669656</v>
      </c>
      <c r="D1002" s="3">
        <v>18.19437426074467</v>
      </c>
      <c r="E1002" s="3">
        <v>17.238509905865957</v>
      </c>
      <c r="F1002" s="3">
        <v>17.370353698730469</v>
      </c>
      <c r="G1002" s="3">
        <v>696600</v>
      </c>
      <c r="H1002" s="3">
        <v>0</v>
      </c>
      <c r="I1002" s="3">
        <v>0</v>
      </c>
      <c r="J1002" s="3" t="str">
        <v>AB</v>
      </c>
      <c r="K1002" s="23">
        <v>43447</v>
      </c>
      <c r="L1002" s="22">
        <v>18.161411285400391</v>
      </c>
    </row>
    <row r="1003" spans="1:12" x14ac:dyDescent="0.25">
      <c r="A1003" s="9">
        <v>996</v>
      </c>
      <c r="B1003" s="10">
        <v>43451</v>
      </c>
      <c r="C1003" s="3">
        <v>17.264875766080173</v>
      </c>
      <c r="D1003" s="3">
        <v>17.67358918020069</v>
      </c>
      <c r="E1003" s="3">
        <v>16.585882504098866</v>
      </c>
      <c r="F1003" s="3">
        <v>16.71113395690918</v>
      </c>
      <c r="G1003" s="3">
        <v>1074700</v>
      </c>
      <c r="H1003" s="3">
        <v>0</v>
      </c>
      <c r="I1003" s="3">
        <v>0</v>
      </c>
      <c r="J1003" s="3" t="str">
        <v>AB</v>
      </c>
      <c r="K1003" s="23">
        <v>43448</v>
      </c>
      <c r="L1003" s="22">
        <v>17.370353698730469</v>
      </c>
    </row>
    <row r="1004" spans="1:12" x14ac:dyDescent="0.25">
      <c r="A1004" s="9">
        <v>997</v>
      </c>
      <c r="B1004" s="10">
        <v>43452</v>
      </c>
      <c r="C1004" s="3">
        <v>16.75727821355748</v>
      </c>
      <c r="D1004" s="3">
        <v>17.508784385008671</v>
      </c>
      <c r="E1004" s="3">
        <v>16.75727821355748</v>
      </c>
      <c r="F1004" s="3">
        <v>16.994596481323242</v>
      </c>
      <c r="G1004" s="3">
        <v>525100</v>
      </c>
      <c r="H1004" s="3">
        <v>0</v>
      </c>
      <c r="I1004" s="3">
        <v>0</v>
      </c>
      <c r="J1004" s="3" t="str">
        <v>AB</v>
      </c>
      <c r="K1004" s="23">
        <v>43451</v>
      </c>
      <c r="L1004" s="22">
        <v>16.71113395690918</v>
      </c>
    </row>
    <row r="1005" spans="1:12" x14ac:dyDescent="0.25">
      <c r="A1005" s="9">
        <v>998</v>
      </c>
      <c r="B1005" s="10">
        <v>43453</v>
      </c>
      <c r="C1005" s="3">
        <v>16.829793597962158</v>
      </c>
      <c r="D1005" s="3">
        <v>17.449456051718197</v>
      </c>
      <c r="E1005" s="3">
        <v>16.552922685112833</v>
      </c>
      <c r="F1005" s="3">
        <v>16.559514999389648</v>
      </c>
      <c r="G1005" s="3">
        <v>591100</v>
      </c>
      <c r="H1005" s="3">
        <v>0</v>
      </c>
      <c r="I1005" s="3">
        <v>0</v>
      </c>
      <c r="J1005" s="3" t="str">
        <v>AB</v>
      </c>
      <c r="K1005" s="23">
        <v>43452</v>
      </c>
      <c r="L1005" s="22">
        <v>16.994596481323242</v>
      </c>
    </row>
    <row r="1006" spans="1:12" x14ac:dyDescent="0.25">
      <c r="A1006" s="9">
        <v>999</v>
      </c>
      <c r="B1006" s="10">
        <v>43454</v>
      </c>
      <c r="C1006" s="3">
        <v>16.480407134446899</v>
      </c>
      <c r="D1006" s="3">
        <v>16.842975588462618</v>
      </c>
      <c r="E1006" s="3">
        <v>16.223313185503216</v>
      </c>
      <c r="F1006" s="3">
        <v>16.447446823120117</v>
      </c>
      <c r="G1006" s="3">
        <v>609600</v>
      </c>
      <c r="H1006" s="3">
        <v>0</v>
      </c>
      <c r="I1006" s="3">
        <v>0</v>
      </c>
      <c r="J1006" s="3" t="str">
        <v>AB</v>
      </c>
      <c r="K1006" s="23">
        <v>43453</v>
      </c>
      <c r="L1006" s="22">
        <v>16.559514999389648</v>
      </c>
    </row>
    <row r="1007" spans="1:12" x14ac:dyDescent="0.25">
      <c r="A1007" s="9">
        <v>1000</v>
      </c>
      <c r="B1007" s="10">
        <v>43455</v>
      </c>
      <c r="C1007" s="3">
        <v>16.36834345713525</v>
      </c>
      <c r="D1007" s="3">
        <v>16.961637976372426</v>
      </c>
      <c r="E1007" s="3">
        <v>15.959628728522009</v>
      </c>
      <c r="F1007" s="3">
        <v>16.012367248535156</v>
      </c>
      <c r="G1007" s="3">
        <v>744600</v>
      </c>
      <c r="H1007" s="3">
        <v>0</v>
      </c>
      <c r="I1007" s="3">
        <v>0</v>
      </c>
      <c r="J1007" s="3" t="str">
        <v>AB</v>
      </c>
      <c r="K1007" s="23">
        <v>43454</v>
      </c>
      <c r="L1007" s="22">
        <v>16.447446823120117</v>
      </c>
    </row>
    <row r="1008" spans="1:12" x14ac:dyDescent="0.25">
      <c r="A1008" s="9">
        <v>1001</v>
      </c>
      <c r="B1008" s="10">
        <v>43458</v>
      </c>
      <c r="C1008" s="3">
        <v>15.821193800472649</v>
      </c>
      <c r="D1008" s="3">
        <v>15.94644527011927</v>
      </c>
      <c r="E1008" s="3">
        <v>15.386111071548093</v>
      </c>
      <c r="F1008" s="3">
        <v>15.610244750976563</v>
      </c>
      <c r="G1008" s="3">
        <v>648400</v>
      </c>
      <c r="H1008" s="3">
        <v>0</v>
      </c>
      <c r="I1008" s="3">
        <v>0</v>
      </c>
      <c r="J1008" s="3" t="str">
        <v>AB</v>
      </c>
      <c r="K1008" s="23">
        <v>43455</v>
      </c>
      <c r="L1008" s="22">
        <v>16.012367248535156</v>
      </c>
    </row>
    <row r="1009" spans="1:12" x14ac:dyDescent="0.25">
      <c r="A1009" s="9">
        <v>1002</v>
      </c>
      <c r="B1009" s="10">
        <v>43460</v>
      </c>
      <c r="C1009" s="3">
        <v>15.610243863476343</v>
      </c>
      <c r="D1009" s="3">
        <v>16.948452291643349</v>
      </c>
      <c r="E1009" s="3">
        <v>15.610243863476343</v>
      </c>
      <c r="F1009" s="3">
        <v>16.928676605224609</v>
      </c>
      <c r="G1009" s="3">
        <v>698000</v>
      </c>
      <c r="H1009" s="3">
        <v>0</v>
      </c>
      <c r="I1009" s="3">
        <v>0</v>
      </c>
      <c r="J1009" s="3" t="str">
        <v>AB</v>
      </c>
      <c r="K1009" s="23">
        <v>43458</v>
      </c>
      <c r="L1009" s="22">
        <v>15.610244750976563</v>
      </c>
    </row>
    <row r="1010" spans="1:12" x14ac:dyDescent="0.25">
      <c r="A1010" s="9">
        <v>1003</v>
      </c>
      <c r="B1010" s="10">
        <v>43461</v>
      </c>
      <c r="C1010" s="3">
        <v>16.816607870521413</v>
      </c>
      <c r="D1010" s="3">
        <v>17.192360958258483</v>
      </c>
      <c r="E1010" s="3">
        <v>16.315603334420217</v>
      </c>
      <c r="F1010" s="3">
        <v>17.179176330566406</v>
      </c>
      <c r="G1010" s="3">
        <v>594300</v>
      </c>
      <c r="H1010" s="3">
        <v>0</v>
      </c>
      <c r="I1010" s="3">
        <v>0</v>
      </c>
      <c r="J1010" s="3" t="str">
        <v>AB</v>
      </c>
      <c r="K1010" s="23">
        <v>43460</v>
      </c>
      <c r="L1010" s="22">
        <v>16.928676605224609</v>
      </c>
    </row>
    <row r="1011" spans="1:12" x14ac:dyDescent="0.25">
      <c r="A1011" s="9">
        <v>1004</v>
      </c>
      <c r="B1011" s="10">
        <v>43462</v>
      </c>
      <c r="C1011" s="3">
        <v>17.324205344278948</v>
      </c>
      <c r="D1011" s="3">
        <v>17.825209898420322</v>
      </c>
      <c r="E1011" s="3">
        <v>17.324205344278948</v>
      </c>
      <c r="F1011" s="3">
        <v>17.680181503295898</v>
      </c>
      <c r="G1011" s="3">
        <v>642300</v>
      </c>
      <c r="H1011" s="3">
        <v>0</v>
      </c>
      <c r="I1011" s="3">
        <v>0</v>
      </c>
      <c r="J1011" s="3" t="str">
        <v>AB</v>
      </c>
      <c r="K1011" s="23">
        <v>43461</v>
      </c>
      <c r="L1011" s="22">
        <v>17.179176330566406</v>
      </c>
    </row>
    <row r="1012" spans="1:12" x14ac:dyDescent="0.25">
      <c r="A1012" s="9">
        <v>1005</v>
      </c>
      <c r="B1012" s="10">
        <v>43465</v>
      </c>
      <c r="C1012" s="3">
        <v>17.68018599151781</v>
      </c>
      <c r="D1012" s="3">
        <v>18.207559935869902</v>
      </c>
      <c r="E1012" s="3">
        <v>17.68018599151781</v>
      </c>
      <c r="F1012" s="3">
        <v>18.009794235229492</v>
      </c>
      <c r="G1012" s="3">
        <v>583800</v>
      </c>
      <c r="H1012" s="3">
        <v>0</v>
      </c>
      <c r="I1012" s="3">
        <v>0</v>
      </c>
      <c r="J1012" s="3" t="str">
        <v>AB</v>
      </c>
      <c r="K1012" s="23">
        <v>43462</v>
      </c>
      <c r="L1012" s="22">
        <v>17.680181503295898</v>
      </c>
    </row>
    <row r="1013" spans="1:12" x14ac:dyDescent="0.25">
      <c r="A1013" s="9">
        <v>1006</v>
      </c>
      <c r="B1013" s="10">
        <v>43467</v>
      </c>
      <c r="C1013" s="3">
        <v>17.772471562259216</v>
      </c>
      <c r="D1013" s="3">
        <v>18.491017458868079</v>
      </c>
      <c r="E1013" s="3">
        <v>17.739511248870148</v>
      </c>
      <c r="F1013" s="3">
        <v>17.976829528808594</v>
      </c>
      <c r="G1013" s="3">
        <v>859500</v>
      </c>
      <c r="H1013" s="3">
        <v>0</v>
      </c>
      <c r="I1013" s="3">
        <v>0</v>
      </c>
      <c r="J1013" s="3" t="str">
        <v>AB</v>
      </c>
      <c r="K1013" s="23">
        <v>43465</v>
      </c>
      <c r="L1013" s="22">
        <v>18.009794235229492</v>
      </c>
    </row>
    <row r="1014" spans="1:12" x14ac:dyDescent="0.25">
      <c r="A1014" s="9">
        <v>1007</v>
      </c>
      <c r="B1014" s="10">
        <v>43468</v>
      </c>
      <c r="C1014" s="3">
        <v>17.950461318970042</v>
      </c>
      <c r="D1014" s="3">
        <v>18.458058221835831</v>
      </c>
      <c r="E1014" s="3">
        <v>17.779064913170341</v>
      </c>
      <c r="F1014" s="3">
        <v>18.108673095703125</v>
      </c>
      <c r="G1014" s="3">
        <v>532200</v>
      </c>
      <c r="H1014" s="3">
        <v>0</v>
      </c>
      <c r="I1014" s="3">
        <v>0</v>
      </c>
      <c r="J1014" s="3" t="str">
        <v>AB</v>
      </c>
      <c r="K1014" s="23">
        <v>43467</v>
      </c>
      <c r="L1014" s="22">
        <v>17.976829528808594</v>
      </c>
    </row>
    <row r="1015" spans="1:12" x14ac:dyDescent="0.25">
      <c r="A1015" s="9">
        <v>1008</v>
      </c>
      <c r="B1015" s="10">
        <v>43469</v>
      </c>
      <c r="C1015" s="3">
        <v>18.418502777955752</v>
      </c>
      <c r="D1015" s="3">
        <v>18.899730349164876</v>
      </c>
      <c r="E1015" s="3">
        <v>18.392133523851296</v>
      </c>
      <c r="F1015" s="3">
        <v>18.523977279663086</v>
      </c>
      <c r="G1015" s="3">
        <v>504100</v>
      </c>
      <c r="H1015" s="3">
        <v>0</v>
      </c>
      <c r="I1015" s="3">
        <v>0</v>
      </c>
      <c r="J1015" s="3" t="str">
        <v>AB</v>
      </c>
      <c r="K1015" s="23">
        <v>43468</v>
      </c>
      <c r="L1015" s="22">
        <v>18.108673095703125</v>
      </c>
    </row>
    <row r="1016" spans="1:12" x14ac:dyDescent="0.25">
      <c r="A1016" s="9">
        <v>1009</v>
      </c>
      <c r="B1016" s="10">
        <v>43472</v>
      </c>
      <c r="C1016" s="3">
        <v>18.517389053464925</v>
      </c>
      <c r="D1016" s="3">
        <v>18.814036940842673</v>
      </c>
      <c r="E1016" s="3">
        <v>18.326215691075813</v>
      </c>
      <c r="F1016" s="3">
        <v>18.431690216064453</v>
      </c>
      <c r="G1016" s="3">
        <v>492500</v>
      </c>
      <c r="H1016" s="3">
        <v>0</v>
      </c>
      <c r="I1016" s="3">
        <v>0</v>
      </c>
      <c r="J1016" s="3" t="str">
        <v>AB</v>
      </c>
      <c r="K1016" s="23">
        <v>43469</v>
      </c>
      <c r="L1016" s="22">
        <v>18.523977279663086</v>
      </c>
    </row>
    <row r="1017" spans="1:12" x14ac:dyDescent="0.25">
      <c r="A1017" s="9">
        <v>1010</v>
      </c>
      <c r="B1017" s="10">
        <v>43473</v>
      </c>
      <c r="C1017" s="3">
        <v>18.603082527265968</v>
      </c>
      <c r="D1017" s="3">
        <v>18.754703223656101</v>
      </c>
      <c r="E1017" s="3">
        <v>18.326211645945403</v>
      </c>
      <c r="F1017" s="3">
        <v>18.523977279663086</v>
      </c>
      <c r="G1017" s="3">
        <v>497400</v>
      </c>
      <c r="H1017" s="3">
        <v>0</v>
      </c>
      <c r="I1017" s="3">
        <v>0</v>
      </c>
      <c r="J1017" s="3" t="str">
        <v>AB</v>
      </c>
      <c r="K1017" s="23">
        <v>43472</v>
      </c>
      <c r="L1017" s="22">
        <v>18.431690216064453</v>
      </c>
    </row>
    <row r="1018" spans="1:12" x14ac:dyDescent="0.25">
      <c r="A1018" s="9">
        <v>1011</v>
      </c>
      <c r="B1018" s="10">
        <v>43474</v>
      </c>
      <c r="C1018" s="3">
        <v>18.583308920221832</v>
      </c>
      <c r="D1018" s="3">
        <v>19.249117572482412</v>
      </c>
      <c r="E1018" s="3">
        <v>18.484426720993216</v>
      </c>
      <c r="F1018" s="3">
        <v>18.497610092163086</v>
      </c>
      <c r="G1018" s="3">
        <v>485900</v>
      </c>
      <c r="H1018" s="3">
        <v>0</v>
      </c>
      <c r="I1018" s="3">
        <v>0</v>
      </c>
      <c r="J1018" s="3" t="str">
        <v>AB</v>
      </c>
      <c r="K1018" s="23">
        <v>43473</v>
      </c>
      <c r="L1018" s="22">
        <v>18.523977279663086</v>
      </c>
    </row>
    <row r="1019" spans="1:12" x14ac:dyDescent="0.25">
      <c r="A1019" s="9">
        <v>1012</v>
      </c>
      <c r="B1019" s="10">
        <v>43475</v>
      </c>
      <c r="C1019" s="3">
        <v>18.497609990701068</v>
      </c>
      <c r="D1019" s="3">
        <v>18.675598702749515</v>
      </c>
      <c r="E1019" s="3">
        <v>18.431688105791789</v>
      </c>
      <c r="F1019" s="3">
        <v>18.563531875610352</v>
      </c>
      <c r="G1019" s="3">
        <v>545200</v>
      </c>
      <c r="H1019" s="3">
        <v>0</v>
      </c>
      <c r="I1019" s="3">
        <v>0</v>
      </c>
      <c r="J1019" s="3" t="str">
        <v>AB</v>
      </c>
      <c r="K1019" s="23">
        <v>43474</v>
      </c>
      <c r="L1019" s="22">
        <v>18.497610092163086</v>
      </c>
    </row>
    <row r="1020" spans="1:12" x14ac:dyDescent="0.25">
      <c r="A1020" s="9">
        <v>1013</v>
      </c>
      <c r="B1020" s="10">
        <v>43476</v>
      </c>
      <c r="C1020" s="3">
        <v>18.530573875173449</v>
      </c>
      <c r="D1020" s="3">
        <v>18.827220508265249</v>
      </c>
      <c r="E1020" s="3">
        <v>18.405322403945071</v>
      </c>
      <c r="F1020" s="3">
        <v>18.767890930175781</v>
      </c>
      <c r="G1020" s="3">
        <v>492400</v>
      </c>
      <c r="H1020" s="3">
        <v>0</v>
      </c>
      <c r="I1020" s="3">
        <v>0</v>
      </c>
      <c r="J1020" s="3" t="str">
        <v>AB</v>
      </c>
      <c r="K1020" s="23">
        <v>43475</v>
      </c>
      <c r="L1020" s="22">
        <v>18.563531875610352</v>
      </c>
    </row>
    <row r="1021" spans="1:12" x14ac:dyDescent="0.25">
      <c r="A1021" s="9">
        <v>1014</v>
      </c>
      <c r="B1021" s="10">
        <v>43479</v>
      </c>
      <c r="C1021" s="3">
        <v>18.734929626848682</v>
      </c>
      <c r="D1021" s="3">
        <v>19.077722447256086</v>
      </c>
      <c r="E1021" s="3">
        <v>18.570125531347674</v>
      </c>
      <c r="F1021" s="3">
        <v>18.675600051879883</v>
      </c>
      <c r="G1021" s="3">
        <v>455800</v>
      </c>
      <c r="H1021" s="3">
        <v>0</v>
      </c>
      <c r="I1021" s="3">
        <v>0</v>
      </c>
      <c r="J1021" s="3" t="str">
        <v>AB</v>
      </c>
      <c r="K1021" s="23">
        <v>43476</v>
      </c>
      <c r="L1021" s="22">
        <v>18.767890930175781</v>
      </c>
    </row>
    <row r="1022" spans="1:12" x14ac:dyDescent="0.25">
      <c r="A1022" s="9">
        <v>1015</v>
      </c>
      <c r="B1022" s="10">
        <v>43480</v>
      </c>
      <c r="C1022" s="3">
        <v>18.550348790587787</v>
      </c>
      <c r="D1022" s="3">
        <v>19.01839308076617</v>
      </c>
      <c r="E1022" s="3">
        <v>18.550348790587787</v>
      </c>
      <c r="F1022" s="3">
        <v>19.011800765991211</v>
      </c>
      <c r="G1022" s="3">
        <v>225000</v>
      </c>
      <c r="H1022" s="3">
        <v>0</v>
      </c>
      <c r="I1022" s="3">
        <v>0</v>
      </c>
      <c r="J1022" s="3" t="str">
        <v>AB</v>
      </c>
      <c r="K1022" s="23">
        <v>43479</v>
      </c>
      <c r="L1022" s="22">
        <v>18.675600051879883</v>
      </c>
    </row>
    <row r="1023" spans="1:12" x14ac:dyDescent="0.25">
      <c r="A1023" s="9">
        <v>1016</v>
      </c>
      <c r="B1023" s="10">
        <v>43481</v>
      </c>
      <c r="C1023" s="3">
        <v>19.084311537468736</v>
      </c>
      <c r="D1023" s="3">
        <v>19.558946799669176</v>
      </c>
      <c r="E1023" s="3">
        <v>19.084311537468736</v>
      </c>
      <c r="F1023" s="3">
        <v>19.427103042602539</v>
      </c>
      <c r="G1023" s="3">
        <v>373800</v>
      </c>
      <c r="H1023" s="3">
        <v>0</v>
      </c>
      <c r="I1023" s="3">
        <v>0</v>
      </c>
      <c r="J1023" s="3" t="str">
        <v>AB</v>
      </c>
      <c r="K1023" s="23">
        <v>43480</v>
      </c>
      <c r="L1023" s="22">
        <v>19.011800765991211</v>
      </c>
    </row>
    <row r="1024" spans="1:12" x14ac:dyDescent="0.25">
      <c r="A1024" s="9">
        <v>1017</v>
      </c>
      <c r="B1024" s="10">
        <v>43482</v>
      </c>
      <c r="C1024" s="3">
        <v>19.413920607946348</v>
      </c>
      <c r="D1024" s="3">
        <v>19.697382561790018</v>
      </c>
      <c r="E1024" s="3">
        <v>19.235931904539267</v>
      </c>
      <c r="F1024" s="3">
        <v>19.479841232299805</v>
      </c>
      <c r="G1024" s="3">
        <v>371700</v>
      </c>
      <c r="H1024" s="3">
        <v>0</v>
      </c>
      <c r="I1024" s="3">
        <v>0</v>
      </c>
      <c r="J1024" s="3" t="str">
        <v>AB</v>
      </c>
      <c r="K1024" s="23">
        <v>43481</v>
      </c>
      <c r="L1024" s="22">
        <v>19.427103042602539</v>
      </c>
    </row>
    <row r="1025" spans="1:12" x14ac:dyDescent="0.25">
      <c r="A1025" s="9">
        <v>1018</v>
      </c>
      <c r="B1025" s="10">
        <v>43483</v>
      </c>
      <c r="C1025" s="3">
        <v>19.671017055263267</v>
      </c>
      <c r="D1025" s="3">
        <v>19.908335356534007</v>
      </c>
      <c r="E1025" s="3">
        <v>19.578727163593744</v>
      </c>
      <c r="F1025" s="3">
        <v>19.835821151733398</v>
      </c>
      <c r="G1025" s="3">
        <v>392000</v>
      </c>
      <c r="H1025" s="3">
        <v>0</v>
      </c>
      <c r="I1025" s="3">
        <v>0</v>
      </c>
      <c r="J1025" s="3" t="str">
        <v>AB</v>
      </c>
      <c r="K1025" s="23">
        <v>43482</v>
      </c>
      <c r="L1025" s="22">
        <v>19.479841232299805</v>
      </c>
    </row>
    <row r="1026" spans="1:12" x14ac:dyDescent="0.25">
      <c r="A1026" s="9">
        <v>1019</v>
      </c>
      <c r="B1026" s="10">
        <v>43487</v>
      </c>
      <c r="C1026" s="3">
        <v>19.446880340576172</v>
      </c>
      <c r="D1026" s="3">
        <v>19.829225734266171</v>
      </c>
      <c r="E1026" s="3">
        <v>19.380958460831977</v>
      </c>
      <c r="F1026" s="3">
        <v>19.446880340576172</v>
      </c>
      <c r="G1026" s="3">
        <v>454600</v>
      </c>
      <c r="H1026" s="3">
        <v>0</v>
      </c>
      <c r="I1026" s="3">
        <v>0</v>
      </c>
      <c r="J1026" s="3" t="str">
        <v>AB</v>
      </c>
      <c r="K1026" s="23">
        <v>43483</v>
      </c>
      <c r="L1026" s="22">
        <v>19.835821151733398</v>
      </c>
    </row>
    <row r="1027" spans="1:12" x14ac:dyDescent="0.25">
      <c r="A1027" s="9">
        <v>1020</v>
      </c>
      <c r="B1027" s="10">
        <v>43488</v>
      </c>
      <c r="C1027" s="3">
        <v>19.506212248179214</v>
      </c>
      <c r="D1027" s="3">
        <v>19.677608653146812</v>
      </c>
      <c r="E1027" s="3">
        <v>19.374368472864006</v>
      </c>
      <c r="F1027" s="3">
        <v>19.651239395141602</v>
      </c>
      <c r="G1027" s="3">
        <v>256200</v>
      </c>
      <c r="H1027" s="3">
        <v>0</v>
      </c>
      <c r="I1027" s="3">
        <v>0</v>
      </c>
      <c r="J1027" s="3" t="str">
        <v>AB</v>
      </c>
      <c r="K1027" s="23">
        <v>43487</v>
      </c>
      <c r="L1027" s="22">
        <v>19.446880340576172</v>
      </c>
    </row>
    <row r="1028" spans="1:12" x14ac:dyDescent="0.25">
      <c r="A1028" s="9">
        <v>1021</v>
      </c>
      <c r="B1028" s="10">
        <v>43489</v>
      </c>
      <c r="C1028" s="3">
        <v>19.611686558874247</v>
      </c>
      <c r="D1028" s="3">
        <v>19.941294736334317</v>
      </c>
      <c r="E1028" s="3">
        <v>19.611686558874247</v>
      </c>
      <c r="F1028" s="3">
        <v>19.783082962036133</v>
      </c>
      <c r="G1028" s="3">
        <v>268900</v>
      </c>
      <c r="H1028" s="3">
        <v>0</v>
      </c>
      <c r="I1028" s="3">
        <v>0</v>
      </c>
      <c r="J1028" s="3" t="str">
        <v>AB</v>
      </c>
      <c r="K1028" s="23">
        <v>43488</v>
      </c>
      <c r="L1028" s="22">
        <v>19.651239395141602</v>
      </c>
    </row>
    <row r="1029" spans="1:12" x14ac:dyDescent="0.25">
      <c r="A1029" s="9">
        <v>1022</v>
      </c>
      <c r="B1029" s="10">
        <v>43490</v>
      </c>
      <c r="C1029" s="3">
        <v>19.94129573058191</v>
      </c>
      <c r="D1029" s="3">
        <v>20.178614032539283</v>
      </c>
      <c r="E1029" s="3">
        <v>19.829228894363759</v>
      </c>
      <c r="F1029" s="3">
        <v>19.875373840332031</v>
      </c>
      <c r="G1029" s="3">
        <v>341600</v>
      </c>
      <c r="H1029" s="3">
        <v>0</v>
      </c>
      <c r="I1029" s="3">
        <v>0</v>
      </c>
      <c r="J1029" s="3" t="str">
        <v>AB</v>
      </c>
      <c r="K1029" s="23">
        <v>43489</v>
      </c>
      <c r="L1029" s="22">
        <v>19.783082962036133</v>
      </c>
    </row>
    <row r="1030" spans="1:12" x14ac:dyDescent="0.25">
      <c r="A1030" s="9">
        <v>1023</v>
      </c>
      <c r="B1030" s="10">
        <v>43493</v>
      </c>
      <c r="C1030" s="3">
        <v>19.84241296070384</v>
      </c>
      <c r="D1030" s="3">
        <v>20.053361997631768</v>
      </c>
      <c r="E1030" s="3">
        <v>19.84241296070384</v>
      </c>
      <c r="F1030" s="3">
        <v>19.98744010925293</v>
      </c>
      <c r="G1030" s="3">
        <v>194400</v>
      </c>
      <c r="H1030" s="3">
        <v>0</v>
      </c>
      <c r="I1030" s="3">
        <v>0</v>
      </c>
      <c r="J1030" s="3" t="str">
        <v>AB</v>
      </c>
      <c r="K1030" s="23">
        <v>43490</v>
      </c>
      <c r="L1030" s="22">
        <v>19.875373840332031</v>
      </c>
    </row>
    <row r="1031" spans="1:12" x14ac:dyDescent="0.25">
      <c r="A1031" s="9">
        <v>1024</v>
      </c>
      <c r="B1031" s="10">
        <v>43494</v>
      </c>
      <c r="C1031" s="3">
        <v>20.020402772190433</v>
      </c>
      <c r="D1031" s="3">
        <v>20.106100351600173</v>
      </c>
      <c r="E1031" s="3">
        <v>19.862189728524665</v>
      </c>
      <c r="F1031" s="3">
        <v>19.868782043457031</v>
      </c>
      <c r="G1031" s="3">
        <v>182300</v>
      </c>
      <c r="H1031" s="3">
        <v>0</v>
      </c>
      <c r="I1031" s="3">
        <v>0</v>
      </c>
      <c r="J1031" s="3" t="str">
        <v>AB</v>
      </c>
      <c r="K1031" s="23">
        <v>43493</v>
      </c>
      <c r="L1031" s="22">
        <v>19.98744010925293</v>
      </c>
    </row>
    <row r="1032" spans="1:12" x14ac:dyDescent="0.25">
      <c r="A1032" s="9">
        <v>1025</v>
      </c>
      <c r="B1032" s="10">
        <v>43495</v>
      </c>
      <c r="C1032" s="3">
        <v>19.875371810121237</v>
      </c>
      <c r="D1032" s="3">
        <v>20.040175890233943</v>
      </c>
      <c r="E1032" s="3">
        <v>19.710567730008531</v>
      </c>
      <c r="F1032" s="3">
        <v>19.796266555786133</v>
      </c>
      <c r="G1032" s="3">
        <v>349100</v>
      </c>
      <c r="H1032" s="3">
        <v>0</v>
      </c>
      <c r="I1032" s="3">
        <v>0</v>
      </c>
      <c r="J1032" s="3" t="str">
        <v>AB</v>
      </c>
      <c r="K1032" s="23">
        <v>43494</v>
      </c>
      <c r="L1032" s="22">
        <v>19.868782043457031</v>
      </c>
    </row>
    <row r="1033" spans="1:12" x14ac:dyDescent="0.25">
      <c r="A1033" s="9">
        <v>1026</v>
      </c>
      <c r="B1033" s="10">
        <v>43496</v>
      </c>
      <c r="C1033" s="3">
        <v>19.829224011625247</v>
      </c>
      <c r="D1033" s="3">
        <v>20.211569372099436</v>
      </c>
      <c r="E1033" s="3">
        <v>19.776486763882435</v>
      </c>
      <c r="F1033" s="3">
        <v>20.099502563476563</v>
      </c>
      <c r="G1033" s="3">
        <v>441800</v>
      </c>
      <c r="H1033" s="3">
        <v>0</v>
      </c>
      <c r="I1033" s="3">
        <v>0</v>
      </c>
      <c r="J1033" s="3" t="str">
        <v>AB</v>
      </c>
      <c r="K1033" s="23">
        <v>43495</v>
      </c>
      <c r="L1033" s="22">
        <v>19.796266555786133</v>
      </c>
    </row>
    <row r="1034" spans="1:12" x14ac:dyDescent="0.25">
      <c r="A1034" s="9">
        <v>1027</v>
      </c>
      <c r="B1034" s="10">
        <v>43497</v>
      </c>
      <c r="C1034" s="3">
        <v>20.099508232334738</v>
      </c>
      <c r="D1034" s="3">
        <v>20.310457282801984</v>
      </c>
      <c r="E1034" s="3">
        <v>20.099508232334738</v>
      </c>
      <c r="F1034" s="3">
        <v>20.204982757568359</v>
      </c>
      <c r="G1034" s="3">
        <v>315000</v>
      </c>
      <c r="H1034" s="3">
        <v>0</v>
      </c>
      <c r="I1034" s="3">
        <v>0</v>
      </c>
      <c r="J1034" s="3" t="str">
        <v>AB</v>
      </c>
      <c r="K1034" s="23">
        <v>43496</v>
      </c>
      <c r="L1034" s="22">
        <v>20.099502563476563</v>
      </c>
    </row>
    <row r="1035" spans="1:12" x14ac:dyDescent="0.25">
      <c r="A1035" s="9">
        <v>1028</v>
      </c>
      <c r="B1035" s="10">
        <v>43500</v>
      </c>
      <c r="C1035" s="3">
        <v>20.198388994534266</v>
      </c>
      <c r="D1035" s="3">
        <v>20.396154658185981</v>
      </c>
      <c r="E1035" s="3">
        <v>20.125876049481857</v>
      </c>
      <c r="F1035" s="3">
        <v>20.158836364746094</v>
      </c>
      <c r="G1035" s="3">
        <v>271300</v>
      </c>
      <c r="H1035" s="3">
        <v>0</v>
      </c>
      <c r="I1035" s="3">
        <v>0</v>
      </c>
      <c r="J1035" s="3" t="str">
        <v>AB</v>
      </c>
      <c r="K1035" s="23">
        <v>43497</v>
      </c>
      <c r="L1035" s="22">
        <v>20.204982757568359</v>
      </c>
    </row>
    <row r="1036" spans="1:12" x14ac:dyDescent="0.25">
      <c r="A1036" s="9">
        <v>1029</v>
      </c>
      <c r="B1036" s="10">
        <v>43501</v>
      </c>
      <c r="C1036" s="3">
        <v>20.224755557399245</v>
      </c>
      <c r="D1036" s="3">
        <v>20.270900495561893</v>
      </c>
      <c r="E1036" s="3">
        <v>19.750119033771405</v>
      </c>
      <c r="F1036" s="3">
        <v>19.829225540161133</v>
      </c>
      <c r="G1036" s="3">
        <v>453300</v>
      </c>
      <c r="H1036" s="3">
        <v>0</v>
      </c>
      <c r="I1036" s="3">
        <v>0</v>
      </c>
      <c r="J1036" s="3" t="str">
        <v>AB</v>
      </c>
      <c r="K1036" s="23">
        <v>43500</v>
      </c>
      <c r="L1036" s="22">
        <v>20.158836364746094</v>
      </c>
    </row>
    <row r="1037" spans="1:12" x14ac:dyDescent="0.25">
      <c r="A1037" s="9">
        <v>1030</v>
      </c>
      <c r="B1037" s="10">
        <v>43502</v>
      </c>
      <c r="C1037" s="3">
        <v>19.776492719904034</v>
      </c>
      <c r="D1037" s="3">
        <v>19.875374932032447</v>
      </c>
      <c r="E1037" s="3">
        <v>19.723755456278511</v>
      </c>
      <c r="F1037" s="3">
        <v>19.756715774536133</v>
      </c>
      <c r="G1037" s="3">
        <v>316200</v>
      </c>
      <c r="H1037" s="3">
        <v>0</v>
      </c>
      <c r="I1037" s="3">
        <v>0</v>
      </c>
      <c r="J1037" s="3" t="str">
        <v>AB</v>
      </c>
      <c r="K1037" s="23">
        <v>43501</v>
      </c>
      <c r="L1037" s="22">
        <v>19.829225540161133</v>
      </c>
    </row>
    <row r="1038" spans="1:12" x14ac:dyDescent="0.25">
      <c r="A1038" s="9">
        <v>1031</v>
      </c>
      <c r="B1038" s="10">
        <v>43503</v>
      </c>
      <c r="C1038" s="3">
        <v>19.717159591191646</v>
      </c>
      <c r="D1038" s="3">
        <v>19.86218672571162</v>
      </c>
      <c r="E1038" s="3">
        <v>19.552355514864495</v>
      </c>
      <c r="F1038" s="3">
        <v>19.842411041259766</v>
      </c>
      <c r="G1038" s="3">
        <v>242000</v>
      </c>
      <c r="H1038" s="3">
        <v>0</v>
      </c>
      <c r="I1038" s="3">
        <v>0</v>
      </c>
      <c r="J1038" s="3" t="str">
        <v>AB</v>
      </c>
      <c r="K1038" s="23">
        <v>43502</v>
      </c>
      <c r="L1038" s="22">
        <v>19.756715774536133</v>
      </c>
    </row>
    <row r="1039" spans="1:12" x14ac:dyDescent="0.25">
      <c r="A1039" s="9">
        <v>1032</v>
      </c>
      <c r="B1039" s="10">
        <v>43504</v>
      </c>
      <c r="C1039" s="3">
        <v>19.776493760405994</v>
      </c>
      <c r="D1039" s="3">
        <v>20.224761153485428</v>
      </c>
      <c r="E1039" s="3">
        <v>19.578729325744181</v>
      </c>
      <c r="F1039" s="3">
        <v>20.106101989746094</v>
      </c>
      <c r="G1039" s="3">
        <v>319200</v>
      </c>
      <c r="H1039" s="3">
        <v>0</v>
      </c>
      <c r="I1039" s="3">
        <v>0</v>
      </c>
      <c r="J1039" s="3" t="str">
        <v>AB</v>
      </c>
      <c r="K1039" s="23">
        <v>43503</v>
      </c>
      <c r="L1039" s="22">
        <v>19.842411041259766</v>
      </c>
    </row>
    <row r="1040" spans="1:12" x14ac:dyDescent="0.25">
      <c r="A1040" s="9">
        <v>1033</v>
      </c>
      <c r="B1040" s="10">
        <v>43507</v>
      </c>
      <c r="C1040" s="3">
        <v>20.119282136929819</v>
      </c>
      <c r="D1040" s="3">
        <v>20.547772488108063</v>
      </c>
      <c r="E1040" s="3">
        <v>20.106097508929178</v>
      </c>
      <c r="F1040" s="3">
        <v>20.534587860107422</v>
      </c>
      <c r="G1040" s="3">
        <v>418700</v>
      </c>
      <c r="H1040" s="3">
        <v>0</v>
      </c>
      <c r="I1040" s="3">
        <v>0</v>
      </c>
      <c r="J1040" s="3" t="str">
        <v>AB</v>
      </c>
      <c r="K1040" s="23">
        <v>43504</v>
      </c>
      <c r="L1040" s="22">
        <v>20.106101989746094</v>
      </c>
    </row>
    <row r="1041" spans="1:12" x14ac:dyDescent="0.25">
      <c r="A1041" s="9">
        <v>1034</v>
      </c>
      <c r="B1041" s="10">
        <v>43508</v>
      </c>
      <c r="C1041" s="3">
        <v>20.580733675252851</v>
      </c>
      <c r="D1041" s="3">
        <v>20.71257744615081</v>
      </c>
      <c r="E1041" s="3">
        <v>20.356600019139556</v>
      </c>
      <c r="F1041" s="3">
        <v>20.547773361206055</v>
      </c>
      <c r="G1041" s="3">
        <v>422300</v>
      </c>
      <c r="H1041" s="3">
        <v>0</v>
      </c>
      <c r="I1041" s="3">
        <v>0</v>
      </c>
      <c r="J1041" s="3" t="str">
        <v>AB</v>
      </c>
      <c r="K1041" s="23">
        <v>43507</v>
      </c>
      <c r="L1041" s="22">
        <v>20.534587860107422</v>
      </c>
    </row>
    <row r="1042" spans="1:12" x14ac:dyDescent="0.25">
      <c r="A1042" s="9">
        <v>1035</v>
      </c>
      <c r="B1042" s="10">
        <v>43509</v>
      </c>
      <c r="C1042" s="3">
        <v>19.901741264289033</v>
      </c>
      <c r="D1042" s="3">
        <v>20.659839788871754</v>
      </c>
      <c r="E1042" s="3">
        <v>19.776489810098909</v>
      </c>
      <c r="F1042" s="3">
        <v>20.237941741943359</v>
      </c>
      <c r="G1042" s="3">
        <v>561800</v>
      </c>
      <c r="H1042" s="3">
        <v>0</v>
      </c>
      <c r="I1042" s="3">
        <v>0</v>
      </c>
      <c r="J1042" s="3" t="str">
        <v>AB</v>
      </c>
      <c r="K1042" s="23">
        <v>43508</v>
      </c>
      <c r="L1042" s="22">
        <v>20.547773361206055</v>
      </c>
    </row>
    <row r="1043" spans="1:12" x14ac:dyDescent="0.25">
      <c r="A1043" s="9">
        <v>1036</v>
      </c>
      <c r="B1043" s="10">
        <v>43510</v>
      </c>
      <c r="C1043" s="3">
        <v>19.750121953845486</v>
      </c>
      <c r="D1043" s="3">
        <v>19.90174267539679</v>
      </c>
      <c r="E1043" s="3">
        <v>19.38096113660826</v>
      </c>
      <c r="F1043" s="3">
        <v>19.671016693115234</v>
      </c>
      <c r="G1043" s="3">
        <v>914200</v>
      </c>
      <c r="H1043" s="3">
        <v>0</v>
      </c>
      <c r="I1043" s="3">
        <v>0</v>
      </c>
      <c r="J1043" s="3" t="str">
        <v>AB</v>
      </c>
      <c r="K1043" s="23">
        <v>43509</v>
      </c>
      <c r="L1043" s="22">
        <v>20.237941741943359</v>
      </c>
    </row>
    <row r="1044" spans="1:12" x14ac:dyDescent="0.25">
      <c r="A1044" s="9">
        <v>1037</v>
      </c>
      <c r="B1044" s="10">
        <v>43511</v>
      </c>
      <c r="C1044" s="3">
        <v>19.743528945324943</v>
      </c>
      <c r="D1044" s="3">
        <v>19.92151639305521</v>
      </c>
      <c r="E1044" s="3">
        <v>19.697382747544907</v>
      </c>
      <c r="F1044" s="3">
        <v>19.7764892578125</v>
      </c>
      <c r="G1044" s="3">
        <v>451900</v>
      </c>
      <c r="H1044" s="3">
        <v>0</v>
      </c>
      <c r="I1044" s="3">
        <v>0</v>
      </c>
      <c r="J1044" s="3" t="str">
        <v>AB</v>
      </c>
      <c r="K1044" s="23">
        <v>43510</v>
      </c>
      <c r="L1044" s="22">
        <v>19.671016693115234</v>
      </c>
    </row>
    <row r="1045" spans="1:12" x14ac:dyDescent="0.25">
      <c r="A1045" s="9">
        <v>1038</v>
      </c>
      <c r="B1045" s="10">
        <v>43515</v>
      </c>
      <c r="C1045" s="3">
        <v>19.809449533693382</v>
      </c>
      <c r="D1045" s="3">
        <v>20.026990864833103</v>
      </c>
      <c r="E1045" s="3">
        <v>19.611685144422843</v>
      </c>
      <c r="F1045" s="3">
        <v>19.881963729858398</v>
      </c>
      <c r="G1045" s="3">
        <v>603300</v>
      </c>
      <c r="H1045" s="3">
        <v>0</v>
      </c>
      <c r="I1045" s="3">
        <v>0</v>
      </c>
      <c r="J1045" s="3" t="str">
        <v>AB</v>
      </c>
      <c r="K1045" s="23">
        <v>43511</v>
      </c>
      <c r="L1045" s="22">
        <v>19.7764892578125</v>
      </c>
    </row>
    <row r="1046" spans="1:12" x14ac:dyDescent="0.25">
      <c r="A1046" s="9">
        <v>1039</v>
      </c>
      <c r="B1046" s="10">
        <v>43516</v>
      </c>
      <c r="C1046" s="3">
        <v>19.862185819577558</v>
      </c>
      <c r="D1046" s="3">
        <v>19.954476953111957</v>
      </c>
      <c r="E1046" s="3">
        <v>19.783080570668371</v>
      </c>
      <c r="F1046" s="3">
        <v>19.934700012207031</v>
      </c>
      <c r="G1046" s="3">
        <v>374700</v>
      </c>
      <c r="H1046" s="3">
        <v>0</v>
      </c>
      <c r="I1046" s="3">
        <v>0</v>
      </c>
      <c r="J1046" s="3" t="str">
        <v>AB</v>
      </c>
      <c r="K1046" s="23">
        <v>43515</v>
      </c>
      <c r="L1046" s="22">
        <v>19.881963729858398</v>
      </c>
    </row>
    <row r="1047" spans="1:12" x14ac:dyDescent="0.25">
      <c r="A1047" s="9">
        <v>1040</v>
      </c>
      <c r="B1047" s="10">
        <v>43517</v>
      </c>
      <c r="C1047" s="3">
        <v>19.994025298601311</v>
      </c>
      <c r="D1047" s="3">
        <v>20.14564470769157</v>
      </c>
      <c r="E1047" s="3">
        <v>19.941288058163181</v>
      </c>
      <c r="F1047" s="3">
        <v>20.086315155029297</v>
      </c>
      <c r="G1047" s="3">
        <v>437700</v>
      </c>
      <c r="H1047" s="3">
        <v>0</v>
      </c>
      <c r="I1047" s="3">
        <v>0</v>
      </c>
      <c r="J1047" s="3" t="str">
        <v>AB</v>
      </c>
      <c r="K1047" s="23">
        <v>43516</v>
      </c>
      <c r="L1047" s="22">
        <v>19.934700012207031</v>
      </c>
    </row>
    <row r="1048" spans="1:12" x14ac:dyDescent="0.25">
      <c r="A1048" s="9">
        <v>1041</v>
      </c>
      <c r="B1048" s="10">
        <v>43518</v>
      </c>
      <c r="C1048" s="3">
        <v>19.938184966733743</v>
      </c>
      <c r="D1048" s="3">
        <v>20.173859879643448</v>
      </c>
      <c r="E1048" s="3">
        <v>19.897782452236122</v>
      </c>
      <c r="F1048" s="3">
        <v>19.978586196899414</v>
      </c>
      <c r="G1048" s="3">
        <v>308100</v>
      </c>
      <c r="H1048" s="3">
        <v>0.64</v>
      </c>
      <c r="I1048" s="3">
        <v>0</v>
      </c>
      <c r="J1048" s="3" t="str">
        <v>AB</v>
      </c>
      <c r="K1048" s="23">
        <v>43517</v>
      </c>
      <c r="L1048" s="22">
        <v>20.086315155029297</v>
      </c>
    </row>
    <row r="1049" spans="1:12" x14ac:dyDescent="0.25">
      <c r="A1049" s="9">
        <v>1042</v>
      </c>
      <c r="B1049" s="10">
        <v>43521</v>
      </c>
      <c r="C1049" s="3">
        <v>19.998788725054268</v>
      </c>
      <c r="D1049" s="3">
        <v>20.079591190520535</v>
      </c>
      <c r="E1049" s="3">
        <v>19.702510021569868</v>
      </c>
      <c r="F1049" s="3">
        <v>19.709243774414063</v>
      </c>
      <c r="G1049" s="3">
        <v>246400</v>
      </c>
      <c r="H1049" s="3">
        <v>0</v>
      </c>
      <c r="I1049" s="3">
        <v>0</v>
      </c>
      <c r="J1049" s="3" t="str">
        <v>AB</v>
      </c>
      <c r="K1049" s="23">
        <v>43518</v>
      </c>
      <c r="L1049" s="22">
        <v>19.978586196899414</v>
      </c>
    </row>
    <row r="1050" spans="1:12" x14ac:dyDescent="0.25">
      <c r="A1050" s="9">
        <v>1043</v>
      </c>
      <c r="B1050" s="10">
        <v>43522</v>
      </c>
      <c r="C1050" s="3">
        <v>19.662106980350899</v>
      </c>
      <c r="D1050" s="3">
        <v>19.769844447284445</v>
      </c>
      <c r="E1050" s="3">
        <v>19.352360799668016</v>
      </c>
      <c r="F1050" s="3">
        <v>19.460098266601563</v>
      </c>
      <c r="G1050" s="3">
        <v>303900</v>
      </c>
      <c r="H1050" s="3">
        <v>0</v>
      </c>
      <c r="I1050" s="3">
        <v>0</v>
      </c>
      <c r="J1050" s="3" t="str">
        <v>AB</v>
      </c>
      <c r="K1050" s="23">
        <v>43521</v>
      </c>
      <c r="L1050" s="22">
        <v>19.709243774414063</v>
      </c>
    </row>
    <row r="1051" spans="1:12" x14ac:dyDescent="0.25">
      <c r="A1051" s="9">
        <v>1044</v>
      </c>
      <c r="B1051" s="10">
        <v>43523</v>
      </c>
      <c r="C1051" s="3">
        <v>19.392764132697096</v>
      </c>
      <c r="D1051" s="3">
        <v>19.648641607674552</v>
      </c>
      <c r="E1051" s="3">
        <v>19.32542917180708</v>
      </c>
      <c r="F1051" s="3">
        <v>19.57457160949707</v>
      </c>
      <c r="G1051" s="3">
        <v>200200</v>
      </c>
      <c r="H1051" s="3">
        <v>0</v>
      </c>
      <c r="I1051" s="3">
        <v>0</v>
      </c>
      <c r="J1051" s="3" t="str">
        <v>AB</v>
      </c>
      <c r="K1051" s="23">
        <v>43522</v>
      </c>
      <c r="L1051" s="22">
        <v>19.460098266601563</v>
      </c>
    </row>
    <row r="1052" spans="1:12" x14ac:dyDescent="0.25">
      <c r="A1052" s="9">
        <v>1045</v>
      </c>
      <c r="B1052" s="10">
        <v>43524</v>
      </c>
      <c r="C1052" s="3">
        <v>19.460098709190859</v>
      </c>
      <c r="D1052" s="3">
        <v>19.655373675156579</v>
      </c>
      <c r="E1052" s="3">
        <v>19.460098709190859</v>
      </c>
      <c r="F1052" s="3">
        <v>19.614971160888672</v>
      </c>
      <c r="G1052" s="3">
        <v>160300</v>
      </c>
      <c r="H1052" s="3">
        <v>0</v>
      </c>
      <c r="I1052" s="3">
        <v>0</v>
      </c>
      <c r="J1052" s="3" t="str">
        <v>AB</v>
      </c>
      <c r="K1052" s="23">
        <v>43523</v>
      </c>
      <c r="L1052" s="22">
        <v>19.57457160949707</v>
      </c>
    </row>
    <row r="1053" spans="1:12" x14ac:dyDescent="0.25">
      <c r="A1053" s="9">
        <v>1046</v>
      </c>
      <c r="B1053" s="10">
        <v>43525</v>
      </c>
      <c r="C1053" s="3">
        <v>19.72270706551237</v>
      </c>
      <c r="D1053" s="3">
        <v>19.958381943037118</v>
      </c>
      <c r="E1053" s="3">
        <v>19.493764655061106</v>
      </c>
      <c r="F1053" s="3">
        <v>19.89777946472168</v>
      </c>
      <c r="G1053" s="3">
        <v>300600</v>
      </c>
      <c r="H1053" s="3">
        <v>0</v>
      </c>
      <c r="I1053" s="3">
        <v>0</v>
      </c>
      <c r="J1053" s="3" t="str">
        <v>AB</v>
      </c>
      <c r="K1053" s="23">
        <v>43524</v>
      </c>
      <c r="L1053" s="22">
        <v>19.614971160888672</v>
      </c>
    </row>
    <row r="1054" spans="1:12" x14ac:dyDescent="0.25">
      <c r="A1054" s="9">
        <v>1047</v>
      </c>
      <c r="B1054" s="10">
        <v>43528</v>
      </c>
      <c r="C1054" s="3">
        <v>20.005515243959156</v>
      </c>
      <c r="D1054" s="3">
        <v>20.180588912845497</v>
      </c>
      <c r="E1054" s="3">
        <v>19.843909076755992</v>
      </c>
      <c r="F1054" s="3">
        <v>20.086318969726563</v>
      </c>
      <c r="G1054" s="3">
        <v>355700</v>
      </c>
      <c r="H1054" s="3">
        <v>0</v>
      </c>
      <c r="I1054" s="3">
        <v>0</v>
      </c>
      <c r="J1054" s="3" t="str">
        <v>AB</v>
      </c>
      <c r="K1054" s="23">
        <v>43525</v>
      </c>
      <c r="L1054" s="22">
        <v>19.89777946472168</v>
      </c>
    </row>
    <row r="1055" spans="1:12" x14ac:dyDescent="0.25">
      <c r="A1055" s="9">
        <v>1048</v>
      </c>
      <c r="B1055" s="10">
        <v>43529</v>
      </c>
      <c r="C1055" s="3">
        <v>20.039186192122486</v>
      </c>
      <c r="D1055" s="3">
        <v>20.099788672000088</v>
      </c>
      <c r="E1055" s="3">
        <v>19.783308769454447</v>
      </c>
      <c r="F1055" s="3">
        <v>20.025718688964844</v>
      </c>
      <c r="G1055" s="3">
        <v>261700</v>
      </c>
      <c r="H1055" s="3">
        <v>0</v>
      </c>
      <c r="I1055" s="3">
        <v>0</v>
      </c>
      <c r="J1055" s="3" t="str">
        <v>AB</v>
      </c>
      <c r="K1055" s="23">
        <v>43528</v>
      </c>
      <c r="L1055" s="22">
        <v>20.086318969726563</v>
      </c>
    </row>
    <row r="1056" spans="1:12" x14ac:dyDescent="0.25">
      <c r="A1056" s="9">
        <v>1049</v>
      </c>
      <c r="B1056" s="10">
        <v>43530</v>
      </c>
      <c r="C1056" s="3">
        <v>20.086323879958591</v>
      </c>
      <c r="D1056" s="3">
        <v>20.113258889909382</v>
      </c>
      <c r="E1056" s="3">
        <v>19.884316442655521</v>
      </c>
      <c r="F1056" s="3">
        <v>20.093057632446289</v>
      </c>
      <c r="G1056" s="3">
        <v>197400</v>
      </c>
      <c r="H1056" s="3">
        <v>0</v>
      </c>
      <c r="I1056" s="3">
        <v>0</v>
      </c>
      <c r="J1056" s="3" t="str">
        <v>AB</v>
      </c>
      <c r="K1056" s="23">
        <v>43529</v>
      </c>
      <c r="L1056" s="22">
        <v>20.025718688964844</v>
      </c>
    </row>
    <row r="1057" spans="1:12" x14ac:dyDescent="0.25">
      <c r="A1057" s="9">
        <v>1050</v>
      </c>
      <c r="B1057" s="10">
        <v>43531</v>
      </c>
      <c r="C1057" s="3">
        <v>20.072854451299118</v>
      </c>
      <c r="D1057" s="3">
        <v>20.093055706826224</v>
      </c>
      <c r="E1057" s="3">
        <v>19.493765920505744</v>
      </c>
      <c r="F1057" s="3">
        <v>19.527433395385742</v>
      </c>
      <c r="G1057" s="3">
        <v>406100</v>
      </c>
      <c r="H1057" s="3">
        <v>0</v>
      </c>
      <c r="I1057" s="3">
        <v>0</v>
      </c>
      <c r="J1057" s="3" t="str">
        <v>AB</v>
      </c>
      <c r="K1057" s="23">
        <v>43530</v>
      </c>
      <c r="L1057" s="22">
        <v>20.093057632446289</v>
      </c>
    </row>
    <row r="1058" spans="1:12" x14ac:dyDescent="0.25">
      <c r="A1058" s="9">
        <v>1051</v>
      </c>
      <c r="B1058" s="10">
        <v>43532</v>
      </c>
      <c r="C1058" s="3">
        <v>19.399494679044437</v>
      </c>
      <c r="D1058" s="3">
        <v>20.086321954983855</v>
      </c>
      <c r="E1058" s="3">
        <v>19.399494679044437</v>
      </c>
      <c r="F1058" s="3">
        <v>19.527433395385742</v>
      </c>
      <c r="G1058" s="3">
        <v>345600</v>
      </c>
      <c r="H1058" s="3">
        <v>0</v>
      </c>
      <c r="I1058" s="3">
        <v>0</v>
      </c>
      <c r="J1058" s="3" t="str">
        <v>AB</v>
      </c>
      <c r="K1058" s="23">
        <v>43531</v>
      </c>
      <c r="L1058" s="22">
        <v>19.527433395385742</v>
      </c>
    </row>
    <row r="1059" spans="1:12" x14ac:dyDescent="0.25">
      <c r="A1059" s="9">
        <v>1052</v>
      </c>
      <c r="B1059" s="10">
        <v>43535</v>
      </c>
      <c r="C1059" s="3">
        <v>19.527436623141238</v>
      </c>
      <c r="D1059" s="3">
        <v>19.864116564919534</v>
      </c>
      <c r="E1059" s="3">
        <v>19.527436623141238</v>
      </c>
      <c r="F1059" s="3">
        <v>19.57457160949707</v>
      </c>
      <c r="G1059" s="3">
        <v>236700</v>
      </c>
      <c r="H1059" s="3">
        <v>0</v>
      </c>
      <c r="I1059" s="3">
        <v>0</v>
      </c>
      <c r="J1059" s="3" t="str">
        <v>AB</v>
      </c>
      <c r="K1059" s="23">
        <v>43532</v>
      </c>
      <c r="L1059" s="22">
        <v>19.527433395385742</v>
      </c>
    </row>
    <row r="1060" spans="1:12" x14ac:dyDescent="0.25">
      <c r="A1060" s="9">
        <v>1053</v>
      </c>
      <c r="B1060" s="10">
        <v>43536</v>
      </c>
      <c r="C1060" s="3">
        <v>19.561101386761763</v>
      </c>
      <c r="D1060" s="3">
        <v>19.715975114561861</v>
      </c>
      <c r="E1060" s="3">
        <v>19.534167663012969</v>
      </c>
      <c r="F1060" s="3">
        <v>19.581302642822266</v>
      </c>
      <c r="G1060" s="3">
        <v>157900</v>
      </c>
      <c r="H1060" s="3">
        <v>0</v>
      </c>
      <c r="I1060" s="3">
        <v>0</v>
      </c>
      <c r="J1060" s="3" t="str">
        <v>AB</v>
      </c>
      <c r="K1060" s="23">
        <v>43535</v>
      </c>
      <c r="L1060" s="22">
        <v>19.57457160949707</v>
      </c>
    </row>
    <row r="1061" spans="1:12" x14ac:dyDescent="0.25">
      <c r="A1061" s="9">
        <v>1054</v>
      </c>
      <c r="B1061" s="10">
        <v>43537</v>
      </c>
      <c r="C1061" s="3">
        <v>19.614966536074931</v>
      </c>
      <c r="D1061" s="3">
        <v>19.816975206789063</v>
      </c>
      <c r="E1061" s="3">
        <v>19.594766568035666</v>
      </c>
      <c r="F1061" s="3">
        <v>19.621700286865234</v>
      </c>
      <c r="G1061" s="3">
        <v>197300</v>
      </c>
      <c r="H1061" s="3">
        <v>0</v>
      </c>
      <c r="I1061" s="3">
        <v>0</v>
      </c>
      <c r="J1061" s="3" t="str">
        <v>AB</v>
      </c>
      <c r="K1061" s="23">
        <v>43536</v>
      </c>
      <c r="L1061" s="22">
        <v>19.581302642822266</v>
      </c>
    </row>
    <row r="1062" spans="1:12" x14ac:dyDescent="0.25">
      <c r="A1062" s="9">
        <v>1055</v>
      </c>
      <c r="B1062" s="10">
        <v>43538</v>
      </c>
      <c r="C1062" s="3">
        <v>19.628434037655538</v>
      </c>
      <c r="D1062" s="3">
        <v>19.904511398399706</v>
      </c>
      <c r="E1062" s="3">
        <v>19.581299066455063</v>
      </c>
      <c r="F1062" s="3">
        <v>19.621700286865234</v>
      </c>
      <c r="G1062" s="3">
        <v>158200</v>
      </c>
      <c r="H1062" s="3">
        <v>0</v>
      </c>
      <c r="I1062" s="3">
        <v>0</v>
      </c>
      <c r="J1062" s="3" t="str">
        <v>AB</v>
      </c>
      <c r="K1062" s="23">
        <v>43537</v>
      </c>
      <c r="L1062" s="22">
        <v>19.621700286865234</v>
      </c>
    </row>
    <row r="1063" spans="1:12" x14ac:dyDescent="0.25">
      <c r="A1063" s="9">
        <v>1056</v>
      </c>
      <c r="B1063" s="10">
        <v>43539</v>
      </c>
      <c r="C1063" s="3">
        <v>19.594768990839199</v>
      </c>
      <c r="D1063" s="3">
        <v>19.742907673547585</v>
      </c>
      <c r="E1063" s="3">
        <v>19.540900262187801</v>
      </c>
      <c r="F1063" s="3">
        <v>19.675571441650391</v>
      </c>
      <c r="G1063" s="3">
        <v>271500</v>
      </c>
      <c r="H1063" s="3">
        <v>0</v>
      </c>
      <c r="I1063" s="3">
        <v>0</v>
      </c>
      <c r="J1063" s="3" t="str">
        <v>AB</v>
      </c>
      <c r="K1063" s="23">
        <v>43538</v>
      </c>
      <c r="L1063" s="22">
        <v>19.621700286865234</v>
      </c>
    </row>
    <row r="1064" spans="1:12" x14ac:dyDescent="0.25">
      <c r="A1064" s="9">
        <v>1057</v>
      </c>
      <c r="B1064" s="10">
        <v>43542</v>
      </c>
      <c r="C1064" s="3">
        <v>19.709242325021737</v>
      </c>
      <c r="D1064" s="3">
        <v>19.843913519005984</v>
      </c>
      <c r="E1064" s="3">
        <v>19.675573563276721</v>
      </c>
      <c r="F1064" s="3">
        <v>19.790044784545898</v>
      </c>
      <c r="G1064" s="3">
        <v>181500</v>
      </c>
      <c r="H1064" s="3">
        <v>0</v>
      </c>
      <c r="I1064" s="3">
        <v>0</v>
      </c>
      <c r="J1064" s="3" t="str">
        <v>AB</v>
      </c>
      <c r="K1064" s="23">
        <v>43539</v>
      </c>
      <c r="L1064" s="22">
        <v>19.675571441650391</v>
      </c>
    </row>
    <row r="1065" spans="1:12" x14ac:dyDescent="0.25">
      <c r="A1065" s="9">
        <v>1058</v>
      </c>
      <c r="B1065" s="10">
        <v>43543</v>
      </c>
      <c r="C1065" s="3">
        <v>19.891051576741184</v>
      </c>
      <c r="D1065" s="3">
        <v>19.958386537631199</v>
      </c>
      <c r="E1065" s="3">
        <v>19.554371634962887</v>
      </c>
      <c r="F1065" s="3">
        <v>19.57457160949707</v>
      </c>
      <c r="G1065" s="3">
        <v>175000</v>
      </c>
      <c r="H1065" s="3">
        <v>0</v>
      </c>
      <c r="I1065" s="3">
        <v>0</v>
      </c>
      <c r="J1065" s="3" t="str">
        <v>AB</v>
      </c>
      <c r="K1065" s="23">
        <v>43542</v>
      </c>
      <c r="L1065" s="22">
        <v>19.790044784545898</v>
      </c>
    </row>
    <row r="1066" spans="1:12" x14ac:dyDescent="0.25">
      <c r="A1066" s="9">
        <v>1059</v>
      </c>
      <c r="B1066" s="10">
        <v>43544</v>
      </c>
      <c r="C1066" s="3">
        <v>19.574569254204768</v>
      </c>
      <c r="D1066" s="3">
        <v>19.635171739179484</v>
      </c>
      <c r="E1066" s="3">
        <v>19.359094322886612</v>
      </c>
      <c r="F1066" s="3">
        <v>19.419696807861328</v>
      </c>
      <c r="G1066" s="3">
        <v>214400</v>
      </c>
      <c r="H1066" s="3">
        <v>0</v>
      </c>
      <c r="I1066" s="3">
        <v>0</v>
      </c>
      <c r="J1066" s="3" t="str">
        <v>AB</v>
      </c>
      <c r="K1066" s="23">
        <v>43543</v>
      </c>
      <c r="L1066" s="22">
        <v>19.57457160949707</v>
      </c>
    </row>
    <row r="1067" spans="1:12" x14ac:dyDescent="0.25">
      <c r="A1067" s="9">
        <v>1060</v>
      </c>
      <c r="B1067" s="10">
        <v>43545</v>
      </c>
      <c r="C1067" s="3">
        <v>19.359088572636796</v>
      </c>
      <c r="D1067" s="3">
        <v>19.574563439952232</v>
      </c>
      <c r="E1067" s="3">
        <v>19.190748672005174</v>
      </c>
      <c r="F1067" s="3">
        <v>19.446624755859375</v>
      </c>
      <c r="G1067" s="3">
        <v>237400</v>
      </c>
      <c r="H1067" s="3">
        <v>0</v>
      </c>
      <c r="I1067" s="3">
        <v>0</v>
      </c>
      <c r="J1067" s="3" t="str">
        <v>AB</v>
      </c>
      <c r="K1067" s="23">
        <v>43544</v>
      </c>
      <c r="L1067" s="22">
        <v>19.419696807861328</v>
      </c>
    </row>
    <row r="1068" spans="1:12" x14ac:dyDescent="0.25">
      <c r="A1068" s="9">
        <v>1061</v>
      </c>
      <c r="B1068" s="10">
        <v>43546</v>
      </c>
      <c r="C1068" s="3">
        <v>19.35235725065743</v>
      </c>
      <c r="D1068" s="3">
        <v>19.426427227215086</v>
      </c>
      <c r="E1068" s="3">
        <v>18.456788918302315</v>
      </c>
      <c r="F1068" s="3">
        <v>18.732866287231445</v>
      </c>
      <c r="G1068" s="3">
        <v>512400</v>
      </c>
      <c r="H1068" s="3">
        <v>0</v>
      </c>
      <c r="I1068" s="3">
        <v>0</v>
      </c>
      <c r="J1068" s="3" t="str">
        <v>AB</v>
      </c>
      <c r="K1068" s="23">
        <v>43545</v>
      </c>
      <c r="L1068" s="22">
        <v>19.446624755859375</v>
      </c>
    </row>
    <row r="1069" spans="1:12" x14ac:dyDescent="0.25">
      <c r="A1069" s="9">
        <v>1062</v>
      </c>
      <c r="B1069" s="10">
        <v>43549</v>
      </c>
      <c r="C1069" s="3">
        <v>18.665531214018085</v>
      </c>
      <c r="D1069" s="3">
        <v>18.705933722452055</v>
      </c>
      <c r="E1069" s="3">
        <v>18.429856336478725</v>
      </c>
      <c r="F1069" s="3">
        <v>18.56452751159668</v>
      </c>
      <c r="G1069" s="3">
        <v>220900</v>
      </c>
      <c r="H1069" s="3">
        <v>0</v>
      </c>
      <c r="I1069" s="3">
        <v>0</v>
      </c>
      <c r="J1069" s="3" t="str">
        <v>AB</v>
      </c>
      <c r="K1069" s="23">
        <v>43546</v>
      </c>
      <c r="L1069" s="22">
        <v>18.732866287231445</v>
      </c>
    </row>
    <row r="1070" spans="1:12" x14ac:dyDescent="0.25">
      <c r="A1070" s="9">
        <v>1063</v>
      </c>
      <c r="B1070" s="10">
        <v>43550</v>
      </c>
      <c r="C1070" s="3">
        <v>18.685732346102334</v>
      </c>
      <c r="D1070" s="3">
        <v>19.015678456832621</v>
      </c>
      <c r="E1070" s="3">
        <v>18.604928614094302</v>
      </c>
      <c r="F1070" s="3">
        <v>18.988744735717773</v>
      </c>
      <c r="G1070" s="3">
        <v>202400</v>
      </c>
      <c r="H1070" s="3">
        <v>0</v>
      </c>
      <c r="I1070" s="3">
        <v>0</v>
      </c>
      <c r="J1070" s="3" t="str">
        <v>AB</v>
      </c>
      <c r="K1070" s="23">
        <v>43549</v>
      </c>
      <c r="L1070" s="22">
        <v>18.56452751159668</v>
      </c>
    </row>
    <row r="1071" spans="1:12" x14ac:dyDescent="0.25">
      <c r="A1071" s="9">
        <v>1064</v>
      </c>
      <c r="B1071" s="10">
        <v>43551</v>
      </c>
      <c r="C1071" s="3">
        <v>18.982012480519</v>
      </c>
      <c r="D1071" s="3">
        <v>19.224421126986261</v>
      </c>
      <c r="E1071" s="3">
        <v>18.975278728626595</v>
      </c>
      <c r="F1071" s="3">
        <v>19.177286148071289</v>
      </c>
      <c r="G1071" s="3">
        <v>157200</v>
      </c>
      <c r="H1071" s="3">
        <v>0</v>
      </c>
      <c r="I1071" s="3">
        <v>0</v>
      </c>
      <c r="J1071" s="3" t="str">
        <v>AB</v>
      </c>
      <c r="K1071" s="23">
        <v>43550</v>
      </c>
      <c r="L1071" s="22">
        <v>18.988744735717773</v>
      </c>
    </row>
    <row r="1072" spans="1:12" x14ac:dyDescent="0.25">
      <c r="A1072" s="9">
        <v>1065</v>
      </c>
      <c r="B1072" s="10">
        <v>43552</v>
      </c>
      <c r="C1072" s="3">
        <v>19.217688006392045</v>
      </c>
      <c r="D1072" s="3">
        <v>19.480297899612804</v>
      </c>
      <c r="E1072" s="3">
        <v>19.190752999737708</v>
      </c>
      <c r="F1072" s="3">
        <v>19.473564147949219</v>
      </c>
      <c r="G1072" s="3">
        <v>199000</v>
      </c>
      <c r="H1072" s="3">
        <v>0</v>
      </c>
      <c r="I1072" s="3">
        <v>0</v>
      </c>
      <c r="J1072" s="3" t="str">
        <v>AB</v>
      </c>
      <c r="K1072" s="23">
        <v>43551</v>
      </c>
      <c r="L1072" s="22">
        <v>19.177286148071289</v>
      </c>
    </row>
    <row r="1073" spans="1:12" x14ac:dyDescent="0.25">
      <c r="A1073" s="9">
        <v>1066</v>
      </c>
      <c r="B1073" s="10">
        <v>43553</v>
      </c>
      <c r="C1073" s="3">
        <v>19.567834631289379</v>
      </c>
      <c r="D1073" s="3">
        <v>19.567834631289379</v>
      </c>
      <c r="E1073" s="3">
        <v>19.231154745004069</v>
      </c>
      <c r="F1073" s="3">
        <v>19.453363418579102</v>
      </c>
      <c r="G1073" s="3">
        <v>183100</v>
      </c>
      <c r="H1073" s="3">
        <v>0</v>
      </c>
      <c r="I1073" s="3">
        <v>0</v>
      </c>
      <c r="J1073" s="3" t="str">
        <v>AB</v>
      </c>
      <c r="K1073" s="23">
        <v>43552</v>
      </c>
      <c r="L1073" s="22">
        <v>19.473564147949219</v>
      </c>
    </row>
    <row r="1074" spans="1:12" x14ac:dyDescent="0.25">
      <c r="A1074" s="9">
        <v>1067</v>
      </c>
      <c r="B1074" s="10">
        <v>43556</v>
      </c>
      <c r="C1074" s="3">
        <v>19.581305362452483</v>
      </c>
      <c r="D1074" s="3">
        <v>19.68230908811956</v>
      </c>
      <c r="E1074" s="3">
        <v>19.493769142696227</v>
      </c>
      <c r="F1074" s="3">
        <v>19.57457160949707</v>
      </c>
      <c r="G1074" s="3">
        <v>187300</v>
      </c>
      <c r="H1074" s="3">
        <v>0</v>
      </c>
      <c r="I1074" s="3">
        <v>0</v>
      </c>
      <c r="J1074" s="3" t="str">
        <v>AB</v>
      </c>
      <c r="K1074" s="23">
        <v>43553</v>
      </c>
      <c r="L1074" s="22">
        <v>19.453363418579102</v>
      </c>
    </row>
    <row r="1075" spans="1:12" x14ac:dyDescent="0.25">
      <c r="A1075" s="9">
        <v>1068</v>
      </c>
      <c r="B1075" s="10">
        <v>43557</v>
      </c>
      <c r="C1075" s="3">
        <v>19.662103756742006</v>
      </c>
      <c r="D1075" s="3">
        <v>19.668836223531141</v>
      </c>
      <c r="E1075" s="3">
        <v>19.298488902207136</v>
      </c>
      <c r="F1075" s="3">
        <v>19.386026382446289</v>
      </c>
      <c r="G1075" s="3">
        <v>135700</v>
      </c>
      <c r="H1075" s="3">
        <v>0</v>
      </c>
      <c r="I1075" s="3">
        <v>0</v>
      </c>
      <c r="J1075" s="3" t="str">
        <v>AB</v>
      </c>
      <c r="K1075" s="23">
        <v>43556</v>
      </c>
      <c r="L1075" s="22">
        <v>19.57457160949707</v>
      </c>
    </row>
    <row r="1076" spans="1:12" x14ac:dyDescent="0.25">
      <c r="A1076" s="9">
        <v>1069</v>
      </c>
      <c r="B1076" s="10">
        <v>43558</v>
      </c>
      <c r="C1076" s="3">
        <v>19.527432578470002</v>
      </c>
      <c r="D1076" s="3">
        <v>19.756374994205505</v>
      </c>
      <c r="E1076" s="3">
        <v>19.412961370602254</v>
      </c>
      <c r="F1076" s="3">
        <v>19.608236312866211</v>
      </c>
      <c r="G1076" s="3">
        <v>146900</v>
      </c>
      <c r="H1076" s="3">
        <v>0</v>
      </c>
      <c r="I1076" s="3">
        <v>0</v>
      </c>
      <c r="J1076" s="3" t="str">
        <v>AB</v>
      </c>
      <c r="K1076" s="23">
        <v>43557</v>
      </c>
      <c r="L1076" s="22">
        <v>19.386026382446289</v>
      </c>
    </row>
    <row r="1077" spans="1:12" x14ac:dyDescent="0.25">
      <c r="A1077" s="9">
        <v>1070</v>
      </c>
      <c r="B1077" s="10">
        <v>43559</v>
      </c>
      <c r="C1077" s="3">
        <v>19.64190614054634</v>
      </c>
      <c r="D1077" s="3">
        <v>19.803512344376507</v>
      </c>
      <c r="E1077" s="3">
        <v>19.527434918958477</v>
      </c>
      <c r="F1077" s="3">
        <v>19.763111114501953</v>
      </c>
      <c r="G1077" s="3">
        <v>153200</v>
      </c>
      <c r="H1077" s="3">
        <v>0</v>
      </c>
      <c r="I1077" s="3">
        <v>0</v>
      </c>
      <c r="J1077" s="3" t="str">
        <v>AB</v>
      </c>
      <c r="K1077" s="23">
        <v>43558</v>
      </c>
      <c r="L1077" s="22">
        <v>19.608236312866211</v>
      </c>
    </row>
    <row r="1078" spans="1:12" x14ac:dyDescent="0.25">
      <c r="A1078" s="9">
        <v>1071</v>
      </c>
      <c r="B1078" s="10">
        <v>43560</v>
      </c>
      <c r="C1078" s="3">
        <v>19.864111757307121</v>
      </c>
      <c r="D1078" s="3">
        <v>19.911246732255108</v>
      </c>
      <c r="E1078" s="3">
        <v>19.756374304759792</v>
      </c>
      <c r="F1078" s="3">
        <v>19.857378005981445</v>
      </c>
      <c r="G1078" s="3">
        <v>116700</v>
      </c>
      <c r="H1078" s="3">
        <v>0</v>
      </c>
      <c r="I1078" s="3">
        <v>0</v>
      </c>
      <c r="J1078" s="3" t="str">
        <v>AB</v>
      </c>
      <c r="K1078" s="23">
        <v>43559</v>
      </c>
      <c r="L1078" s="22">
        <v>19.763111114501953</v>
      </c>
    </row>
    <row r="1079" spans="1:12" x14ac:dyDescent="0.25">
      <c r="A1079" s="9">
        <v>1072</v>
      </c>
      <c r="B1079" s="10">
        <v>43563</v>
      </c>
      <c r="C1079" s="3">
        <v>19.803510960526165</v>
      </c>
      <c r="D1079" s="3">
        <v>19.850645939474724</v>
      </c>
      <c r="E1079" s="3">
        <v>19.715974754526247</v>
      </c>
      <c r="F1079" s="3">
        <v>19.742908477783203</v>
      </c>
      <c r="G1079" s="3">
        <v>88500</v>
      </c>
      <c r="H1079" s="3">
        <v>0</v>
      </c>
      <c r="I1079" s="3">
        <v>0</v>
      </c>
      <c r="J1079" s="3" t="str">
        <v>AB</v>
      </c>
      <c r="K1079" s="23">
        <v>43560</v>
      </c>
      <c r="L1079" s="22">
        <v>19.857378005981445</v>
      </c>
    </row>
    <row r="1080" spans="1:12" x14ac:dyDescent="0.25">
      <c r="A1080" s="9">
        <v>1073</v>
      </c>
      <c r="B1080" s="10">
        <v>43564</v>
      </c>
      <c r="C1080" s="3">
        <v>19.655370479886269</v>
      </c>
      <c r="D1080" s="3">
        <v>19.736172926622565</v>
      </c>
      <c r="E1080" s="3">
        <v>19.473563048231995</v>
      </c>
      <c r="F1080" s="3">
        <v>19.540899276733398</v>
      </c>
      <c r="G1080" s="3">
        <v>227600</v>
      </c>
      <c r="H1080" s="3">
        <v>0</v>
      </c>
      <c r="I1080" s="3">
        <v>0</v>
      </c>
      <c r="J1080" s="3" t="str">
        <v>AB</v>
      </c>
      <c r="K1080" s="23">
        <v>43563</v>
      </c>
      <c r="L1080" s="22">
        <v>19.742908477783203</v>
      </c>
    </row>
    <row r="1081" spans="1:12" x14ac:dyDescent="0.25">
      <c r="A1081" s="9">
        <v>1074</v>
      </c>
      <c r="B1081" s="10">
        <v>43565</v>
      </c>
      <c r="C1081" s="3">
        <v>19.601502214781842</v>
      </c>
      <c r="D1081" s="3">
        <v>19.796775869261882</v>
      </c>
      <c r="E1081" s="3">
        <v>19.547633487580615</v>
      </c>
      <c r="F1081" s="3">
        <v>19.769842147827148</v>
      </c>
      <c r="G1081" s="3">
        <v>228800</v>
      </c>
      <c r="H1081" s="3">
        <v>0</v>
      </c>
      <c r="I1081" s="3">
        <v>0</v>
      </c>
      <c r="J1081" s="3" t="str">
        <v>AB</v>
      </c>
      <c r="K1081" s="23">
        <v>43564</v>
      </c>
      <c r="L1081" s="22">
        <v>19.540899276733398</v>
      </c>
    </row>
    <row r="1082" spans="1:12" x14ac:dyDescent="0.25">
      <c r="A1082" s="9">
        <v>1075</v>
      </c>
      <c r="B1082" s="10">
        <v>43566</v>
      </c>
      <c r="C1082" s="3">
        <v>19.702504538648046</v>
      </c>
      <c r="D1082" s="3">
        <v>19.904511930430022</v>
      </c>
      <c r="E1082" s="3">
        <v>19.601500842757062</v>
      </c>
      <c r="F1082" s="3">
        <v>19.749639511108398</v>
      </c>
      <c r="G1082" s="3">
        <v>219800</v>
      </c>
      <c r="H1082" s="3">
        <v>0</v>
      </c>
      <c r="I1082" s="3">
        <v>0</v>
      </c>
      <c r="J1082" s="3" t="str">
        <v>AB</v>
      </c>
      <c r="K1082" s="23">
        <v>43565</v>
      </c>
      <c r="L1082" s="22">
        <v>19.769842147827148</v>
      </c>
    </row>
    <row r="1083" spans="1:12" x14ac:dyDescent="0.25">
      <c r="A1083" s="9">
        <v>1076</v>
      </c>
      <c r="B1083" s="10">
        <v>43567</v>
      </c>
      <c r="C1083" s="3">
        <v>19.917982925442534</v>
      </c>
      <c r="D1083" s="3">
        <v>19.951650401866662</v>
      </c>
      <c r="E1083" s="3">
        <v>19.702507993931544</v>
      </c>
      <c r="F1083" s="3">
        <v>19.837179183959961</v>
      </c>
      <c r="G1083" s="3">
        <v>155600</v>
      </c>
      <c r="H1083" s="3">
        <v>0</v>
      </c>
      <c r="I1083" s="3">
        <v>0</v>
      </c>
      <c r="J1083" s="3" t="str">
        <v>AB</v>
      </c>
      <c r="K1083" s="23">
        <v>43566</v>
      </c>
      <c r="L1083" s="22">
        <v>19.749639511108398</v>
      </c>
    </row>
    <row r="1084" spans="1:12" x14ac:dyDescent="0.25">
      <c r="A1084" s="9">
        <v>1077</v>
      </c>
      <c r="B1084" s="10">
        <v>43570</v>
      </c>
      <c r="C1084" s="3">
        <v>19.796778536894902</v>
      </c>
      <c r="D1084" s="3">
        <v>19.884316033100003</v>
      </c>
      <c r="E1084" s="3">
        <v>19.736176050085813</v>
      </c>
      <c r="F1084" s="3">
        <v>19.790044784545898</v>
      </c>
      <c r="G1084" s="3">
        <v>153500</v>
      </c>
      <c r="H1084" s="3">
        <v>0</v>
      </c>
      <c r="I1084" s="3">
        <v>0</v>
      </c>
      <c r="J1084" s="3" t="str">
        <v>AB</v>
      </c>
      <c r="K1084" s="23">
        <v>43567</v>
      </c>
      <c r="L1084" s="22">
        <v>19.837179183959961</v>
      </c>
    </row>
    <row r="1085" spans="1:12" x14ac:dyDescent="0.25">
      <c r="A1085" s="9">
        <v>1078</v>
      </c>
      <c r="B1085" s="10">
        <v>43571</v>
      </c>
      <c r="C1085" s="3">
        <v>19.931446316701845</v>
      </c>
      <c r="D1085" s="3">
        <v>20.099786232747753</v>
      </c>
      <c r="E1085" s="3">
        <v>19.816975122417361</v>
      </c>
      <c r="F1085" s="3">
        <v>20.045917510986328</v>
      </c>
      <c r="G1085" s="3">
        <v>260000</v>
      </c>
      <c r="H1085" s="3">
        <v>0</v>
      </c>
      <c r="I1085" s="3">
        <v>0</v>
      </c>
      <c r="J1085" s="3" t="str">
        <v>AB</v>
      </c>
      <c r="K1085" s="23">
        <v>43570</v>
      </c>
      <c r="L1085" s="22">
        <v>19.790044784545898</v>
      </c>
    </row>
    <row r="1086" spans="1:12" x14ac:dyDescent="0.25">
      <c r="A1086" s="9">
        <v>1079</v>
      </c>
      <c r="B1086" s="10">
        <v>43572</v>
      </c>
      <c r="C1086" s="3">
        <v>20.180588914728201</v>
      </c>
      <c r="D1086" s="3">
        <v>20.23445763713428</v>
      </c>
      <c r="E1086" s="3">
        <v>19.938180306066666</v>
      </c>
      <c r="F1086" s="3">
        <v>20.160388946533203</v>
      </c>
      <c r="G1086" s="3">
        <v>193000</v>
      </c>
      <c r="H1086" s="3">
        <v>0</v>
      </c>
      <c r="I1086" s="3">
        <v>0</v>
      </c>
      <c r="J1086" s="3" t="str">
        <v>AB</v>
      </c>
      <c r="K1086" s="23">
        <v>43571</v>
      </c>
      <c r="L1086" s="22">
        <v>20.045917510986328</v>
      </c>
    </row>
    <row r="1087" spans="1:12" x14ac:dyDescent="0.25">
      <c r="A1087" s="9">
        <v>1080</v>
      </c>
      <c r="B1087" s="10">
        <v>43573</v>
      </c>
      <c r="C1087" s="3">
        <v>20.200791740696328</v>
      </c>
      <c r="D1087" s="3">
        <v>20.207525492063038</v>
      </c>
      <c r="E1087" s="3">
        <v>20.066119282025653</v>
      </c>
      <c r="F1087" s="3">
        <v>20.173856735229492</v>
      </c>
      <c r="G1087" s="3">
        <v>163600</v>
      </c>
      <c r="H1087" s="3">
        <v>0</v>
      </c>
      <c r="I1087" s="3">
        <v>0</v>
      </c>
      <c r="J1087" s="3" t="str">
        <v>AB</v>
      </c>
      <c r="K1087" s="23">
        <v>43572</v>
      </c>
      <c r="L1087" s="22">
        <v>20.160388946533203</v>
      </c>
    </row>
    <row r="1088" spans="1:12" x14ac:dyDescent="0.25">
      <c r="A1088" s="9">
        <v>1081</v>
      </c>
      <c r="B1088" s="10">
        <v>43577</v>
      </c>
      <c r="C1088" s="3">
        <v>20.220993631755285</v>
      </c>
      <c r="D1088" s="3">
        <v>20.234459850581139</v>
      </c>
      <c r="E1088" s="3">
        <v>19.998784966981351</v>
      </c>
      <c r="F1088" s="3">
        <v>20.025718688964844</v>
      </c>
      <c r="G1088" s="3">
        <v>240300</v>
      </c>
      <c r="H1088" s="3">
        <v>0</v>
      </c>
      <c r="I1088" s="3">
        <v>0</v>
      </c>
      <c r="J1088" s="3" t="str">
        <v>AB</v>
      </c>
      <c r="K1088" s="23">
        <v>43573</v>
      </c>
      <c r="L1088" s="22">
        <v>20.173856735229492</v>
      </c>
    </row>
    <row r="1089" spans="1:12" x14ac:dyDescent="0.25">
      <c r="A1089" s="9">
        <v>1082</v>
      </c>
      <c r="B1089" s="10">
        <v>43578</v>
      </c>
      <c r="C1089" s="3">
        <v>20.032452370762723</v>
      </c>
      <c r="D1089" s="3">
        <v>20.328731017539845</v>
      </c>
      <c r="E1089" s="3">
        <v>19.94491616920655</v>
      </c>
      <c r="F1089" s="3">
        <v>20.274862289428711</v>
      </c>
      <c r="G1089" s="3">
        <v>321800</v>
      </c>
      <c r="H1089" s="3">
        <v>0</v>
      </c>
      <c r="I1089" s="3">
        <v>0</v>
      </c>
      <c r="J1089" s="3" t="str">
        <v>AB</v>
      </c>
      <c r="K1089" s="23">
        <v>43577</v>
      </c>
      <c r="L1089" s="22">
        <v>20.025718688964844</v>
      </c>
    </row>
    <row r="1090" spans="1:12" x14ac:dyDescent="0.25">
      <c r="A1090" s="9">
        <v>1083</v>
      </c>
      <c r="B1090" s="10">
        <v>43579</v>
      </c>
      <c r="C1090" s="3">
        <v>20.295063366976311</v>
      </c>
      <c r="D1090" s="3">
        <v>20.362399601871754</v>
      </c>
      <c r="E1090" s="3">
        <v>20.093055946621835</v>
      </c>
      <c r="F1090" s="3">
        <v>20.207527160644531</v>
      </c>
      <c r="G1090" s="3">
        <v>246600</v>
      </c>
      <c r="H1090" s="3">
        <v>0</v>
      </c>
      <c r="I1090" s="3">
        <v>0</v>
      </c>
      <c r="J1090" s="3" t="str">
        <v>AB</v>
      </c>
      <c r="K1090" s="23">
        <v>43578</v>
      </c>
      <c r="L1090" s="22">
        <v>20.274862289428711</v>
      </c>
    </row>
    <row r="1091" spans="1:12" x14ac:dyDescent="0.25">
      <c r="A1091" s="9">
        <v>1084</v>
      </c>
      <c r="B1091" s="10">
        <v>43580</v>
      </c>
      <c r="C1091" s="3">
        <v>19.944920316052428</v>
      </c>
      <c r="D1091" s="3">
        <v>20.032456535808684</v>
      </c>
      <c r="E1091" s="3">
        <v>19.359096652252088</v>
      </c>
      <c r="F1091" s="3">
        <v>19.57457160949707</v>
      </c>
      <c r="G1091" s="3">
        <v>426200</v>
      </c>
      <c r="H1091" s="3">
        <v>0</v>
      </c>
      <c r="I1091" s="3">
        <v>0</v>
      </c>
      <c r="J1091" s="3" t="str">
        <v>AB</v>
      </c>
      <c r="K1091" s="23">
        <v>43579</v>
      </c>
      <c r="L1091" s="22">
        <v>20.207527160644531</v>
      </c>
    </row>
    <row r="1092" spans="1:12" x14ac:dyDescent="0.25">
      <c r="A1092" s="9">
        <v>1085</v>
      </c>
      <c r="B1092" s="10">
        <v>43581</v>
      </c>
      <c r="C1092" s="3">
        <v>19.426426651273044</v>
      </c>
      <c r="D1092" s="3">
        <v>19.709237762807518</v>
      </c>
      <c r="E1092" s="3">
        <v>19.426426651273044</v>
      </c>
      <c r="F1092" s="3">
        <v>19.621700286865234</v>
      </c>
      <c r="G1092" s="3">
        <v>270500</v>
      </c>
      <c r="H1092" s="3">
        <v>0</v>
      </c>
      <c r="I1092" s="3">
        <v>0</v>
      </c>
      <c r="J1092" s="3" t="str">
        <v>AB</v>
      </c>
      <c r="K1092" s="23">
        <v>43580</v>
      </c>
      <c r="L1092" s="22">
        <v>19.57457160949707</v>
      </c>
    </row>
    <row r="1093" spans="1:12" x14ac:dyDescent="0.25">
      <c r="A1093" s="9">
        <v>1086</v>
      </c>
      <c r="B1093" s="10">
        <v>43584</v>
      </c>
      <c r="C1093" s="3">
        <v>19.668838839329773</v>
      </c>
      <c r="D1093" s="3">
        <v>19.864113794808887</v>
      </c>
      <c r="E1093" s="3">
        <v>19.554368908047099</v>
      </c>
      <c r="F1093" s="3">
        <v>19.655372619628906</v>
      </c>
      <c r="G1093" s="3">
        <v>392000</v>
      </c>
      <c r="H1093" s="3">
        <v>0</v>
      </c>
      <c r="I1093" s="3">
        <v>0</v>
      </c>
      <c r="J1093" s="3" t="str">
        <v>AB</v>
      </c>
      <c r="K1093" s="23">
        <v>43581</v>
      </c>
      <c r="L1093" s="22">
        <v>19.621700286865234</v>
      </c>
    </row>
    <row r="1094" spans="1:12" x14ac:dyDescent="0.25">
      <c r="A1094" s="9">
        <v>1087</v>
      </c>
      <c r="B1094" s="10">
        <v>43585</v>
      </c>
      <c r="C1094" s="3">
        <v>19.756380278239451</v>
      </c>
      <c r="D1094" s="3">
        <v>19.884319023446981</v>
      </c>
      <c r="E1094" s="3">
        <v>19.480302812071496</v>
      </c>
      <c r="F1094" s="3">
        <v>19.870851516723633</v>
      </c>
      <c r="G1094" s="3">
        <v>272100</v>
      </c>
      <c r="H1094" s="3">
        <v>0</v>
      </c>
      <c r="I1094" s="3">
        <v>0</v>
      </c>
      <c r="J1094" s="3" t="str">
        <v>AB</v>
      </c>
      <c r="K1094" s="23">
        <v>43584</v>
      </c>
      <c r="L1094" s="22">
        <v>19.655372619628906</v>
      </c>
    </row>
    <row r="1095" spans="1:12" x14ac:dyDescent="0.25">
      <c r="A1095" s="9">
        <v>1088</v>
      </c>
      <c r="B1095" s="10">
        <v>43586</v>
      </c>
      <c r="C1095" s="3">
        <v>19.864113423834034</v>
      </c>
      <c r="D1095" s="3">
        <v>20.072854595115643</v>
      </c>
      <c r="E1095" s="3">
        <v>19.79677718925975</v>
      </c>
      <c r="F1095" s="3">
        <v>19.891048431396484</v>
      </c>
      <c r="G1095" s="3">
        <v>208400</v>
      </c>
      <c r="H1095" s="3">
        <v>0</v>
      </c>
      <c r="I1095" s="3">
        <v>0</v>
      </c>
      <c r="J1095" s="3" t="str">
        <v>AB</v>
      </c>
      <c r="K1095" s="23">
        <v>43585</v>
      </c>
      <c r="L1095" s="22">
        <v>19.870851516723633</v>
      </c>
    </row>
    <row r="1096" spans="1:12" x14ac:dyDescent="0.25">
      <c r="A1096" s="9">
        <v>1089</v>
      </c>
      <c r="B1096" s="10">
        <v>43587</v>
      </c>
      <c r="C1096" s="3">
        <v>19.992049647958467</v>
      </c>
      <c r="D1096" s="3">
        <v>20.005515865728523</v>
      </c>
      <c r="E1096" s="3">
        <v>19.74290599640295</v>
      </c>
      <c r="F1096" s="3">
        <v>19.864110946655273</v>
      </c>
      <c r="G1096" s="3">
        <v>254400</v>
      </c>
      <c r="H1096" s="3">
        <v>0</v>
      </c>
      <c r="I1096" s="3">
        <v>0</v>
      </c>
      <c r="J1096" s="3" t="str">
        <v>AB</v>
      </c>
      <c r="K1096" s="23">
        <v>43586</v>
      </c>
      <c r="L1096" s="22">
        <v>19.891048431396484</v>
      </c>
    </row>
    <row r="1097" spans="1:12" x14ac:dyDescent="0.25">
      <c r="A1097" s="9">
        <v>1090</v>
      </c>
      <c r="B1097" s="10">
        <v>43588</v>
      </c>
      <c r="C1097" s="3">
        <v>19.864114817336329</v>
      </c>
      <c r="D1097" s="3">
        <v>20.117465427721143</v>
      </c>
      <c r="E1097" s="3">
        <v>19.795641220520757</v>
      </c>
      <c r="F1097" s="3">
        <v>20.069534301757813</v>
      </c>
      <c r="G1097" s="3">
        <v>199500</v>
      </c>
      <c r="H1097" s="3">
        <v>0.49</v>
      </c>
      <c r="I1097" s="3">
        <v>0</v>
      </c>
      <c r="J1097" s="3" t="str">
        <v>AB</v>
      </c>
      <c r="K1097" s="23">
        <v>43587</v>
      </c>
      <c r="L1097" s="22">
        <v>19.864110946655273</v>
      </c>
    </row>
    <row r="1098" spans="1:12" x14ac:dyDescent="0.25">
      <c r="A1098" s="9">
        <v>1091</v>
      </c>
      <c r="B1098" s="10">
        <v>43591</v>
      </c>
      <c r="C1098" s="3">
        <v>19.809333348305397</v>
      </c>
      <c r="D1098" s="3">
        <v>20.09692136869446</v>
      </c>
      <c r="E1098" s="3">
        <v>19.521745327916335</v>
      </c>
      <c r="F1098" s="3">
        <v>20.048990249633789</v>
      </c>
      <c r="G1098" s="3">
        <v>274400</v>
      </c>
      <c r="H1098" s="3">
        <v>0</v>
      </c>
      <c r="I1098" s="3">
        <v>0</v>
      </c>
      <c r="J1098" s="3" t="str">
        <v>AB</v>
      </c>
      <c r="K1098" s="23">
        <v>43588</v>
      </c>
      <c r="L1098" s="22">
        <v>20.069534301757813</v>
      </c>
    </row>
    <row r="1099" spans="1:12" x14ac:dyDescent="0.25">
      <c r="A1099" s="9">
        <v>1092</v>
      </c>
      <c r="B1099" s="10">
        <v>43592</v>
      </c>
      <c r="C1099" s="3">
        <v>19.843568832110254</v>
      </c>
      <c r="D1099" s="3">
        <v>20.021599629890694</v>
      </c>
      <c r="E1099" s="3">
        <v>19.384797512528927</v>
      </c>
      <c r="F1099" s="3">
        <v>19.419034957885742</v>
      </c>
      <c r="G1099" s="3">
        <v>577200</v>
      </c>
      <c r="H1099" s="3">
        <v>0</v>
      </c>
      <c r="I1099" s="3">
        <v>0</v>
      </c>
      <c r="J1099" s="3" t="str">
        <v>AB</v>
      </c>
      <c r="K1099" s="23">
        <v>43591</v>
      </c>
      <c r="L1099" s="22">
        <v>20.048990249633789</v>
      </c>
    </row>
    <row r="1100" spans="1:12" x14ac:dyDescent="0.25">
      <c r="A1100" s="9">
        <v>1093</v>
      </c>
      <c r="B1100" s="10">
        <v>43593</v>
      </c>
      <c r="C1100" s="3">
        <v>19.419034261048818</v>
      </c>
      <c r="D1100" s="3">
        <v>19.843568120039265</v>
      </c>
      <c r="E1100" s="3">
        <v>19.234155980831229</v>
      </c>
      <c r="F1100" s="3">
        <v>19.720315933227539</v>
      </c>
      <c r="G1100" s="3">
        <v>233200</v>
      </c>
      <c r="H1100" s="3">
        <v>0</v>
      </c>
      <c r="I1100" s="3">
        <v>0</v>
      </c>
      <c r="J1100" s="3" t="str">
        <v>AB</v>
      </c>
      <c r="K1100" s="23">
        <v>43592</v>
      </c>
      <c r="L1100" s="22">
        <v>19.419034957885742</v>
      </c>
    </row>
    <row r="1101" spans="1:12" x14ac:dyDescent="0.25">
      <c r="A1101" s="9">
        <v>1094</v>
      </c>
      <c r="B1101" s="10">
        <v>43594</v>
      </c>
      <c r="C1101" s="3">
        <v>19.583374405044662</v>
      </c>
      <c r="D1101" s="3">
        <v>19.898351124521994</v>
      </c>
      <c r="E1101" s="3">
        <v>19.343717467254166</v>
      </c>
      <c r="F1101" s="3">
        <v>19.850419998168945</v>
      </c>
      <c r="G1101" s="3">
        <v>233500</v>
      </c>
      <c r="H1101" s="3">
        <v>0</v>
      </c>
      <c r="I1101" s="3">
        <v>0</v>
      </c>
      <c r="J1101" s="3" t="str">
        <v>AB</v>
      </c>
      <c r="K1101" s="23">
        <v>43593</v>
      </c>
      <c r="L1101" s="22">
        <v>19.720315933227539</v>
      </c>
    </row>
    <row r="1102" spans="1:12" x14ac:dyDescent="0.25">
      <c r="A1102" s="9">
        <v>1095</v>
      </c>
      <c r="B1102" s="10">
        <v>43595</v>
      </c>
      <c r="C1102" s="3">
        <v>19.850417523378301</v>
      </c>
      <c r="D1102" s="3">
        <v>20.131158062181619</v>
      </c>
      <c r="E1102" s="3">
        <v>19.569676984574983</v>
      </c>
      <c r="F1102" s="3">
        <v>20.096921920776367</v>
      </c>
      <c r="G1102" s="3">
        <v>221300</v>
      </c>
      <c r="H1102" s="3">
        <v>0</v>
      </c>
      <c r="I1102" s="3">
        <v>0</v>
      </c>
      <c r="J1102" s="3" t="str">
        <v>AB</v>
      </c>
      <c r="K1102" s="23">
        <v>43594</v>
      </c>
      <c r="L1102" s="22">
        <v>19.850419998168945</v>
      </c>
    </row>
    <row r="1103" spans="1:12" x14ac:dyDescent="0.25">
      <c r="A1103" s="9">
        <v>1096</v>
      </c>
      <c r="B1103" s="10">
        <v>43598</v>
      </c>
      <c r="C1103" s="3">
        <v>19.740859877605075</v>
      </c>
      <c r="D1103" s="3">
        <v>19.829874626952666</v>
      </c>
      <c r="E1103" s="3">
        <v>19.583371540899698</v>
      </c>
      <c r="F1103" s="3">
        <v>19.747707366943359</v>
      </c>
      <c r="G1103" s="3">
        <v>186900</v>
      </c>
      <c r="H1103" s="3">
        <v>0</v>
      </c>
      <c r="I1103" s="3">
        <v>0</v>
      </c>
      <c r="J1103" s="3" t="str">
        <v>AB</v>
      </c>
      <c r="K1103" s="23">
        <v>43595</v>
      </c>
      <c r="L1103" s="22">
        <v>20.096921920776367</v>
      </c>
    </row>
    <row r="1104" spans="1:12" x14ac:dyDescent="0.25">
      <c r="A1104" s="9">
        <v>1097</v>
      </c>
      <c r="B1104" s="10">
        <v>43599</v>
      </c>
      <c r="C1104" s="3">
        <v>19.86411027918377</v>
      </c>
      <c r="D1104" s="3">
        <v>20.199629390299652</v>
      </c>
      <c r="E1104" s="3">
        <v>19.86411027918377</v>
      </c>
      <c r="F1104" s="3">
        <v>20.035293579101563</v>
      </c>
      <c r="G1104" s="3">
        <v>310000</v>
      </c>
      <c r="H1104" s="3">
        <v>0</v>
      </c>
      <c r="I1104" s="3">
        <v>0</v>
      </c>
      <c r="J1104" s="3" t="str">
        <v>AB</v>
      </c>
      <c r="K1104" s="23">
        <v>43598</v>
      </c>
      <c r="L1104" s="22">
        <v>19.747707366943359</v>
      </c>
    </row>
    <row r="1105" spans="1:12" x14ac:dyDescent="0.25">
      <c r="A1105" s="9">
        <v>1098</v>
      </c>
      <c r="B1105" s="10">
        <v>43600</v>
      </c>
      <c r="C1105" s="3">
        <v>19.905197027751388</v>
      </c>
      <c r="D1105" s="3">
        <v>20.028449231989189</v>
      </c>
      <c r="E1105" s="3">
        <v>19.699777558038477</v>
      </c>
      <c r="F1105" s="3">
        <v>19.829875946044922</v>
      </c>
      <c r="G1105" s="3">
        <v>213500</v>
      </c>
      <c r="H1105" s="3">
        <v>0</v>
      </c>
      <c r="I1105" s="3">
        <v>0</v>
      </c>
      <c r="J1105" s="3" t="str">
        <v>AB</v>
      </c>
      <c r="K1105" s="23">
        <v>43599</v>
      </c>
      <c r="L1105" s="22">
        <v>20.035293579101563</v>
      </c>
    </row>
    <row r="1106" spans="1:12" x14ac:dyDescent="0.25">
      <c r="A1106" s="9">
        <v>1099</v>
      </c>
      <c r="B1106" s="10">
        <v>43601</v>
      </c>
      <c r="C1106" s="3">
        <v>19.925738708711648</v>
      </c>
      <c r="D1106" s="3">
        <v>20.144853149342211</v>
      </c>
      <c r="E1106" s="3">
        <v>19.802486509350686</v>
      </c>
      <c r="F1106" s="3">
        <v>20.09007453918457</v>
      </c>
      <c r="G1106" s="3">
        <v>172200</v>
      </c>
      <c r="H1106" s="3">
        <v>0</v>
      </c>
      <c r="I1106" s="3">
        <v>0</v>
      </c>
      <c r="J1106" s="3" t="str">
        <v>AB</v>
      </c>
      <c r="K1106" s="23">
        <v>43600</v>
      </c>
      <c r="L1106" s="22">
        <v>19.829875946044922</v>
      </c>
    </row>
    <row r="1107" spans="1:12" x14ac:dyDescent="0.25">
      <c r="A1107" s="9">
        <v>1100</v>
      </c>
      <c r="B1107" s="10">
        <v>43602</v>
      </c>
      <c r="C1107" s="3">
        <v>20.055840790285902</v>
      </c>
      <c r="D1107" s="3">
        <v>20.268107766717378</v>
      </c>
      <c r="E1107" s="3">
        <v>19.829877527149677</v>
      </c>
      <c r="F1107" s="3">
        <v>19.850419998168945</v>
      </c>
      <c r="G1107" s="3">
        <v>173700</v>
      </c>
      <c r="H1107" s="3">
        <v>0</v>
      </c>
      <c r="I1107" s="3">
        <v>0</v>
      </c>
      <c r="J1107" s="3" t="str">
        <v>AB</v>
      </c>
      <c r="K1107" s="23">
        <v>43601</v>
      </c>
      <c r="L1107" s="22">
        <v>20.09007453918457</v>
      </c>
    </row>
    <row r="1108" spans="1:12" x14ac:dyDescent="0.25">
      <c r="A1108" s="9">
        <v>1101</v>
      </c>
      <c r="B1108" s="10">
        <v>43605</v>
      </c>
      <c r="C1108" s="3">
        <v>19.81618083260437</v>
      </c>
      <c r="D1108" s="3">
        <v>19.864111951652948</v>
      </c>
      <c r="E1108" s="3">
        <v>19.631302539681247</v>
      </c>
      <c r="F1108" s="3">
        <v>19.672386169433594</v>
      </c>
      <c r="G1108" s="3">
        <v>147300</v>
      </c>
      <c r="H1108" s="3">
        <v>0</v>
      </c>
      <c r="I1108" s="3">
        <v>0</v>
      </c>
      <c r="J1108" s="3" t="str">
        <v>AB</v>
      </c>
      <c r="K1108" s="23">
        <v>43602</v>
      </c>
      <c r="L1108" s="22">
        <v>19.850419998168945</v>
      </c>
    </row>
    <row r="1109" spans="1:12" x14ac:dyDescent="0.25">
      <c r="A1109" s="9">
        <v>1102</v>
      </c>
      <c r="B1109" s="10">
        <v>43606</v>
      </c>
      <c r="C1109" s="3">
        <v>19.651847465043289</v>
      </c>
      <c r="D1109" s="3">
        <v>19.973671666060195</v>
      </c>
      <c r="E1109" s="3">
        <v>19.651847465043289</v>
      </c>
      <c r="F1109" s="3">
        <v>19.88465690612793</v>
      </c>
      <c r="G1109" s="3">
        <v>157200</v>
      </c>
      <c r="H1109" s="3">
        <v>0</v>
      </c>
      <c r="I1109" s="3">
        <v>0</v>
      </c>
      <c r="J1109" s="3" t="str">
        <v>AB</v>
      </c>
      <c r="K1109" s="23">
        <v>43605</v>
      </c>
      <c r="L1109" s="22">
        <v>19.672386169433594</v>
      </c>
    </row>
    <row r="1110" spans="1:12" x14ac:dyDescent="0.25">
      <c r="A1110" s="9">
        <v>1103</v>
      </c>
      <c r="B1110" s="10">
        <v>43607</v>
      </c>
      <c r="C1110" s="3">
        <v>19.768249157416424</v>
      </c>
      <c r="D1110" s="3">
        <v>19.870958881920284</v>
      </c>
      <c r="E1110" s="3">
        <v>19.603912030980243</v>
      </c>
      <c r="F1110" s="3">
        <v>19.624454498291016</v>
      </c>
      <c r="G1110" s="3">
        <v>125600</v>
      </c>
      <c r="H1110" s="3">
        <v>0</v>
      </c>
      <c r="I1110" s="3">
        <v>0</v>
      </c>
      <c r="J1110" s="3" t="str">
        <v>AB</v>
      </c>
      <c r="K1110" s="23">
        <v>43606</v>
      </c>
      <c r="L1110" s="22">
        <v>19.88465690612793</v>
      </c>
    </row>
    <row r="1111" spans="1:12" x14ac:dyDescent="0.25">
      <c r="A1111" s="9">
        <v>1104</v>
      </c>
      <c r="B1111" s="10">
        <v>43608</v>
      </c>
      <c r="C1111" s="3">
        <v>19.535441570547118</v>
      </c>
      <c r="D1111" s="3">
        <v>19.603913855907102</v>
      </c>
      <c r="E1111" s="3">
        <v>19.186227429905674</v>
      </c>
      <c r="F1111" s="3">
        <v>19.336868286132813</v>
      </c>
      <c r="G1111" s="3">
        <v>137800</v>
      </c>
      <c r="H1111" s="3">
        <v>0</v>
      </c>
      <c r="I1111" s="3">
        <v>0</v>
      </c>
      <c r="J1111" s="3" t="str">
        <v>AB</v>
      </c>
      <c r="K1111" s="23">
        <v>43607</v>
      </c>
      <c r="L1111" s="22">
        <v>19.624454498291016</v>
      </c>
    </row>
    <row r="1112" spans="1:12" x14ac:dyDescent="0.25">
      <c r="A1112" s="9">
        <v>1105</v>
      </c>
      <c r="B1112" s="10">
        <v>43609</v>
      </c>
      <c r="C1112" s="3">
        <v>19.336870137286585</v>
      </c>
      <c r="D1112" s="3">
        <v>19.603915732625634</v>
      </c>
      <c r="E1112" s="3">
        <v>19.316327666096946</v>
      </c>
      <c r="F1112" s="3">
        <v>19.549137115478516</v>
      </c>
      <c r="G1112" s="3">
        <v>133100</v>
      </c>
      <c r="H1112" s="3">
        <v>0</v>
      </c>
      <c r="I1112" s="3">
        <v>0</v>
      </c>
      <c r="J1112" s="3" t="str">
        <v>AB</v>
      </c>
      <c r="K1112" s="23">
        <v>43608</v>
      </c>
      <c r="L1112" s="22">
        <v>19.336868286132813</v>
      </c>
    </row>
    <row r="1113" spans="1:12" x14ac:dyDescent="0.25">
      <c r="A1113" s="9">
        <v>1106</v>
      </c>
      <c r="B1113" s="10">
        <v>43613</v>
      </c>
      <c r="C1113" s="3">
        <v>19.54913595087298</v>
      </c>
      <c r="D1113" s="3">
        <v>19.54913595087298</v>
      </c>
      <c r="E1113" s="3">
        <v>19.138296999757223</v>
      </c>
      <c r="F1113" s="3">
        <v>19.165685653686523</v>
      </c>
      <c r="G1113" s="3">
        <v>141000</v>
      </c>
      <c r="H1113" s="3">
        <v>0</v>
      </c>
      <c r="I1113" s="3">
        <v>0</v>
      </c>
      <c r="J1113" s="3" t="str">
        <v>AB</v>
      </c>
      <c r="K1113" s="23">
        <v>43609</v>
      </c>
      <c r="L1113" s="22">
        <v>19.549137115478516</v>
      </c>
    </row>
    <row r="1114" spans="1:12" x14ac:dyDescent="0.25">
      <c r="A1114" s="9">
        <v>1107</v>
      </c>
      <c r="B1114" s="10">
        <v>43614</v>
      </c>
      <c r="C1114" s="3">
        <v>19.0492776964273</v>
      </c>
      <c r="D1114" s="3">
        <v>19.29578206999658</v>
      </c>
      <c r="E1114" s="3">
        <v>18.891789371546903</v>
      </c>
      <c r="F1114" s="3">
        <v>19.213613510131836</v>
      </c>
      <c r="G1114" s="3">
        <v>203000</v>
      </c>
      <c r="H1114" s="3">
        <v>0</v>
      </c>
      <c r="I1114" s="3">
        <v>0</v>
      </c>
      <c r="J1114" s="3" t="str">
        <v>AB</v>
      </c>
      <c r="K1114" s="23">
        <v>43613</v>
      </c>
      <c r="L1114" s="22">
        <v>19.165685653686523</v>
      </c>
    </row>
    <row r="1115" spans="1:12" x14ac:dyDescent="0.25">
      <c r="A1115" s="9">
        <v>1108</v>
      </c>
      <c r="B1115" s="10">
        <v>43615</v>
      </c>
      <c r="C1115" s="3">
        <v>19.316326674946133</v>
      </c>
      <c r="D1115" s="3">
        <v>19.460121353844773</v>
      </c>
      <c r="E1115" s="3">
        <v>18.919181394501347</v>
      </c>
      <c r="F1115" s="3">
        <v>19.028739929199219</v>
      </c>
      <c r="G1115" s="3">
        <v>126700</v>
      </c>
      <c r="H1115" s="3">
        <v>0</v>
      </c>
      <c r="I1115" s="3">
        <v>0</v>
      </c>
      <c r="J1115" s="3" t="str">
        <v>AB</v>
      </c>
      <c r="K1115" s="23">
        <v>43614</v>
      </c>
      <c r="L1115" s="22">
        <v>19.213613510131836</v>
      </c>
    </row>
    <row r="1116" spans="1:12" x14ac:dyDescent="0.25">
      <c r="A1116" s="9">
        <v>1109</v>
      </c>
      <c r="B1116" s="10">
        <v>43616</v>
      </c>
      <c r="C1116" s="3">
        <v>18.837009530229473</v>
      </c>
      <c r="D1116" s="3">
        <v>18.967109197296523</v>
      </c>
      <c r="E1116" s="3">
        <v>18.289222214487864</v>
      </c>
      <c r="F1116" s="3">
        <v>18.617895126342773</v>
      </c>
      <c r="G1116" s="3">
        <v>287700</v>
      </c>
      <c r="H1116" s="3">
        <v>0</v>
      </c>
      <c r="I1116" s="3">
        <v>0</v>
      </c>
      <c r="J1116" s="3" t="str">
        <v>AB</v>
      </c>
      <c r="K1116" s="23">
        <v>43615</v>
      </c>
      <c r="L1116" s="22">
        <v>19.028739929199219</v>
      </c>
    </row>
    <row r="1117" spans="1:12" x14ac:dyDescent="0.25">
      <c r="A1117" s="9">
        <v>1110</v>
      </c>
      <c r="B1117" s="10">
        <v>43619</v>
      </c>
      <c r="C1117" s="3">
        <v>18.693216021896859</v>
      </c>
      <c r="D1117" s="3">
        <v>18.912331745118188</v>
      </c>
      <c r="E1117" s="3">
        <v>18.624743746041698</v>
      </c>
      <c r="F1117" s="3">
        <v>18.795927047729492</v>
      </c>
      <c r="G1117" s="3">
        <v>116500</v>
      </c>
      <c r="H1117" s="3">
        <v>0</v>
      </c>
      <c r="I1117" s="3">
        <v>0</v>
      </c>
      <c r="J1117" s="3" t="str">
        <v>AB</v>
      </c>
      <c r="K1117" s="23">
        <v>43616</v>
      </c>
      <c r="L1117" s="22">
        <v>18.617895126342773</v>
      </c>
    </row>
    <row r="1118" spans="1:12" x14ac:dyDescent="0.25">
      <c r="A1118" s="9">
        <v>1111</v>
      </c>
      <c r="B1118" s="10">
        <v>43620</v>
      </c>
      <c r="C1118" s="3">
        <v>18.967107929942674</v>
      </c>
      <c r="D1118" s="3">
        <v>19.330015647371741</v>
      </c>
      <c r="E1118" s="3">
        <v>18.94656546619159</v>
      </c>
      <c r="F1118" s="3">
        <v>19.254695892333984</v>
      </c>
      <c r="G1118" s="3">
        <v>131800</v>
      </c>
      <c r="H1118" s="3">
        <v>0</v>
      </c>
      <c r="I1118" s="3">
        <v>0</v>
      </c>
      <c r="J1118" s="3" t="str">
        <v>AB</v>
      </c>
      <c r="K1118" s="23">
        <v>43619</v>
      </c>
      <c r="L1118" s="22">
        <v>18.795927047729492</v>
      </c>
    </row>
    <row r="1119" spans="1:12" x14ac:dyDescent="0.25">
      <c r="A1119" s="9">
        <v>1112</v>
      </c>
      <c r="B1119" s="10">
        <v>43621</v>
      </c>
      <c r="C1119" s="3">
        <v>19.268394362183802</v>
      </c>
      <c r="D1119" s="3">
        <v>19.357410421255604</v>
      </c>
      <c r="E1119" s="3">
        <v>19.021891265887117</v>
      </c>
      <c r="F1119" s="3">
        <v>19.275241851806641</v>
      </c>
      <c r="G1119" s="3">
        <v>123800</v>
      </c>
      <c r="H1119" s="3">
        <v>0</v>
      </c>
      <c r="I1119" s="3">
        <v>0</v>
      </c>
      <c r="J1119" s="3" t="str">
        <v>AB</v>
      </c>
      <c r="K1119" s="23">
        <v>43620</v>
      </c>
      <c r="L1119" s="22">
        <v>19.254695892333984</v>
      </c>
    </row>
    <row r="1120" spans="1:12" x14ac:dyDescent="0.25">
      <c r="A1120" s="9">
        <v>1113</v>
      </c>
      <c r="B1120" s="10">
        <v>43622</v>
      </c>
      <c r="C1120" s="3">
        <v>19.247853415248866</v>
      </c>
      <c r="D1120" s="3">
        <v>19.316325700195122</v>
      </c>
      <c r="E1120" s="3">
        <v>18.994501520462322</v>
      </c>
      <c r="F1120" s="3">
        <v>19.261547088623047</v>
      </c>
      <c r="G1120" s="3">
        <v>162400</v>
      </c>
      <c r="H1120" s="3">
        <v>0</v>
      </c>
      <c r="I1120" s="3">
        <v>0</v>
      </c>
      <c r="J1120" s="3" t="str">
        <v>AB</v>
      </c>
      <c r="K1120" s="23">
        <v>43621</v>
      </c>
      <c r="L1120" s="22">
        <v>19.275241851806641</v>
      </c>
    </row>
    <row r="1121" spans="1:12" x14ac:dyDescent="0.25">
      <c r="A1121" s="9">
        <v>1114</v>
      </c>
      <c r="B1121" s="10">
        <v>43623</v>
      </c>
      <c r="C1121" s="3">
        <v>19.213612846081038</v>
      </c>
      <c r="D1121" s="3">
        <v>19.405338608455818</v>
      </c>
      <c r="E1121" s="3">
        <v>19.165681731993573</v>
      </c>
      <c r="F1121" s="3">
        <v>19.172529220581055</v>
      </c>
      <c r="G1121" s="3">
        <v>203500</v>
      </c>
      <c r="H1121" s="3">
        <v>0</v>
      </c>
      <c r="I1121" s="3">
        <v>0</v>
      </c>
      <c r="J1121" s="3" t="str">
        <v>AB</v>
      </c>
      <c r="K1121" s="23">
        <v>43622</v>
      </c>
      <c r="L1121" s="22">
        <v>19.261547088623047</v>
      </c>
    </row>
    <row r="1122" spans="1:12" x14ac:dyDescent="0.25">
      <c r="A1122" s="9">
        <v>1115</v>
      </c>
      <c r="B1122" s="10">
        <v>43626</v>
      </c>
      <c r="C1122" s="3">
        <v>19.24100371675679</v>
      </c>
      <c r="D1122" s="3">
        <v>19.562827859545429</v>
      </c>
      <c r="E1122" s="3">
        <v>19.213613761102454</v>
      </c>
      <c r="F1122" s="3">
        <v>19.364255905151367</v>
      </c>
      <c r="G1122" s="3">
        <v>237000</v>
      </c>
      <c r="H1122" s="3">
        <v>0</v>
      </c>
      <c r="I1122" s="3">
        <v>0</v>
      </c>
      <c r="J1122" s="3" t="str">
        <v>AB</v>
      </c>
      <c r="K1122" s="23">
        <v>43623</v>
      </c>
      <c r="L1122" s="22">
        <v>19.172529220581055</v>
      </c>
    </row>
    <row r="1123" spans="1:12" x14ac:dyDescent="0.25">
      <c r="A1123" s="9">
        <v>1116</v>
      </c>
      <c r="B1123" s="10">
        <v>43627</v>
      </c>
      <c r="C1123" s="3">
        <v>19.309475023733725</v>
      </c>
      <c r="D1123" s="3">
        <v>19.487504490401538</v>
      </c>
      <c r="E1123" s="3">
        <v>19.069818164108074</v>
      </c>
      <c r="F1123" s="3">
        <v>19.220458984375</v>
      </c>
      <c r="G1123" s="3">
        <v>340400</v>
      </c>
      <c r="H1123" s="3">
        <v>0</v>
      </c>
      <c r="I1123" s="3">
        <v>0</v>
      </c>
      <c r="J1123" s="3" t="str">
        <v>AB</v>
      </c>
      <c r="K1123" s="23">
        <v>43626</v>
      </c>
      <c r="L1123" s="22">
        <v>19.364255905151367</v>
      </c>
    </row>
    <row r="1124" spans="1:12" x14ac:dyDescent="0.25">
      <c r="A1124" s="9">
        <v>1117</v>
      </c>
      <c r="B1124" s="10">
        <v>43628</v>
      </c>
      <c r="C1124" s="3">
        <v>19.597066199135899</v>
      </c>
      <c r="D1124" s="3">
        <v>19.829874302705552</v>
      </c>
      <c r="E1124" s="3">
        <v>19.288935714076754</v>
      </c>
      <c r="F1124" s="3">
        <v>19.76824951171875</v>
      </c>
      <c r="G1124" s="3">
        <v>454700</v>
      </c>
      <c r="H1124" s="3">
        <v>0</v>
      </c>
      <c r="I1124" s="3">
        <v>0</v>
      </c>
      <c r="J1124" s="3" t="str">
        <v>AB</v>
      </c>
      <c r="K1124" s="23">
        <v>43627</v>
      </c>
      <c r="L1124" s="22">
        <v>19.220458984375</v>
      </c>
    </row>
    <row r="1125" spans="1:12" x14ac:dyDescent="0.25">
      <c r="A1125" s="9">
        <v>1118</v>
      </c>
      <c r="B1125" s="10">
        <v>43629</v>
      </c>
      <c r="C1125" s="3">
        <v>19.836725125023751</v>
      </c>
      <c r="D1125" s="3">
        <v>20.45983238304175</v>
      </c>
      <c r="E1125" s="3">
        <v>19.788793998410867</v>
      </c>
      <c r="F1125" s="3">
        <v>20.425596237182617</v>
      </c>
      <c r="G1125" s="3">
        <v>540800</v>
      </c>
      <c r="H1125" s="3">
        <v>0</v>
      </c>
      <c r="I1125" s="3">
        <v>0</v>
      </c>
      <c r="J1125" s="3" t="str">
        <v>AB</v>
      </c>
      <c r="K1125" s="23">
        <v>43628</v>
      </c>
      <c r="L1125" s="22">
        <v>19.76824951171875</v>
      </c>
    </row>
    <row r="1126" spans="1:12" x14ac:dyDescent="0.25">
      <c r="A1126" s="9">
        <v>1119</v>
      </c>
      <c r="B1126" s="10">
        <v>43630</v>
      </c>
      <c r="C1126" s="3">
        <v>20.45982753555171</v>
      </c>
      <c r="D1126" s="3">
        <v>20.521453628317449</v>
      </c>
      <c r="E1126" s="3">
        <v>20.144850888993439</v>
      </c>
      <c r="F1126" s="3">
        <v>20.240713119506836</v>
      </c>
      <c r="G1126" s="3">
        <v>233900</v>
      </c>
      <c r="H1126" s="3">
        <v>0</v>
      </c>
      <c r="I1126" s="3">
        <v>0</v>
      </c>
      <c r="J1126" s="3" t="str">
        <v>AB</v>
      </c>
      <c r="K1126" s="23">
        <v>43629</v>
      </c>
      <c r="L1126" s="22">
        <v>20.425596237182617</v>
      </c>
    </row>
    <row r="1127" spans="1:12" x14ac:dyDescent="0.25">
      <c r="A1127" s="9">
        <v>1120</v>
      </c>
      <c r="B1127" s="10">
        <v>43633</v>
      </c>
      <c r="C1127" s="3">
        <v>20.254410950199059</v>
      </c>
      <c r="D1127" s="3">
        <v>20.268105929637272</v>
      </c>
      <c r="E1127" s="3">
        <v>19.843570709228516</v>
      </c>
      <c r="F1127" s="3">
        <v>19.843570709228516</v>
      </c>
      <c r="G1127" s="3">
        <v>195800</v>
      </c>
      <c r="H1127" s="3">
        <v>0</v>
      </c>
      <c r="I1127" s="3">
        <v>0</v>
      </c>
      <c r="J1127" s="3" t="str">
        <v>AB</v>
      </c>
      <c r="K1127" s="23">
        <v>43630</v>
      </c>
      <c r="L1127" s="22">
        <v>20.240713119506836</v>
      </c>
    </row>
    <row r="1128" spans="1:12" x14ac:dyDescent="0.25">
      <c r="A1128" s="9">
        <v>1121</v>
      </c>
      <c r="B1128" s="10">
        <v>43634</v>
      </c>
      <c r="C1128" s="3">
        <v>19.946279871255086</v>
      </c>
      <c r="D1128" s="3">
        <v>20.233867901088967</v>
      </c>
      <c r="E1128" s="3">
        <v>19.891501261097446</v>
      </c>
      <c r="F1128" s="3">
        <v>20.09007453918457</v>
      </c>
      <c r="G1128" s="3">
        <v>148800</v>
      </c>
      <c r="H1128" s="3">
        <v>0</v>
      </c>
      <c r="I1128" s="3">
        <v>0</v>
      </c>
      <c r="J1128" s="3" t="str">
        <v>AB</v>
      </c>
      <c r="K1128" s="23">
        <v>43633</v>
      </c>
      <c r="L1128" s="22">
        <v>19.843570709228516</v>
      </c>
    </row>
    <row r="1129" spans="1:12" x14ac:dyDescent="0.25">
      <c r="A1129" s="9">
        <v>1122</v>
      </c>
      <c r="B1129" s="10">
        <v>43635</v>
      </c>
      <c r="C1129" s="3">
        <v>20.035292205044399</v>
      </c>
      <c r="D1129" s="3">
        <v>20.165391869746429</v>
      </c>
      <c r="E1129" s="3">
        <v>19.795635340390607</v>
      </c>
      <c r="F1129" s="3">
        <v>20.001054763793945</v>
      </c>
      <c r="G1129" s="3">
        <v>253500</v>
      </c>
      <c r="H1129" s="3">
        <v>0</v>
      </c>
      <c r="I1129" s="3">
        <v>0</v>
      </c>
      <c r="J1129" s="3" t="str">
        <v>AB</v>
      </c>
      <c r="K1129" s="23">
        <v>43634</v>
      </c>
      <c r="L1129" s="22">
        <v>20.09007453918457</v>
      </c>
    </row>
    <row r="1130" spans="1:12" x14ac:dyDescent="0.25">
      <c r="A1130" s="9">
        <v>1123</v>
      </c>
      <c r="B1130" s="10">
        <v>43636</v>
      </c>
      <c r="C1130" s="3">
        <v>20.131157028929533</v>
      </c>
      <c r="D1130" s="3">
        <v>20.398203881079347</v>
      </c>
      <c r="E1130" s="3">
        <v>19.925737578991225</v>
      </c>
      <c r="F1130" s="3">
        <v>20.124309539794922</v>
      </c>
      <c r="G1130" s="3">
        <v>251600</v>
      </c>
      <c r="H1130" s="3">
        <v>0</v>
      </c>
      <c r="I1130" s="3">
        <v>0</v>
      </c>
      <c r="J1130" s="3" t="str">
        <v>AB</v>
      </c>
      <c r="K1130" s="23">
        <v>43635</v>
      </c>
      <c r="L1130" s="22">
        <v>20.001054763793945</v>
      </c>
    </row>
    <row r="1131" spans="1:12" x14ac:dyDescent="0.25">
      <c r="A1131" s="9">
        <v>1124</v>
      </c>
      <c r="B1131" s="10">
        <v>43637</v>
      </c>
      <c r="C1131" s="3">
        <v>20.014750240172773</v>
      </c>
      <c r="D1131" s="3">
        <v>20.309185712156122</v>
      </c>
      <c r="E1131" s="3">
        <v>20.014750240172773</v>
      </c>
      <c r="F1131" s="3">
        <v>20.220170974731445</v>
      </c>
      <c r="G1131" s="3">
        <v>107700</v>
      </c>
      <c r="H1131" s="3">
        <v>0</v>
      </c>
      <c r="I1131" s="3">
        <v>0</v>
      </c>
      <c r="J1131" s="3" t="str">
        <v>AB</v>
      </c>
      <c r="K1131" s="23">
        <v>43636</v>
      </c>
      <c r="L1131" s="22">
        <v>20.124309539794922</v>
      </c>
    </row>
    <row r="1132" spans="1:12" x14ac:dyDescent="0.25">
      <c r="A1132" s="9">
        <v>1125</v>
      </c>
      <c r="B1132" s="10">
        <v>43640</v>
      </c>
      <c r="C1132" s="3">
        <v>20.220175378396224</v>
      </c>
      <c r="D1132" s="3">
        <v>20.295495155382248</v>
      </c>
      <c r="E1132" s="3">
        <v>19.92573984228903</v>
      </c>
      <c r="F1132" s="3">
        <v>20.055839538574219</v>
      </c>
      <c r="G1132" s="3">
        <v>148000</v>
      </c>
      <c r="H1132" s="3">
        <v>0</v>
      </c>
      <c r="I1132" s="3">
        <v>0</v>
      </c>
      <c r="J1132" s="3" t="str">
        <v>AB</v>
      </c>
      <c r="K1132" s="23">
        <v>43637</v>
      </c>
      <c r="L1132" s="22">
        <v>20.220170974731445</v>
      </c>
    </row>
    <row r="1133" spans="1:12" x14ac:dyDescent="0.25">
      <c r="A1133" s="9">
        <v>1126</v>
      </c>
      <c r="B1133" s="10">
        <v>43641</v>
      </c>
      <c r="C1133" s="3">
        <v>20.083226837442677</v>
      </c>
      <c r="D1133" s="3">
        <v>20.083226837442677</v>
      </c>
      <c r="E1133" s="3">
        <v>19.692929080940623</v>
      </c>
      <c r="F1133" s="3">
        <v>19.727165222167969</v>
      </c>
      <c r="G1133" s="3">
        <v>84100</v>
      </c>
      <c r="H1133" s="3">
        <v>0</v>
      </c>
      <c r="I1133" s="3">
        <v>0</v>
      </c>
      <c r="J1133" s="3" t="str">
        <v>AB</v>
      </c>
      <c r="K1133" s="23">
        <v>43640</v>
      </c>
      <c r="L1133" s="22">
        <v>20.055839538574219</v>
      </c>
    </row>
    <row r="1134" spans="1:12" x14ac:dyDescent="0.25">
      <c r="A1134" s="9">
        <v>1127</v>
      </c>
      <c r="B1134" s="10">
        <v>43642</v>
      </c>
      <c r="C1134" s="3">
        <v>19.692928878282924</v>
      </c>
      <c r="D1134" s="3">
        <v>19.973669412738317</v>
      </c>
      <c r="E1134" s="3">
        <v>19.658691431382842</v>
      </c>
      <c r="F1134" s="3">
        <v>19.823028564453125</v>
      </c>
      <c r="G1134" s="3">
        <v>121900</v>
      </c>
      <c r="H1134" s="3">
        <v>0</v>
      </c>
      <c r="I1134" s="3">
        <v>0</v>
      </c>
      <c r="J1134" s="3" t="str">
        <v>AB</v>
      </c>
      <c r="K1134" s="23">
        <v>43641</v>
      </c>
      <c r="L1134" s="22">
        <v>19.727165222167969</v>
      </c>
    </row>
    <row r="1135" spans="1:12" x14ac:dyDescent="0.25">
      <c r="A1135" s="9">
        <v>1128</v>
      </c>
      <c r="B1135" s="10">
        <v>43643</v>
      </c>
      <c r="C1135" s="3">
        <v>19.946278757475259</v>
      </c>
      <c r="D1135" s="3">
        <v>19.959973735756225</v>
      </c>
      <c r="E1135" s="3">
        <v>19.692928189402416</v>
      </c>
      <c r="F1135" s="3">
        <v>19.912042617797852</v>
      </c>
      <c r="G1135" s="3">
        <v>109400</v>
      </c>
      <c r="H1135" s="3">
        <v>0</v>
      </c>
      <c r="I1135" s="3">
        <v>0</v>
      </c>
      <c r="J1135" s="3" t="str">
        <v>AB</v>
      </c>
      <c r="K1135" s="23">
        <v>43642</v>
      </c>
      <c r="L1135" s="22">
        <v>19.823028564453125</v>
      </c>
    </row>
    <row r="1136" spans="1:12" x14ac:dyDescent="0.25">
      <c r="A1136" s="9">
        <v>1129</v>
      </c>
      <c r="B1136" s="10">
        <v>43644</v>
      </c>
      <c r="C1136" s="3">
        <v>20.062683214727834</v>
      </c>
      <c r="D1136" s="3">
        <v>20.35711871403208</v>
      </c>
      <c r="E1136" s="3">
        <v>19.870958745245996</v>
      </c>
      <c r="F1136" s="3">
        <v>20.350271224975586</v>
      </c>
      <c r="G1136" s="3">
        <v>218600</v>
      </c>
      <c r="H1136" s="3">
        <v>0</v>
      </c>
      <c r="I1136" s="3">
        <v>0</v>
      </c>
      <c r="J1136" s="3" t="str">
        <v>AB</v>
      </c>
      <c r="K1136" s="23">
        <v>43643</v>
      </c>
      <c r="L1136" s="22">
        <v>19.912042617797852</v>
      </c>
    </row>
    <row r="1137" spans="1:12" x14ac:dyDescent="0.25">
      <c r="A1137" s="9">
        <v>1130</v>
      </c>
      <c r="B1137" s="10">
        <v>43647</v>
      </c>
      <c r="C1137" s="3">
        <v>20.541997680434385</v>
      </c>
      <c r="D1137" s="3">
        <v>20.64470740763155</v>
      </c>
      <c r="E1137" s="3">
        <v>20.377661855713917</v>
      </c>
      <c r="F1137" s="3">
        <v>20.47352409362793</v>
      </c>
      <c r="G1137" s="3">
        <v>250200</v>
      </c>
      <c r="H1137" s="3">
        <v>0</v>
      </c>
      <c r="I1137" s="3">
        <v>0</v>
      </c>
      <c r="J1137" s="3" t="str">
        <v>AB</v>
      </c>
      <c r="K1137" s="23">
        <v>43644</v>
      </c>
      <c r="L1137" s="22">
        <v>20.350271224975586</v>
      </c>
    </row>
    <row r="1138" spans="1:12" x14ac:dyDescent="0.25">
      <c r="A1138" s="9">
        <v>1131</v>
      </c>
      <c r="B1138" s="10">
        <v>43648</v>
      </c>
      <c r="C1138" s="3">
        <v>20.507764815679881</v>
      </c>
      <c r="D1138" s="3">
        <v>20.610474559282526</v>
      </c>
      <c r="E1138" s="3">
        <v>20.370817620192856</v>
      </c>
      <c r="F1138" s="3">
        <v>20.425596237182617</v>
      </c>
      <c r="G1138" s="3">
        <v>167700</v>
      </c>
      <c r="H1138" s="3">
        <v>0</v>
      </c>
      <c r="I1138" s="3">
        <v>0</v>
      </c>
      <c r="J1138" s="3" t="str">
        <v>AB</v>
      </c>
      <c r="K1138" s="23">
        <v>43647</v>
      </c>
      <c r="L1138" s="22">
        <v>20.47352409362793</v>
      </c>
    </row>
    <row r="1139" spans="1:12" x14ac:dyDescent="0.25">
      <c r="A1139" s="9">
        <v>1132</v>
      </c>
      <c r="B1139" s="10">
        <v>43649</v>
      </c>
      <c r="C1139" s="3">
        <v>20.418742041251722</v>
      </c>
      <c r="D1139" s="3">
        <v>20.747413635253906</v>
      </c>
      <c r="E1139" s="3">
        <v>20.411894553123574</v>
      </c>
      <c r="F1139" s="3">
        <v>20.747413635253906</v>
      </c>
      <c r="G1139" s="3">
        <v>162900</v>
      </c>
      <c r="H1139" s="3">
        <v>0</v>
      </c>
      <c r="I1139" s="3">
        <v>0</v>
      </c>
      <c r="J1139" s="3" t="str">
        <v>AB</v>
      </c>
      <c r="K1139" s="23">
        <v>43648</v>
      </c>
      <c r="L1139" s="22">
        <v>20.425596237182617</v>
      </c>
    </row>
    <row r="1140" spans="1:12" x14ac:dyDescent="0.25">
      <c r="A1140" s="9">
        <v>1133</v>
      </c>
      <c r="B1140" s="10">
        <v>43651</v>
      </c>
      <c r="C1140" s="3">
        <v>20.747420939145542</v>
      </c>
      <c r="D1140" s="3">
        <v>20.850131991201188</v>
      </c>
      <c r="E1140" s="3">
        <v>20.37766559223116</v>
      </c>
      <c r="F1140" s="3">
        <v>20.685794830322266</v>
      </c>
      <c r="G1140" s="3">
        <v>204500</v>
      </c>
      <c r="H1140" s="3">
        <v>0</v>
      </c>
      <c r="I1140" s="3">
        <v>0</v>
      </c>
      <c r="J1140" s="3" t="str">
        <v>AB</v>
      </c>
      <c r="K1140" s="23">
        <v>43649</v>
      </c>
      <c r="L1140" s="22">
        <v>20.747413635253906</v>
      </c>
    </row>
    <row r="1141" spans="1:12" x14ac:dyDescent="0.25">
      <c r="A1141" s="9">
        <v>1134</v>
      </c>
      <c r="B1141" s="10">
        <v>43654</v>
      </c>
      <c r="C1141" s="3">
        <v>20.583085084291895</v>
      </c>
      <c r="D1141" s="3">
        <v>20.850131991201188</v>
      </c>
      <c r="E1141" s="3">
        <v>20.466680357184071</v>
      </c>
      <c r="F1141" s="3">
        <v>20.685794830322266</v>
      </c>
      <c r="G1141" s="3">
        <v>147200</v>
      </c>
      <c r="H1141" s="3">
        <v>0</v>
      </c>
      <c r="I1141" s="3">
        <v>0</v>
      </c>
      <c r="J1141" s="3" t="str">
        <v>AB</v>
      </c>
      <c r="K1141" s="23">
        <v>43651</v>
      </c>
      <c r="L1141" s="22">
        <v>20.685794830322266</v>
      </c>
    </row>
    <row r="1142" spans="1:12" x14ac:dyDescent="0.25">
      <c r="A1142" s="9">
        <v>1135</v>
      </c>
      <c r="B1142" s="10">
        <v>43655</v>
      </c>
      <c r="C1142" s="3">
        <v>20.658403061819026</v>
      </c>
      <c r="D1142" s="3">
        <v>20.788502750403623</v>
      </c>
      <c r="E1142" s="3">
        <v>20.521455883727334</v>
      </c>
      <c r="F1142" s="3">
        <v>20.596776962280273</v>
      </c>
      <c r="G1142" s="3">
        <v>237200</v>
      </c>
      <c r="H1142" s="3">
        <v>0</v>
      </c>
      <c r="I1142" s="3">
        <v>0</v>
      </c>
      <c r="J1142" s="3" t="str">
        <v>AB</v>
      </c>
      <c r="K1142" s="23">
        <v>43654</v>
      </c>
      <c r="L1142" s="22">
        <v>20.685794830322266</v>
      </c>
    </row>
    <row r="1143" spans="1:12" x14ac:dyDescent="0.25">
      <c r="A1143" s="9">
        <v>1136</v>
      </c>
      <c r="B1143" s="10">
        <v>43656</v>
      </c>
      <c r="C1143" s="3">
        <v>20.63101388609088</v>
      </c>
      <c r="D1143" s="3">
        <v>20.884365783359744</v>
      </c>
      <c r="E1143" s="3">
        <v>20.405051947888975</v>
      </c>
      <c r="F1143" s="3">
        <v>20.795351028442383</v>
      </c>
      <c r="G1143" s="3">
        <v>213600</v>
      </c>
      <c r="H1143" s="3">
        <v>0</v>
      </c>
      <c r="I1143" s="3">
        <v>0</v>
      </c>
      <c r="J1143" s="3" t="str">
        <v>AB</v>
      </c>
      <c r="K1143" s="23">
        <v>43655</v>
      </c>
      <c r="L1143" s="22">
        <v>20.596776962280273</v>
      </c>
    </row>
    <row r="1144" spans="1:12" x14ac:dyDescent="0.25">
      <c r="A1144" s="9">
        <v>1137</v>
      </c>
      <c r="B1144" s="10">
        <v>43657</v>
      </c>
      <c r="C1144" s="3">
        <v>20.84327930614765</v>
      </c>
      <c r="D1144" s="3">
        <v>21.192493400440778</v>
      </c>
      <c r="E1144" s="3">
        <v>20.815889350818797</v>
      </c>
      <c r="F1144" s="3">
        <v>21.028156280517578</v>
      </c>
      <c r="G1144" s="3">
        <v>238600</v>
      </c>
      <c r="H1144" s="3">
        <v>0</v>
      </c>
      <c r="I1144" s="3">
        <v>0</v>
      </c>
      <c r="J1144" s="3" t="str">
        <v>AB</v>
      </c>
      <c r="K1144" s="23">
        <v>43656</v>
      </c>
      <c r="L1144" s="22">
        <v>20.795351028442383</v>
      </c>
    </row>
    <row r="1145" spans="1:12" x14ac:dyDescent="0.25">
      <c r="A1145" s="9">
        <v>1138</v>
      </c>
      <c r="B1145" s="10">
        <v>43658</v>
      </c>
      <c r="C1145" s="3">
        <v>21.055544663768341</v>
      </c>
      <c r="D1145" s="3">
        <v>21.19249181813775</v>
      </c>
      <c r="E1145" s="3">
        <v>20.747414219449592</v>
      </c>
      <c r="F1145" s="3">
        <v>20.877513885498047</v>
      </c>
      <c r="G1145" s="3">
        <v>204000</v>
      </c>
      <c r="H1145" s="3">
        <v>0</v>
      </c>
      <c r="I1145" s="3">
        <v>0</v>
      </c>
      <c r="J1145" s="3" t="str">
        <v>AB</v>
      </c>
      <c r="K1145" s="23">
        <v>43657</v>
      </c>
      <c r="L1145" s="22">
        <v>21.028156280517578</v>
      </c>
    </row>
    <row r="1146" spans="1:12" x14ac:dyDescent="0.25">
      <c r="A1146" s="9">
        <v>1139</v>
      </c>
      <c r="B1146" s="10">
        <v>43661</v>
      </c>
      <c r="C1146" s="3">
        <v>20.863819229148731</v>
      </c>
      <c r="D1146" s="3">
        <v>20.966530249514996</v>
      </c>
      <c r="E1146" s="3">
        <v>20.54199510927242</v>
      </c>
      <c r="F1146" s="3">
        <v>20.856971740722656</v>
      </c>
      <c r="G1146" s="3">
        <v>179500</v>
      </c>
      <c r="H1146" s="3">
        <v>0</v>
      </c>
      <c r="I1146" s="3">
        <v>0</v>
      </c>
      <c r="J1146" s="3" t="str">
        <v>AB</v>
      </c>
      <c r="K1146" s="23">
        <v>43658</v>
      </c>
      <c r="L1146" s="22">
        <v>20.877513885498047</v>
      </c>
    </row>
    <row r="1147" spans="1:12" x14ac:dyDescent="0.25">
      <c r="A1147" s="9">
        <v>1140</v>
      </c>
      <c r="B1147" s="10">
        <v>43662</v>
      </c>
      <c r="C1147" s="3">
        <v>20.918602112370799</v>
      </c>
      <c r="D1147" s="3">
        <v>21.144564052584055</v>
      </c>
      <c r="E1147" s="3">
        <v>20.877518479429792</v>
      </c>
      <c r="F1147" s="3">
        <v>21.076091766357422</v>
      </c>
      <c r="G1147" s="3">
        <v>187100</v>
      </c>
      <c r="H1147" s="3">
        <v>0</v>
      </c>
      <c r="I1147" s="3">
        <v>0</v>
      </c>
      <c r="J1147" s="3" t="str">
        <v>AB</v>
      </c>
      <c r="K1147" s="23">
        <v>43661</v>
      </c>
      <c r="L1147" s="22">
        <v>20.856971740722656</v>
      </c>
    </row>
    <row r="1148" spans="1:12" x14ac:dyDescent="0.25">
      <c r="A1148" s="9">
        <v>1141</v>
      </c>
      <c r="B1148" s="10">
        <v>43663</v>
      </c>
      <c r="C1148" s="3">
        <v>20.987071408768347</v>
      </c>
      <c r="D1148" s="3">
        <v>21.062392475430308</v>
      </c>
      <c r="E1148" s="3">
        <v>20.692635936571463</v>
      </c>
      <c r="F1148" s="3">
        <v>20.856971740722656</v>
      </c>
      <c r="G1148" s="3">
        <v>179600</v>
      </c>
      <c r="H1148" s="3">
        <v>0</v>
      </c>
      <c r="I1148" s="3">
        <v>0</v>
      </c>
      <c r="J1148" s="3" t="str">
        <v>AB</v>
      </c>
      <c r="K1148" s="23">
        <v>43662</v>
      </c>
      <c r="L1148" s="22">
        <v>21.076091766357422</v>
      </c>
    </row>
    <row r="1149" spans="1:12" x14ac:dyDescent="0.25">
      <c r="A1149" s="9">
        <v>1142</v>
      </c>
      <c r="B1149" s="10">
        <v>43664</v>
      </c>
      <c r="C1149" s="3">
        <v>20.856971420535178</v>
      </c>
      <c r="D1149" s="3">
        <v>20.96652992764562</v>
      </c>
      <c r="E1149" s="3">
        <v>20.685788130585845</v>
      </c>
      <c r="F1149" s="3">
        <v>20.877513885498047</v>
      </c>
      <c r="G1149" s="3">
        <v>217000</v>
      </c>
      <c r="H1149" s="3">
        <v>0</v>
      </c>
      <c r="I1149" s="3">
        <v>0</v>
      </c>
      <c r="J1149" s="3" t="str">
        <v>AB</v>
      </c>
      <c r="K1149" s="23">
        <v>43663</v>
      </c>
      <c r="L1149" s="22">
        <v>20.856971740722656</v>
      </c>
    </row>
    <row r="1150" spans="1:12" x14ac:dyDescent="0.25">
      <c r="A1150" s="9">
        <v>1143</v>
      </c>
      <c r="B1150" s="10">
        <v>43665</v>
      </c>
      <c r="C1150" s="3">
        <v>20.863825556405153</v>
      </c>
      <c r="D1150" s="3">
        <v>20.99392526390546</v>
      </c>
      <c r="E1150" s="3">
        <v>20.65840606542595</v>
      </c>
      <c r="F1150" s="3">
        <v>20.692642211914063</v>
      </c>
      <c r="G1150" s="3">
        <v>85200</v>
      </c>
      <c r="H1150" s="3">
        <v>0</v>
      </c>
      <c r="I1150" s="3">
        <v>0</v>
      </c>
      <c r="J1150" s="3" t="str">
        <v>AB</v>
      </c>
      <c r="K1150" s="23">
        <v>43664</v>
      </c>
      <c r="L1150" s="22">
        <v>20.877513885498047</v>
      </c>
    </row>
    <row r="1151" spans="1:12" x14ac:dyDescent="0.25">
      <c r="A1151" s="9">
        <v>1144</v>
      </c>
      <c r="B1151" s="10">
        <v>43668</v>
      </c>
      <c r="C1151" s="3">
        <v>20.631012537621302</v>
      </c>
      <c r="D1151" s="3">
        <v>20.747417243997262</v>
      </c>
      <c r="E1151" s="3">
        <v>20.39135694157525</v>
      </c>
      <c r="F1151" s="3">
        <v>20.466676712036133</v>
      </c>
      <c r="G1151" s="3">
        <v>173200</v>
      </c>
      <c r="H1151" s="3">
        <v>0</v>
      </c>
      <c r="I1151" s="3">
        <v>0</v>
      </c>
      <c r="J1151" s="3" t="str">
        <v>AB</v>
      </c>
      <c r="K1151" s="23">
        <v>43665</v>
      </c>
      <c r="L1151" s="22">
        <v>20.692642211914063</v>
      </c>
    </row>
    <row r="1152" spans="1:12" x14ac:dyDescent="0.25">
      <c r="A1152" s="9">
        <v>1145</v>
      </c>
      <c r="B1152" s="10">
        <v>43669</v>
      </c>
      <c r="C1152" s="3">
        <v>20.37081448679897</v>
      </c>
      <c r="D1152" s="3">
        <v>20.637860040294537</v>
      </c>
      <c r="E1152" s="3">
        <v>20.336578346205965</v>
      </c>
      <c r="F1152" s="3">
        <v>20.548845291137695</v>
      </c>
      <c r="G1152" s="3">
        <v>148100</v>
      </c>
      <c r="H1152" s="3">
        <v>0</v>
      </c>
      <c r="I1152" s="3">
        <v>0</v>
      </c>
      <c r="J1152" s="3" t="str">
        <v>AB</v>
      </c>
      <c r="K1152" s="23">
        <v>43668</v>
      </c>
      <c r="L1152" s="22">
        <v>20.466676712036133</v>
      </c>
    </row>
    <row r="1153" spans="1:12" x14ac:dyDescent="0.25">
      <c r="A1153" s="9">
        <v>1146</v>
      </c>
      <c r="B1153" s="10">
        <v>43670</v>
      </c>
      <c r="C1153" s="3">
        <v>20.541999260990369</v>
      </c>
      <c r="D1153" s="3">
        <v>20.644708996090294</v>
      </c>
      <c r="E1153" s="3">
        <v>20.398205893055504</v>
      </c>
      <c r="F1153" s="3">
        <v>20.411899566650391</v>
      </c>
      <c r="G1153" s="3">
        <v>172600</v>
      </c>
      <c r="H1153" s="3">
        <v>0</v>
      </c>
      <c r="I1153" s="3">
        <v>0</v>
      </c>
      <c r="J1153" s="3" t="str">
        <v>AB</v>
      </c>
      <c r="K1153" s="23">
        <v>43669</v>
      </c>
      <c r="L1153" s="22">
        <v>20.548845291137695</v>
      </c>
    </row>
    <row r="1154" spans="1:12" x14ac:dyDescent="0.25">
      <c r="A1154" s="9">
        <v>1147</v>
      </c>
      <c r="B1154" s="10">
        <v>43671</v>
      </c>
      <c r="C1154" s="3">
        <v>20.398202186708314</v>
      </c>
      <c r="D1154" s="3">
        <v>20.541995528515972</v>
      </c>
      <c r="E1154" s="3">
        <v>19.788788764598738</v>
      </c>
      <c r="F1154" s="3">
        <v>19.980514526367188</v>
      </c>
      <c r="G1154" s="3">
        <v>366300</v>
      </c>
      <c r="H1154" s="3">
        <v>0</v>
      </c>
      <c r="I1154" s="3">
        <v>0</v>
      </c>
      <c r="J1154" s="3" t="str">
        <v>AB</v>
      </c>
      <c r="K1154" s="23">
        <v>43670</v>
      </c>
      <c r="L1154" s="22">
        <v>20.411899566650391</v>
      </c>
    </row>
    <row r="1155" spans="1:12" x14ac:dyDescent="0.25">
      <c r="A1155" s="9">
        <v>1148</v>
      </c>
      <c r="B1155" s="10">
        <v>43672</v>
      </c>
      <c r="C1155" s="3">
        <v>19.980517618651156</v>
      </c>
      <c r="D1155" s="3">
        <v>20.466677627841278</v>
      </c>
      <c r="E1155" s="3">
        <v>19.980517618651156</v>
      </c>
      <c r="F1155" s="3">
        <v>20.363967895507813</v>
      </c>
      <c r="G1155" s="3">
        <v>185200</v>
      </c>
      <c r="H1155" s="3">
        <v>0</v>
      </c>
      <c r="I1155" s="3">
        <v>0</v>
      </c>
      <c r="J1155" s="3" t="str">
        <v>AB</v>
      </c>
      <c r="K1155" s="23">
        <v>43671</v>
      </c>
      <c r="L1155" s="22">
        <v>19.980514526367188</v>
      </c>
    </row>
    <row r="1156" spans="1:12" x14ac:dyDescent="0.25">
      <c r="A1156" s="9">
        <v>1149</v>
      </c>
      <c r="B1156" s="10">
        <v>43675</v>
      </c>
      <c r="C1156" s="3">
        <v>20.452984544000035</v>
      </c>
      <c r="D1156" s="3">
        <v>20.452984544000035</v>
      </c>
      <c r="E1156" s="3">
        <v>20.110617889005908</v>
      </c>
      <c r="F1156" s="3">
        <v>20.19963264465332</v>
      </c>
      <c r="G1156" s="3">
        <v>240900</v>
      </c>
      <c r="H1156" s="3">
        <v>0</v>
      </c>
      <c r="I1156" s="3">
        <v>0</v>
      </c>
      <c r="J1156" s="3" t="str">
        <v>AB</v>
      </c>
      <c r="K1156" s="23">
        <v>43672</v>
      </c>
      <c r="L1156" s="22">
        <v>20.363967895507813</v>
      </c>
    </row>
    <row r="1157" spans="1:12" x14ac:dyDescent="0.25">
      <c r="A1157" s="9">
        <v>1150</v>
      </c>
      <c r="B1157" s="10">
        <v>43676</v>
      </c>
      <c r="C1157" s="3">
        <v>20.199631052427147</v>
      </c>
      <c r="D1157" s="3">
        <v>20.480371582911079</v>
      </c>
      <c r="E1157" s="3">
        <v>19.99421159803282</v>
      </c>
      <c r="F1157" s="3">
        <v>20.47352409362793</v>
      </c>
      <c r="G1157" s="3">
        <v>243300</v>
      </c>
      <c r="H1157" s="3">
        <v>0</v>
      </c>
      <c r="I1157" s="3">
        <v>0</v>
      </c>
      <c r="J1157" s="3" t="str">
        <v>AB</v>
      </c>
      <c r="K1157" s="23">
        <v>43675</v>
      </c>
      <c r="L1157" s="22">
        <v>20.19963264465332</v>
      </c>
    </row>
    <row r="1158" spans="1:12" x14ac:dyDescent="0.25">
      <c r="A1158" s="9">
        <v>1151</v>
      </c>
      <c r="B1158" s="10">
        <v>43677</v>
      </c>
      <c r="C1158" s="3">
        <v>20.466673826082058</v>
      </c>
      <c r="D1158" s="3">
        <v>20.856971520065073</v>
      </c>
      <c r="E1158" s="3">
        <v>20.302338023669463</v>
      </c>
      <c r="F1158" s="3">
        <v>20.65839958190918</v>
      </c>
      <c r="G1158" s="3">
        <v>280700</v>
      </c>
      <c r="H1158" s="3">
        <v>0</v>
      </c>
      <c r="I1158" s="3">
        <v>0</v>
      </c>
      <c r="J1158" s="3" t="str">
        <v>AB</v>
      </c>
      <c r="K1158" s="23">
        <v>43676</v>
      </c>
      <c r="L1158" s="22">
        <v>20.47352409362793</v>
      </c>
    </row>
    <row r="1159" spans="1:12" x14ac:dyDescent="0.25">
      <c r="A1159" s="9">
        <v>1152</v>
      </c>
      <c r="B1159" s="10">
        <v>43678</v>
      </c>
      <c r="C1159" s="3">
        <v>20.67894614319334</v>
      </c>
      <c r="D1159" s="3">
        <v>20.706334796008335</v>
      </c>
      <c r="E1159" s="3">
        <v>20.110617557512157</v>
      </c>
      <c r="F1159" s="3">
        <v>20.138006210327148</v>
      </c>
      <c r="G1159" s="3">
        <v>544900</v>
      </c>
      <c r="H1159" s="3">
        <v>0</v>
      </c>
      <c r="I1159" s="3">
        <v>0</v>
      </c>
      <c r="J1159" s="3" t="str">
        <v>AB</v>
      </c>
      <c r="K1159" s="23">
        <v>43677</v>
      </c>
      <c r="L1159" s="22">
        <v>20.65839958190918</v>
      </c>
    </row>
    <row r="1160" spans="1:12" x14ac:dyDescent="0.25">
      <c r="A1160" s="9">
        <v>1153</v>
      </c>
      <c r="B1160" s="10">
        <v>43679</v>
      </c>
      <c r="C1160" s="3">
        <v>20.179885293180757</v>
      </c>
      <c r="D1160" s="3">
        <v>20.3962724843493</v>
      </c>
      <c r="E1160" s="3">
        <v>19.87275418446109</v>
      </c>
      <c r="F1160" s="3">
        <v>20.047260284423828</v>
      </c>
      <c r="G1160" s="3">
        <v>160000</v>
      </c>
      <c r="H1160" s="3">
        <v>0.56000000000000005</v>
      </c>
      <c r="I1160" s="3">
        <v>0</v>
      </c>
      <c r="J1160" s="3" t="str">
        <v>AB</v>
      </c>
      <c r="K1160" s="23">
        <v>43678</v>
      </c>
      <c r="L1160" s="22">
        <v>20.138006210327148</v>
      </c>
    </row>
    <row r="1161" spans="1:12" x14ac:dyDescent="0.25">
      <c r="A1161" s="9">
        <v>1154</v>
      </c>
      <c r="B1161" s="10">
        <v>43682</v>
      </c>
      <c r="C1161" s="3">
        <v>19.747112362903493</v>
      </c>
      <c r="D1161" s="3">
        <v>19.747112362903493</v>
      </c>
      <c r="E1161" s="3">
        <v>18.707054759036492</v>
      </c>
      <c r="F1161" s="3">
        <v>18.86760139465332</v>
      </c>
      <c r="G1161" s="3">
        <v>530200</v>
      </c>
      <c r="H1161" s="3">
        <v>0</v>
      </c>
      <c r="I1161" s="3">
        <v>0</v>
      </c>
      <c r="J1161" s="3" t="str">
        <v>AB</v>
      </c>
      <c r="K1161" s="23">
        <v>43679</v>
      </c>
      <c r="L1161" s="22">
        <v>20.047260284423828</v>
      </c>
    </row>
    <row r="1162" spans="1:12" x14ac:dyDescent="0.25">
      <c r="A1162" s="9">
        <v>1155</v>
      </c>
      <c r="B1162" s="10">
        <v>43683</v>
      </c>
      <c r="C1162" s="3">
        <v>18.951362932411527</v>
      </c>
      <c r="D1162" s="3">
        <v>19.733150876689468</v>
      </c>
      <c r="E1162" s="3">
        <v>18.951362932411527</v>
      </c>
      <c r="F1162" s="3">
        <v>19.649387359619141</v>
      </c>
      <c r="G1162" s="3">
        <v>195300</v>
      </c>
      <c r="H1162" s="3">
        <v>0</v>
      </c>
      <c r="I1162" s="3">
        <v>0</v>
      </c>
      <c r="J1162" s="3" t="str">
        <v>AB</v>
      </c>
      <c r="K1162" s="23">
        <v>43682</v>
      </c>
      <c r="L1162" s="22">
        <v>18.86760139465332</v>
      </c>
    </row>
    <row r="1163" spans="1:12" x14ac:dyDescent="0.25">
      <c r="A1163" s="9">
        <v>1156</v>
      </c>
      <c r="B1163" s="10">
        <v>43684</v>
      </c>
      <c r="C1163" s="3">
        <v>19.335276666223891</v>
      </c>
      <c r="D1163" s="3">
        <v>19.621466567468556</v>
      </c>
      <c r="E1163" s="3">
        <v>19.125868544650984</v>
      </c>
      <c r="F1163" s="3">
        <v>19.544683456420898</v>
      </c>
      <c r="G1163" s="3">
        <v>231000</v>
      </c>
      <c r="H1163" s="3">
        <v>0</v>
      </c>
      <c r="I1163" s="3">
        <v>0</v>
      </c>
      <c r="J1163" s="3" t="str">
        <v>AB</v>
      </c>
      <c r="K1163" s="23">
        <v>43683</v>
      </c>
      <c r="L1163" s="22">
        <v>19.649387359619141</v>
      </c>
    </row>
    <row r="1164" spans="1:12" x14ac:dyDescent="0.25">
      <c r="A1164" s="9">
        <v>1157</v>
      </c>
      <c r="B1164" s="10">
        <v>43685</v>
      </c>
      <c r="C1164" s="3">
        <v>19.719188131375123</v>
      </c>
      <c r="D1164" s="3">
        <v>19.858793535651994</v>
      </c>
      <c r="E1164" s="3">
        <v>19.426017847494336</v>
      </c>
      <c r="F1164" s="3">
        <v>19.551662445068359</v>
      </c>
      <c r="G1164" s="3">
        <v>235500</v>
      </c>
      <c r="H1164" s="3">
        <v>0</v>
      </c>
      <c r="I1164" s="3">
        <v>0</v>
      </c>
      <c r="J1164" s="3" t="str">
        <v>AB</v>
      </c>
      <c r="K1164" s="23">
        <v>43684</v>
      </c>
      <c r="L1164" s="22">
        <v>19.544683456420898</v>
      </c>
    </row>
    <row r="1165" spans="1:12" x14ac:dyDescent="0.25">
      <c r="A1165" s="9">
        <v>1158</v>
      </c>
      <c r="B1165" s="10">
        <v>43686</v>
      </c>
      <c r="C1165" s="3">
        <v>19.419040647161758</v>
      </c>
      <c r="D1165" s="3">
        <v>19.551665669962663</v>
      </c>
      <c r="E1165" s="3">
        <v>19.279436551234088</v>
      </c>
      <c r="F1165" s="3">
        <v>19.356218338012695</v>
      </c>
      <c r="G1165" s="3">
        <v>165100</v>
      </c>
      <c r="H1165" s="3">
        <v>0</v>
      </c>
      <c r="I1165" s="3">
        <v>0</v>
      </c>
      <c r="J1165" s="3" t="str">
        <v>AB</v>
      </c>
      <c r="K1165" s="23">
        <v>43685</v>
      </c>
      <c r="L1165" s="22">
        <v>19.551662445068359</v>
      </c>
    </row>
    <row r="1166" spans="1:12" x14ac:dyDescent="0.25">
      <c r="A1166" s="9">
        <v>1159</v>
      </c>
      <c r="B1166" s="10">
        <v>43689</v>
      </c>
      <c r="C1166" s="3">
        <v>19.195671343949563</v>
      </c>
      <c r="D1166" s="3">
        <v>19.363197043186197</v>
      </c>
      <c r="E1166" s="3">
        <v>18.74195574209503</v>
      </c>
      <c r="F1166" s="3">
        <v>18.825717926025391</v>
      </c>
      <c r="G1166" s="3">
        <v>264200</v>
      </c>
      <c r="H1166" s="3">
        <v>0</v>
      </c>
      <c r="I1166" s="3">
        <v>0</v>
      </c>
      <c r="J1166" s="3" t="str">
        <v>AB</v>
      </c>
      <c r="K1166" s="23">
        <v>43686</v>
      </c>
      <c r="L1166" s="22">
        <v>19.356218338012695</v>
      </c>
    </row>
    <row r="1167" spans="1:12" x14ac:dyDescent="0.25">
      <c r="A1167" s="9">
        <v>1160</v>
      </c>
      <c r="B1167" s="10">
        <v>43690</v>
      </c>
      <c r="C1167" s="3">
        <v>18.804774970489699</v>
      </c>
      <c r="D1167" s="3">
        <v>19.202648607532378</v>
      </c>
      <c r="E1167" s="3">
        <v>18.762892553997855</v>
      </c>
      <c r="F1167" s="3">
        <v>19.146806716918945</v>
      </c>
      <c r="G1167" s="3">
        <v>280100</v>
      </c>
      <c r="H1167" s="3">
        <v>0</v>
      </c>
      <c r="I1167" s="3">
        <v>0</v>
      </c>
      <c r="J1167" s="3" t="str">
        <v>AB</v>
      </c>
      <c r="K1167" s="23">
        <v>43689</v>
      </c>
      <c r="L1167" s="22">
        <v>18.825717926025391</v>
      </c>
    </row>
    <row r="1168" spans="1:12" x14ac:dyDescent="0.25">
      <c r="A1168" s="9">
        <v>1161</v>
      </c>
      <c r="B1168" s="10">
        <v>43691</v>
      </c>
      <c r="C1168" s="3">
        <v>18.797799470154288</v>
      </c>
      <c r="D1168" s="3">
        <v>18.9234440896462</v>
      </c>
      <c r="E1168" s="3">
        <v>18.490668325993617</v>
      </c>
      <c r="F1168" s="3">
        <v>18.504629135131836</v>
      </c>
      <c r="G1168" s="3">
        <v>267600</v>
      </c>
      <c r="H1168" s="3">
        <v>0</v>
      </c>
      <c r="I1168" s="3">
        <v>0</v>
      </c>
      <c r="J1168" s="3" t="str">
        <v>AB</v>
      </c>
      <c r="K1168" s="23">
        <v>43690</v>
      </c>
      <c r="L1168" s="22">
        <v>19.146806716918945</v>
      </c>
    </row>
    <row r="1169" spans="1:12" x14ac:dyDescent="0.25">
      <c r="A1169" s="9">
        <v>1162</v>
      </c>
      <c r="B1169" s="10">
        <v>43692</v>
      </c>
      <c r="C1169" s="3">
        <v>18.51160753121707</v>
      </c>
      <c r="D1169" s="3">
        <v>18.790817026807456</v>
      </c>
      <c r="E1169" s="3">
        <v>18.351062237674586</v>
      </c>
      <c r="F1169" s="3">
        <v>18.413883209228516</v>
      </c>
      <c r="G1169" s="3">
        <v>259400</v>
      </c>
      <c r="H1169" s="3">
        <v>0</v>
      </c>
      <c r="I1169" s="3">
        <v>0</v>
      </c>
      <c r="J1169" s="3" t="str">
        <v>AB</v>
      </c>
      <c r="K1169" s="23">
        <v>43691</v>
      </c>
      <c r="L1169" s="22">
        <v>18.504629135131836</v>
      </c>
    </row>
    <row r="1170" spans="1:12" x14ac:dyDescent="0.25">
      <c r="A1170" s="9">
        <v>1163</v>
      </c>
      <c r="B1170" s="10">
        <v>43693</v>
      </c>
      <c r="C1170" s="3">
        <v>18.497647956233301</v>
      </c>
      <c r="D1170" s="3">
        <v>18.993244677509647</v>
      </c>
      <c r="E1170" s="3">
        <v>18.42086484056334</v>
      </c>
      <c r="F1170" s="3">
        <v>18.86760139465332</v>
      </c>
      <c r="G1170" s="3">
        <v>158900</v>
      </c>
      <c r="H1170" s="3">
        <v>0</v>
      </c>
      <c r="I1170" s="3">
        <v>0</v>
      </c>
      <c r="J1170" s="3" t="str">
        <v>AB</v>
      </c>
      <c r="K1170" s="23">
        <v>43692</v>
      </c>
      <c r="L1170" s="22">
        <v>18.413883209228516</v>
      </c>
    </row>
    <row r="1171" spans="1:12" x14ac:dyDescent="0.25">
      <c r="A1171" s="9">
        <v>1164</v>
      </c>
      <c r="B1171" s="10">
        <v>43696</v>
      </c>
      <c r="C1171" s="3">
        <v>18.867600074820302</v>
      </c>
      <c r="D1171" s="3">
        <v>19.272454174928363</v>
      </c>
      <c r="E1171" s="3">
        <v>18.867600074820302</v>
      </c>
      <c r="F1171" s="3">
        <v>19.09794807434082</v>
      </c>
      <c r="G1171" s="3">
        <v>248000</v>
      </c>
      <c r="H1171" s="3">
        <v>0</v>
      </c>
      <c r="I1171" s="3">
        <v>0</v>
      </c>
      <c r="J1171" s="3" t="str">
        <v>AB</v>
      </c>
      <c r="K1171" s="23">
        <v>43693</v>
      </c>
      <c r="L1171" s="22">
        <v>18.86760139465332</v>
      </c>
    </row>
    <row r="1172" spans="1:12" x14ac:dyDescent="0.25">
      <c r="A1172" s="9">
        <v>1165</v>
      </c>
      <c r="B1172" s="10">
        <v>43697</v>
      </c>
      <c r="C1172" s="3">
        <v>19.125870275384063</v>
      </c>
      <c r="D1172" s="3">
        <v>19.419040607014903</v>
      </c>
      <c r="E1172" s="3">
        <v>18.9723053707683</v>
      </c>
      <c r="F1172" s="3">
        <v>19.195672988891602</v>
      </c>
      <c r="G1172" s="3">
        <v>197300</v>
      </c>
      <c r="H1172" s="3">
        <v>0</v>
      </c>
      <c r="I1172" s="3">
        <v>0</v>
      </c>
      <c r="J1172" s="3" t="str">
        <v>AB</v>
      </c>
      <c r="K1172" s="23">
        <v>43696</v>
      </c>
      <c r="L1172" s="22">
        <v>19.09794807434082</v>
      </c>
    </row>
    <row r="1173" spans="1:12" x14ac:dyDescent="0.25">
      <c r="A1173" s="9">
        <v>1166</v>
      </c>
      <c r="B1173" s="10">
        <v>43698</v>
      </c>
      <c r="C1173" s="3">
        <v>19.370178328925739</v>
      </c>
      <c r="D1173" s="3">
        <v>19.761071644940408</v>
      </c>
      <c r="E1173" s="3">
        <v>19.370178328925739</v>
      </c>
      <c r="F1173" s="3">
        <v>19.558645248413086</v>
      </c>
      <c r="G1173" s="3">
        <v>227100</v>
      </c>
      <c r="H1173" s="3">
        <v>0</v>
      </c>
      <c r="I1173" s="3">
        <v>0</v>
      </c>
      <c r="J1173" s="3" t="str">
        <v>AB</v>
      </c>
      <c r="K1173" s="23">
        <v>43697</v>
      </c>
      <c r="L1173" s="22">
        <v>19.195672988891602</v>
      </c>
    </row>
    <row r="1174" spans="1:12" x14ac:dyDescent="0.25">
      <c r="A1174" s="9">
        <v>1167</v>
      </c>
      <c r="B1174" s="10">
        <v>43699</v>
      </c>
      <c r="C1174" s="3">
        <v>19.816910839142611</v>
      </c>
      <c r="D1174" s="3">
        <v>19.886713540307458</v>
      </c>
      <c r="E1174" s="3">
        <v>19.684287171442769</v>
      </c>
      <c r="F1174" s="3">
        <v>19.858793258666992</v>
      </c>
      <c r="G1174" s="3">
        <v>258400</v>
      </c>
      <c r="H1174" s="3">
        <v>0</v>
      </c>
      <c r="I1174" s="3">
        <v>0</v>
      </c>
      <c r="J1174" s="3" t="str">
        <v>AB</v>
      </c>
      <c r="K1174" s="23">
        <v>43698</v>
      </c>
      <c r="L1174" s="22">
        <v>19.558645248413086</v>
      </c>
    </row>
    <row r="1175" spans="1:12" x14ac:dyDescent="0.25">
      <c r="A1175" s="9">
        <v>1168</v>
      </c>
      <c r="B1175" s="10">
        <v>43700</v>
      </c>
      <c r="C1175" s="3">
        <v>19.775028383517498</v>
      </c>
      <c r="D1175" s="3">
        <v>20.124040533831167</v>
      </c>
      <c r="E1175" s="3">
        <v>19.286410840528085</v>
      </c>
      <c r="F1175" s="3">
        <v>19.342252731323242</v>
      </c>
      <c r="G1175" s="3">
        <v>234100</v>
      </c>
      <c r="H1175" s="3">
        <v>0</v>
      </c>
      <c r="I1175" s="3">
        <v>0</v>
      </c>
      <c r="J1175" s="3" t="str">
        <v>AB</v>
      </c>
      <c r="K1175" s="23">
        <v>43699</v>
      </c>
      <c r="L1175" s="22">
        <v>19.858793258666992</v>
      </c>
    </row>
    <row r="1176" spans="1:12" x14ac:dyDescent="0.25">
      <c r="A1176" s="9">
        <v>1169</v>
      </c>
      <c r="B1176" s="10">
        <v>43703</v>
      </c>
      <c r="C1176" s="3">
        <v>19.5377021718549</v>
      </c>
      <c r="D1176" s="3">
        <v>19.73314947690417</v>
      </c>
      <c r="E1176" s="3">
        <v>19.467899467810454</v>
      </c>
      <c r="F1176" s="3">
        <v>19.621465682983398</v>
      </c>
      <c r="G1176" s="3">
        <v>152300</v>
      </c>
      <c r="H1176" s="3">
        <v>0</v>
      </c>
      <c r="I1176" s="3">
        <v>0</v>
      </c>
      <c r="J1176" s="3" t="str">
        <v>AB</v>
      </c>
      <c r="K1176" s="23">
        <v>43700</v>
      </c>
      <c r="L1176" s="22">
        <v>19.342252731323242</v>
      </c>
    </row>
    <row r="1177" spans="1:12" x14ac:dyDescent="0.25">
      <c r="A1177" s="9">
        <v>1170</v>
      </c>
      <c r="B1177" s="10">
        <v>43704</v>
      </c>
      <c r="C1177" s="3">
        <v>19.614487221295992</v>
      </c>
      <c r="D1177" s="3">
        <v>19.83785483125116</v>
      </c>
      <c r="E1177" s="3">
        <v>19.405079088431037</v>
      </c>
      <c r="F1177" s="3">
        <v>19.684289932250977</v>
      </c>
      <c r="G1177" s="3">
        <v>185000</v>
      </c>
      <c r="H1177" s="3">
        <v>0</v>
      </c>
      <c r="I1177" s="3">
        <v>0</v>
      </c>
      <c r="J1177" s="3" t="str">
        <v>AB</v>
      </c>
      <c r="K1177" s="23">
        <v>43703</v>
      </c>
      <c r="L1177" s="22">
        <v>19.621465682983398</v>
      </c>
    </row>
    <row r="1178" spans="1:12" x14ac:dyDescent="0.25">
      <c r="A1178" s="9">
        <v>1171</v>
      </c>
      <c r="B1178" s="10">
        <v>43705</v>
      </c>
      <c r="C1178" s="3">
        <v>19.719188220166107</v>
      </c>
      <c r="D1178" s="3">
        <v>19.963497013062796</v>
      </c>
      <c r="E1178" s="3">
        <v>19.593543622026335</v>
      </c>
      <c r="F1178" s="3">
        <v>19.809930801391602</v>
      </c>
      <c r="G1178" s="3">
        <v>199400</v>
      </c>
      <c r="H1178" s="3">
        <v>0</v>
      </c>
      <c r="I1178" s="3">
        <v>0</v>
      </c>
      <c r="J1178" s="3" t="str">
        <v>AB</v>
      </c>
      <c r="K1178" s="23">
        <v>43704</v>
      </c>
      <c r="L1178" s="22">
        <v>19.684289932250977</v>
      </c>
    </row>
    <row r="1179" spans="1:12" x14ac:dyDescent="0.25">
      <c r="A1179" s="9">
        <v>1172</v>
      </c>
      <c r="B1179" s="10">
        <v>43706</v>
      </c>
      <c r="C1179" s="3">
        <v>19.921615580931945</v>
      </c>
      <c r="D1179" s="3">
        <v>20.040278442268725</v>
      </c>
      <c r="E1179" s="3">
        <v>19.844832476419167</v>
      </c>
      <c r="F1179" s="3">
        <v>19.956516265869141</v>
      </c>
      <c r="G1179" s="3">
        <v>113300</v>
      </c>
      <c r="H1179" s="3">
        <v>0</v>
      </c>
      <c r="I1179" s="3">
        <v>0</v>
      </c>
      <c r="J1179" s="3" t="str">
        <v>AB</v>
      </c>
      <c r="K1179" s="23">
        <v>43705</v>
      </c>
      <c r="L1179" s="22">
        <v>19.809930801391602</v>
      </c>
    </row>
    <row r="1180" spans="1:12" x14ac:dyDescent="0.25">
      <c r="A1180" s="9">
        <v>1173</v>
      </c>
      <c r="B1180" s="10">
        <v>43707</v>
      </c>
      <c r="C1180" s="3">
        <v>20.047259232046247</v>
      </c>
      <c r="D1180" s="3">
        <v>20.124042338039416</v>
      </c>
      <c r="E1180" s="3">
        <v>19.705227453839292</v>
      </c>
      <c r="F1180" s="3">
        <v>19.740129470825195</v>
      </c>
      <c r="G1180" s="3">
        <v>134800</v>
      </c>
      <c r="H1180" s="3">
        <v>0</v>
      </c>
      <c r="I1180" s="3">
        <v>0</v>
      </c>
      <c r="J1180" s="3" t="str">
        <v>AB</v>
      </c>
      <c r="K1180" s="23">
        <v>43706</v>
      </c>
      <c r="L1180" s="22">
        <v>19.956516265869141</v>
      </c>
    </row>
    <row r="1181" spans="1:12" x14ac:dyDescent="0.25">
      <c r="A1181" s="9">
        <v>1174</v>
      </c>
      <c r="B1181" s="10">
        <v>43711</v>
      </c>
      <c r="C1181" s="3">
        <v>19.558645318807198</v>
      </c>
      <c r="D1181" s="3">
        <v>19.747112238972864</v>
      </c>
      <c r="E1181" s="3">
        <v>19.412059492664135</v>
      </c>
      <c r="F1181" s="3">
        <v>19.684289932250977</v>
      </c>
      <c r="G1181" s="3">
        <v>124400</v>
      </c>
      <c r="H1181" s="3">
        <v>0</v>
      </c>
      <c r="I1181" s="3">
        <v>0</v>
      </c>
      <c r="J1181" s="3" t="str">
        <v>AB</v>
      </c>
      <c r="K1181" s="23">
        <v>43707</v>
      </c>
      <c r="L1181" s="22">
        <v>19.740129470825195</v>
      </c>
    </row>
    <row r="1182" spans="1:12" x14ac:dyDescent="0.25">
      <c r="A1182" s="9">
        <v>1175</v>
      </c>
      <c r="B1182" s="10">
        <v>43712</v>
      </c>
      <c r="C1182" s="3">
        <v>19.970483289346777</v>
      </c>
      <c r="D1182" s="3">
        <v>20.103106998495452</v>
      </c>
      <c r="E1182" s="3">
        <v>19.795977147584228</v>
      </c>
      <c r="F1182" s="3">
        <v>19.963502883911133</v>
      </c>
      <c r="G1182" s="3">
        <v>157000</v>
      </c>
      <c r="H1182" s="3">
        <v>0</v>
      </c>
      <c r="I1182" s="3">
        <v>0</v>
      </c>
      <c r="J1182" s="3" t="str">
        <v>AB</v>
      </c>
      <c r="K1182" s="23">
        <v>43711</v>
      </c>
      <c r="L1182" s="22">
        <v>19.684289932250977</v>
      </c>
    </row>
    <row r="1183" spans="1:12" x14ac:dyDescent="0.25">
      <c r="A1183" s="9">
        <v>1176</v>
      </c>
      <c r="B1183" s="10">
        <v>43713</v>
      </c>
      <c r="C1183" s="3">
        <v>20.151965594197083</v>
      </c>
      <c r="D1183" s="3">
        <v>20.382313599576246</v>
      </c>
      <c r="E1183" s="3">
        <v>20.110083170400202</v>
      </c>
      <c r="F1183" s="3">
        <v>20.277608871459961</v>
      </c>
      <c r="G1183" s="3">
        <v>187400</v>
      </c>
      <c r="H1183" s="3">
        <v>0</v>
      </c>
      <c r="I1183" s="3">
        <v>0</v>
      </c>
      <c r="J1183" s="3" t="str">
        <v>AB</v>
      </c>
      <c r="K1183" s="23">
        <v>43712</v>
      </c>
      <c r="L1183" s="22">
        <v>19.963502883911133</v>
      </c>
    </row>
    <row r="1184" spans="1:12" x14ac:dyDescent="0.25">
      <c r="A1184" s="9">
        <v>1177</v>
      </c>
      <c r="B1184" s="10">
        <v>43714</v>
      </c>
      <c r="C1184" s="3">
        <v>20.242707223915435</v>
      </c>
      <c r="D1184" s="3">
        <v>20.375332230236676</v>
      </c>
      <c r="E1184" s="3">
        <v>19.991418018543797</v>
      </c>
      <c r="F1184" s="3">
        <v>20.096122741699219</v>
      </c>
      <c r="G1184" s="3">
        <v>151000</v>
      </c>
      <c r="H1184" s="3">
        <v>0</v>
      </c>
      <c r="I1184" s="3">
        <v>0</v>
      </c>
      <c r="J1184" s="3" t="str">
        <v>AB</v>
      </c>
      <c r="K1184" s="23">
        <v>43713</v>
      </c>
      <c r="L1184" s="22">
        <v>20.277608871459961</v>
      </c>
    </row>
    <row r="1185" spans="1:12" x14ac:dyDescent="0.25">
      <c r="A1185" s="9">
        <v>1178</v>
      </c>
      <c r="B1185" s="10">
        <v>43717</v>
      </c>
      <c r="C1185" s="3">
        <v>20.214784351818416</v>
      </c>
      <c r="D1185" s="3">
        <v>20.521915435791016</v>
      </c>
      <c r="E1185" s="3">
        <v>20.179883667188342</v>
      </c>
      <c r="F1185" s="3">
        <v>20.521915435791016</v>
      </c>
      <c r="G1185" s="3">
        <v>117000</v>
      </c>
      <c r="H1185" s="3">
        <v>0</v>
      </c>
      <c r="I1185" s="3">
        <v>0</v>
      </c>
      <c r="J1185" s="3" t="str">
        <v>AB</v>
      </c>
      <c r="K1185" s="23">
        <v>43714</v>
      </c>
      <c r="L1185" s="22">
        <v>20.096122741699219</v>
      </c>
    </row>
    <row r="1186" spans="1:12" x14ac:dyDescent="0.25">
      <c r="A1186" s="9">
        <v>1179</v>
      </c>
      <c r="B1186" s="10">
        <v>43718</v>
      </c>
      <c r="C1186" s="3">
        <v>20.521918749462479</v>
      </c>
      <c r="D1186" s="3">
        <v>20.675484981932989</v>
      </c>
      <c r="E1186" s="3">
        <v>20.270630850523816</v>
      </c>
      <c r="F1186" s="3">
        <v>20.417215347290039</v>
      </c>
      <c r="G1186" s="3">
        <v>148200</v>
      </c>
      <c r="H1186" s="3">
        <v>0</v>
      </c>
      <c r="I1186" s="3">
        <v>0</v>
      </c>
      <c r="J1186" s="3" t="str">
        <v>AB</v>
      </c>
      <c r="K1186" s="23">
        <v>43717</v>
      </c>
      <c r="L1186" s="22">
        <v>20.521915435791016</v>
      </c>
    </row>
    <row r="1187" spans="1:12" x14ac:dyDescent="0.25">
      <c r="A1187" s="9">
        <v>1180</v>
      </c>
      <c r="B1187" s="10">
        <v>43719</v>
      </c>
      <c r="C1187" s="3">
        <v>20.235728971853348</v>
      </c>
      <c r="D1187" s="3">
        <v>20.822069625812876</v>
      </c>
      <c r="E1187" s="3">
        <v>20.179887068208441</v>
      </c>
      <c r="F1187" s="3">
        <v>20.766227722167969</v>
      </c>
      <c r="G1187" s="3">
        <v>225300</v>
      </c>
      <c r="H1187" s="3">
        <v>0</v>
      </c>
      <c r="I1187" s="3">
        <v>0</v>
      </c>
      <c r="J1187" s="3" t="str">
        <v>AB</v>
      </c>
      <c r="K1187" s="23">
        <v>43718</v>
      </c>
      <c r="L1187" s="22">
        <v>20.417215347290039</v>
      </c>
    </row>
    <row r="1188" spans="1:12" x14ac:dyDescent="0.25">
      <c r="A1188" s="9">
        <v>1181</v>
      </c>
      <c r="B1188" s="10">
        <v>43720</v>
      </c>
      <c r="C1188" s="3">
        <v>20.766227764405411</v>
      </c>
      <c r="D1188" s="3">
        <v>21.010536592614795</v>
      </c>
      <c r="E1188" s="3">
        <v>20.605682457521763</v>
      </c>
      <c r="F1188" s="3">
        <v>20.926773071289063</v>
      </c>
      <c r="G1188" s="3">
        <v>391200</v>
      </c>
      <c r="H1188" s="3">
        <v>0</v>
      </c>
      <c r="I1188" s="3">
        <v>0</v>
      </c>
      <c r="J1188" s="3" t="str">
        <v>AB</v>
      </c>
      <c r="K1188" s="23">
        <v>43719</v>
      </c>
      <c r="L1188" s="22">
        <v>20.766227722167969</v>
      </c>
    </row>
    <row r="1189" spans="1:12" x14ac:dyDescent="0.25">
      <c r="A1189" s="9">
        <v>1182</v>
      </c>
      <c r="B1189" s="10">
        <v>43721</v>
      </c>
      <c r="C1189" s="3">
        <v>20.996575171873083</v>
      </c>
      <c r="D1189" s="3">
        <v>21.045436669815658</v>
      </c>
      <c r="E1189" s="3">
        <v>20.361373035867647</v>
      </c>
      <c r="F1189" s="3">
        <v>20.633602142333984</v>
      </c>
      <c r="G1189" s="3">
        <v>309200</v>
      </c>
      <c r="H1189" s="3">
        <v>0</v>
      </c>
      <c r="I1189" s="3">
        <v>0</v>
      </c>
      <c r="J1189" s="3" t="str">
        <v>AB</v>
      </c>
      <c r="K1189" s="23">
        <v>43720</v>
      </c>
      <c r="L1189" s="22">
        <v>20.926773071289063</v>
      </c>
    </row>
    <row r="1190" spans="1:12" x14ac:dyDescent="0.25">
      <c r="A1190" s="9">
        <v>1183</v>
      </c>
      <c r="B1190" s="10">
        <v>43724</v>
      </c>
      <c r="C1190" s="3">
        <v>20.584739272359457</v>
      </c>
      <c r="D1190" s="3">
        <v>20.877909571850243</v>
      </c>
      <c r="E1190" s="3">
        <v>20.521916970227441</v>
      </c>
      <c r="F1190" s="3">
        <v>20.703403472900391</v>
      </c>
      <c r="G1190" s="3">
        <v>187000</v>
      </c>
      <c r="H1190" s="3">
        <v>0</v>
      </c>
      <c r="I1190" s="3">
        <v>0</v>
      </c>
      <c r="J1190" s="3" t="str">
        <v>AB</v>
      </c>
      <c r="K1190" s="23">
        <v>43721</v>
      </c>
      <c r="L1190" s="22">
        <v>20.633602142333984</v>
      </c>
    </row>
    <row r="1191" spans="1:12" x14ac:dyDescent="0.25">
      <c r="A1191" s="9">
        <v>1184</v>
      </c>
      <c r="B1191" s="10">
        <v>43725</v>
      </c>
      <c r="C1191" s="3">
        <v>20.61266080754303</v>
      </c>
      <c r="D1191" s="3">
        <v>20.898850702204026</v>
      </c>
      <c r="E1191" s="3">
        <v>20.549838505653948</v>
      </c>
      <c r="F1191" s="3">
        <v>20.5777587890625</v>
      </c>
      <c r="G1191" s="3">
        <v>179000</v>
      </c>
      <c r="H1191" s="3">
        <v>0</v>
      </c>
      <c r="I1191" s="3">
        <v>0</v>
      </c>
      <c r="J1191" s="3" t="str">
        <v>AB</v>
      </c>
      <c r="K1191" s="23">
        <v>43724</v>
      </c>
      <c r="L1191" s="22">
        <v>20.703403472900391</v>
      </c>
    </row>
    <row r="1192" spans="1:12" x14ac:dyDescent="0.25">
      <c r="A1192" s="9">
        <v>1185</v>
      </c>
      <c r="B1192" s="10">
        <v>43726</v>
      </c>
      <c r="C1192" s="3">
        <v>20.626620838085962</v>
      </c>
      <c r="D1192" s="3">
        <v>20.787167464660801</v>
      </c>
      <c r="E1192" s="3">
        <v>20.487016754538335</v>
      </c>
      <c r="F1192" s="3">
        <v>20.612661361694336</v>
      </c>
      <c r="G1192" s="3">
        <v>107900</v>
      </c>
      <c r="H1192" s="3">
        <v>0</v>
      </c>
      <c r="I1192" s="3">
        <v>0</v>
      </c>
      <c r="J1192" s="3" t="str">
        <v>AB</v>
      </c>
      <c r="K1192" s="23">
        <v>43725</v>
      </c>
      <c r="L1192" s="22">
        <v>20.5777587890625</v>
      </c>
    </row>
    <row r="1193" spans="1:12" x14ac:dyDescent="0.25">
      <c r="A1193" s="9">
        <v>1186</v>
      </c>
      <c r="B1193" s="10">
        <v>43727</v>
      </c>
      <c r="C1193" s="3">
        <v>20.521915435791016</v>
      </c>
      <c r="D1193" s="3">
        <v>20.69642152169294</v>
      </c>
      <c r="E1193" s="3">
        <v>20.480034347959773</v>
      </c>
      <c r="F1193" s="3">
        <v>20.521915435791016</v>
      </c>
      <c r="G1193" s="3">
        <v>85900</v>
      </c>
      <c r="H1193" s="3">
        <v>0</v>
      </c>
      <c r="I1193" s="3">
        <v>0</v>
      </c>
      <c r="J1193" s="3" t="str">
        <v>AB</v>
      </c>
      <c r="K1193" s="23">
        <v>43726</v>
      </c>
      <c r="L1193" s="22">
        <v>20.612661361694336</v>
      </c>
    </row>
    <row r="1194" spans="1:12" x14ac:dyDescent="0.25">
      <c r="A1194" s="9">
        <v>1187</v>
      </c>
      <c r="B1194" s="10">
        <v>43728</v>
      </c>
      <c r="C1194" s="3">
        <v>20.487019076526249</v>
      </c>
      <c r="D1194" s="3">
        <v>20.640583985246376</v>
      </c>
      <c r="E1194" s="3">
        <v>20.44513797985277</v>
      </c>
      <c r="F1194" s="3">
        <v>20.493999481201172</v>
      </c>
      <c r="G1194" s="3">
        <v>74000</v>
      </c>
      <c r="H1194" s="3">
        <v>0</v>
      </c>
      <c r="I1194" s="3">
        <v>0</v>
      </c>
      <c r="J1194" s="3" t="str">
        <v>AB</v>
      </c>
      <c r="K1194" s="23">
        <v>43727</v>
      </c>
      <c r="L1194" s="22">
        <v>20.521915435791016</v>
      </c>
    </row>
    <row r="1195" spans="1:12" x14ac:dyDescent="0.25">
      <c r="A1195" s="9">
        <v>1188</v>
      </c>
      <c r="B1195" s="10">
        <v>43731</v>
      </c>
      <c r="C1195" s="3">
        <v>20.417215406531582</v>
      </c>
      <c r="D1195" s="3">
        <v>20.731326945336313</v>
      </c>
      <c r="E1195" s="3">
        <v>20.382314716164835</v>
      </c>
      <c r="F1195" s="3">
        <v>20.445137023925781</v>
      </c>
      <c r="G1195" s="3">
        <v>143900</v>
      </c>
      <c r="H1195" s="3">
        <v>0</v>
      </c>
      <c r="I1195" s="3">
        <v>0</v>
      </c>
      <c r="J1195" s="3" t="str">
        <v>AB</v>
      </c>
      <c r="K1195" s="23">
        <v>43728</v>
      </c>
      <c r="L1195" s="22">
        <v>20.493999481201172</v>
      </c>
    </row>
    <row r="1196" spans="1:12" x14ac:dyDescent="0.25">
      <c r="A1196" s="9">
        <v>1189</v>
      </c>
      <c r="B1196" s="10">
        <v>43732</v>
      </c>
      <c r="C1196" s="3">
        <v>20.535881832593539</v>
      </c>
      <c r="D1196" s="3">
        <v>20.59870414713016</v>
      </c>
      <c r="E1196" s="3">
        <v>19.949541117835849</v>
      </c>
      <c r="F1196" s="3">
        <v>20.110086441040039</v>
      </c>
      <c r="G1196" s="3">
        <v>220400</v>
      </c>
      <c r="H1196" s="3">
        <v>0</v>
      </c>
      <c r="I1196" s="3">
        <v>0</v>
      </c>
      <c r="J1196" s="3" t="str">
        <v>AB</v>
      </c>
      <c r="K1196" s="23">
        <v>43731</v>
      </c>
      <c r="L1196" s="22">
        <v>20.445137023925781</v>
      </c>
    </row>
    <row r="1197" spans="1:12" x14ac:dyDescent="0.25">
      <c r="A1197" s="9">
        <v>1190</v>
      </c>
      <c r="B1197" s="10">
        <v>43733</v>
      </c>
      <c r="C1197" s="3">
        <v>20.047259975268844</v>
      </c>
      <c r="D1197" s="3">
        <v>20.29156877772429</v>
      </c>
      <c r="E1197" s="3">
        <v>19.998398481052927</v>
      </c>
      <c r="F1197" s="3">
        <v>20.256668090820313</v>
      </c>
      <c r="G1197" s="3">
        <v>114000</v>
      </c>
      <c r="H1197" s="3">
        <v>0</v>
      </c>
      <c r="I1197" s="3">
        <v>0</v>
      </c>
      <c r="J1197" s="3" t="str">
        <v>AB</v>
      </c>
      <c r="K1197" s="23">
        <v>43732</v>
      </c>
      <c r="L1197" s="22">
        <v>20.110086441040039</v>
      </c>
    </row>
    <row r="1198" spans="1:12" x14ac:dyDescent="0.25">
      <c r="A1198" s="9">
        <v>1191</v>
      </c>
      <c r="B1198" s="10">
        <v>43734</v>
      </c>
      <c r="C1198" s="3">
        <v>20.340430388898376</v>
      </c>
      <c r="D1198" s="3">
        <v>20.61266080754303</v>
      </c>
      <c r="E1198" s="3">
        <v>20.172904694319442</v>
      </c>
      <c r="F1198" s="3">
        <v>20.5777587890625</v>
      </c>
      <c r="G1198" s="3">
        <v>155100</v>
      </c>
      <c r="H1198" s="3">
        <v>0</v>
      </c>
      <c r="I1198" s="3">
        <v>0</v>
      </c>
      <c r="J1198" s="3" t="str">
        <v>AB</v>
      </c>
      <c r="K1198" s="23">
        <v>43733</v>
      </c>
      <c r="L1198" s="22">
        <v>20.256668090820313</v>
      </c>
    </row>
    <row r="1199" spans="1:12" x14ac:dyDescent="0.25">
      <c r="A1199" s="9">
        <v>1192</v>
      </c>
      <c r="B1199" s="10">
        <v>43735</v>
      </c>
      <c r="C1199" s="3">
        <v>20.717365589292072</v>
      </c>
      <c r="D1199" s="3">
        <v>20.717365589292072</v>
      </c>
      <c r="E1199" s="3">
        <v>20.151966165757251</v>
      </c>
      <c r="F1199" s="3">
        <v>20.507957458496094</v>
      </c>
      <c r="G1199" s="3">
        <v>175000</v>
      </c>
      <c r="H1199" s="3">
        <v>0</v>
      </c>
      <c r="I1199" s="3">
        <v>0</v>
      </c>
      <c r="J1199" s="3" t="str">
        <v>AB</v>
      </c>
      <c r="K1199" s="23">
        <v>43734</v>
      </c>
      <c r="L1199" s="22">
        <v>20.5777587890625</v>
      </c>
    </row>
    <row r="1200" spans="1:12" x14ac:dyDescent="0.25">
      <c r="A1200" s="9">
        <v>1193</v>
      </c>
      <c r="B1200" s="10">
        <v>43738</v>
      </c>
      <c r="C1200" s="3">
        <v>20.619645527791942</v>
      </c>
      <c r="D1200" s="3">
        <v>20.619645527791942</v>
      </c>
      <c r="E1200" s="3">
        <v>20.326475168062043</v>
      </c>
      <c r="F1200" s="3">
        <v>20.487020492553711</v>
      </c>
      <c r="G1200" s="3">
        <v>117900</v>
      </c>
      <c r="H1200" s="3">
        <v>0</v>
      </c>
      <c r="I1200" s="3">
        <v>0</v>
      </c>
      <c r="J1200" s="3" t="str">
        <v>AB</v>
      </c>
      <c r="K1200" s="23">
        <v>43735</v>
      </c>
      <c r="L1200" s="22">
        <v>20.507957458496094</v>
      </c>
    </row>
    <row r="1201" spans="1:12" x14ac:dyDescent="0.25">
      <c r="A1201" s="9">
        <v>1194</v>
      </c>
      <c r="B1201" s="10">
        <v>43739</v>
      </c>
      <c r="C1201" s="3">
        <v>20.521918740011255</v>
      </c>
      <c r="D1201" s="3">
        <v>20.521918740011255</v>
      </c>
      <c r="E1201" s="3">
        <v>20.117064608788535</v>
      </c>
      <c r="F1201" s="3">
        <v>20.319492340087891</v>
      </c>
      <c r="G1201" s="3">
        <v>142300</v>
      </c>
      <c r="H1201" s="3">
        <v>0</v>
      </c>
      <c r="I1201" s="3">
        <v>0</v>
      </c>
      <c r="J1201" s="3" t="str">
        <v>AB</v>
      </c>
      <c r="K1201" s="23">
        <v>43738</v>
      </c>
      <c r="L1201" s="22">
        <v>20.487020492553711</v>
      </c>
    </row>
    <row r="1202" spans="1:12" x14ac:dyDescent="0.25">
      <c r="A1202" s="9">
        <v>1195</v>
      </c>
      <c r="B1202" s="10">
        <v>43740</v>
      </c>
      <c r="C1202" s="3">
        <v>20.068202856284849</v>
      </c>
      <c r="D1202" s="3">
        <v>20.17290625708592</v>
      </c>
      <c r="E1202" s="3">
        <v>19.586565614948739</v>
      </c>
      <c r="F1202" s="3">
        <v>19.782012939453125</v>
      </c>
      <c r="G1202" s="3">
        <v>198700</v>
      </c>
      <c r="H1202" s="3">
        <v>0</v>
      </c>
      <c r="I1202" s="3">
        <v>0</v>
      </c>
      <c r="J1202" s="3" t="str">
        <v>AB</v>
      </c>
      <c r="K1202" s="23">
        <v>43739</v>
      </c>
      <c r="L1202" s="22">
        <v>20.319492340087891</v>
      </c>
    </row>
    <row r="1203" spans="1:12" x14ac:dyDescent="0.25">
      <c r="A1203" s="9">
        <v>1196</v>
      </c>
      <c r="B1203" s="10">
        <v>43741</v>
      </c>
      <c r="C1203" s="3">
        <v>19.698252802861379</v>
      </c>
      <c r="D1203" s="3">
        <v>20.012364390584455</v>
      </c>
      <c r="E1203" s="3">
        <v>19.614490600386031</v>
      </c>
      <c r="F1203" s="3">
        <v>19.963502883911133</v>
      </c>
      <c r="G1203" s="3">
        <v>161200</v>
      </c>
      <c r="H1203" s="3">
        <v>0</v>
      </c>
      <c r="I1203" s="3">
        <v>0</v>
      </c>
      <c r="J1203" s="3" t="str">
        <v>AB</v>
      </c>
      <c r="K1203" s="23">
        <v>43740</v>
      </c>
      <c r="L1203" s="22">
        <v>19.782012939453125</v>
      </c>
    </row>
    <row r="1204" spans="1:12" x14ac:dyDescent="0.25">
      <c r="A1204" s="9">
        <v>1197</v>
      </c>
      <c r="B1204" s="10">
        <v>43742</v>
      </c>
      <c r="C1204" s="3">
        <v>19.830876465042135</v>
      </c>
      <c r="D1204" s="3">
        <v>20.144988030932897</v>
      </c>
      <c r="E1204" s="3">
        <v>19.823896060091659</v>
      </c>
      <c r="F1204" s="3">
        <v>20.033304214477539</v>
      </c>
      <c r="G1204" s="3">
        <v>136600</v>
      </c>
      <c r="H1204" s="3">
        <v>0</v>
      </c>
      <c r="I1204" s="3">
        <v>0</v>
      </c>
      <c r="J1204" s="3" t="str">
        <v>AB</v>
      </c>
      <c r="K1204" s="23">
        <v>43741</v>
      </c>
      <c r="L1204" s="22">
        <v>19.963502883911133</v>
      </c>
    </row>
    <row r="1205" spans="1:12" x14ac:dyDescent="0.25">
      <c r="A1205" s="9">
        <v>1198</v>
      </c>
      <c r="B1205" s="10">
        <v>43745</v>
      </c>
      <c r="C1205" s="3">
        <v>19.89369686954501</v>
      </c>
      <c r="D1205" s="3">
        <v>20.228748286765004</v>
      </c>
      <c r="E1205" s="3">
        <v>19.830874562394261</v>
      </c>
      <c r="F1205" s="3">
        <v>20.165925979614258</v>
      </c>
      <c r="G1205" s="3">
        <v>146000</v>
      </c>
      <c r="H1205" s="3">
        <v>0</v>
      </c>
      <c r="I1205" s="3">
        <v>0</v>
      </c>
      <c r="J1205" s="3" t="str">
        <v>AB</v>
      </c>
      <c r="K1205" s="23">
        <v>43742</v>
      </c>
      <c r="L1205" s="22">
        <v>20.033304214477539</v>
      </c>
    </row>
    <row r="1206" spans="1:12" x14ac:dyDescent="0.25">
      <c r="A1206" s="9">
        <v>1199</v>
      </c>
      <c r="B1206" s="10">
        <v>43746</v>
      </c>
      <c r="C1206" s="3">
        <v>19.928598864534443</v>
      </c>
      <c r="D1206" s="3">
        <v>20.186868514330158</v>
      </c>
      <c r="E1206" s="3">
        <v>19.858797479908208</v>
      </c>
      <c r="F1206" s="3">
        <v>19.872756958007813</v>
      </c>
      <c r="G1206" s="3">
        <v>104700</v>
      </c>
      <c r="H1206" s="3">
        <v>0</v>
      </c>
      <c r="I1206" s="3">
        <v>0</v>
      </c>
      <c r="J1206" s="3" t="str">
        <v>AB</v>
      </c>
      <c r="K1206" s="23">
        <v>43745</v>
      </c>
      <c r="L1206" s="22">
        <v>20.165925979614258</v>
      </c>
    </row>
    <row r="1207" spans="1:12" x14ac:dyDescent="0.25">
      <c r="A1207" s="9">
        <v>1200</v>
      </c>
      <c r="B1207" s="10">
        <v>43747</v>
      </c>
      <c r="C1207" s="3">
        <v>19.907655694675039</v>
      </c>
      <c r="D1207" s="3">
        <v>20.033300296458361</v>
      </c>
      <c r="E1207" s="3">
        <v>19.719188792000057</v>
      </c>
      <c r="F1207" s="3">
        <v>19.942556381225586</v>
      </c>
      <c r="G1207" s="3">
        <v>133300</v>
      </c>
      <c r="H1207" s="3">
        <v>0</v>
      </c>
      <c r="I1207" s="3">
        <v>0</v>
      </c>
      <c r="J1207" s="3" t="str">
        <v>AB</v>
      </c>
      <c r="K1207" s="23">
        <v>43746</v>
      </c>
      <c r="L1207" s="22">
        <v>19.872756958007813</v>
      </c>
    </row>
    <row r="1208" spans="1:12" x14ac:dyDescent="0.25">
      <c r="A1208" s="9">
        <v>1201</v>
      </c>
      <c r="B1208" s="10">
        <v>43748</v>
      </c>
      <c r="C1208" s="3">
        <v>19.942559334774462</v>
      </c>
      <c r="D1208" s="3">
        <v>20.124045860742829</v>
      </c>
      <c r="E1208" s="3">
        <v>19.90067823843593</v>
      </c>
      <c r="F1208" s="3">
        <v>20.082164764404297</v>
      </c>
      <c r="G1208" s="3">
        <v>157700</v>
      </c>
      <c r="H1208" s="3">
        <v>0</v>
      </c>
      <c r="I1208" s="3">
        <v>0</v>
      </c>
      <c r="J1208" s="3" t="str">
        <v>AB</v>
      </c>
      <c r="K1208" s="23">
        <v>43747</v>
      </c>
      <c r="L1208" s="22">
        <v>19.942556381225586</v>
      </c>
    </row>
    <row r="1209" spans="1:12" x14ac:dyDescent="0.25">
      <c r="A1209" s="9">
        <v>1202</v>
      </c>
      <c r="B1209" s="10">
        <v>43749</v>
      </c>
      <c r="C1209" s="3">
        <v>20.172902897118483</v>
      </c>
      <c r="D1209" s="3">
        <v>20.291567086628771</v>
      </c>
      <c r="E1209" s="3">
        <v>19.865771818731432</v>
      </c>
      <c r="F1209" s="3">
        <v>19.886713027954102</v>
      </c>
      <c r="G1209" s="3">
        <v>214000</v>
      </c>
      <c r="H1209" s="3">
        <v>0</v>
      </c>
      <c r="I1209" s="3">
        <v>0</v>
      </c>
      <c r="J1209" s="3" t="str">
        <v>AB</v>
      </c>
      <c r="K1209" s="23">
        <v>43748</v>
      </c>
      <c r="L1209" s="22">
        <v>20.082164764404297</v>
      </c>
    </row>
    <row r="1210" spans="1:12" x14ac:dyDescent="0.25">
      <c r="A1210" s="9">
        <v>1203</v>
      </c>
      <c r="B1210" s="10">
        <v>43752</v>
      </c>
      <c r="C1210" s="3">
        <v>19.872754030040433</v>
      </c>
      <c r="D1210" s="3">
        <v>20.012359441476178</v>
      </c>
      <c r="E1210" s="3">
        <v>19.649386436843944</v>
      </c>
      <c r="F1210" s="3">
        <v>19.663347244262695</v>
      </c>
      <c r="G1210" s="3">
        <v>227400</v>
      </c>
      <c r="H1210" s="3">
        <v>0</v>
      </c>
      <c r="I1210" s="3">
        <v>0</v>
      </c>
      <c r="J1210" s="3" t="str">
        <v>AB</v>
      </c>
      <c r="K1210" s="23">
        <v>43749</v>
      </c>
      <c r="L1210" s="22">
        <v>19.886713027954102</v>
      </c>
    </row>
    <row r="1211" spans="1:12" x14ac:dyDescent="0.25">
      <c r="A1211" s="9">
        <v>1204</v>
      </c>
      <c r="B1211" s="10">
        <v>43753</v>
      </c>
      <c r="C1211" s="3">
        <v>19.600526342284951</v>
      </c>
      <c r="D1211" s="3">
        <v>19.726170955276515</v>
      </c>
      <c r="E1211" s="3">
        <v>19.446961443837466</v>
      </c>
      <c r="F1211" s="3">
        <v>19.558645248413086</v>
      </c>
      <c r="G1211" s="3">
        <v>264600</v>
      </c>
      <c r="H1211" s="3">
        <v>0</v>
      </c>
      <c r="I1211" s="3">
        <v>0</v>
      </c>
      <c r="J1211" s="3" t="str">
        <v>AB</v>
      </c>
      <c r="K1211" s="23">
        <v>43752</v>
      </c>
      <c r="L1211" s="22">
        <v>19.663347244262695</v>
      </c>
    </row>
    <row r="1212" spans="1:12" x14ac:dyDescent="0.25">
      <c r="A1212" s="9">
        <v>1205</v>
      </c>
      <c r="B1212" s="10">
        <v>43754</v>
      </c>
      <c r="C1212" s="3">
        <v>19.488838162821285</v>
      </c>
      <c r="D1212" s="3">
        <v>19.698244916548592</v>
      </c>
      <c r="E1212" s="3">
        <v>19.391115188598633</v>
      </c>
      <c r="F1212" s="3">
        <v>19.391115188598633</v>
      </c>
      <c r="G1212" s="3">
        <v>231400</v>
      </c>
      <c r="H1212" s="3">
        <v>0</v>
      </c>
      <c r="I1212" s="3">
        <v>0</v>
      </c>
      <c r="J1212" s="3" t="str">
        <v>AB</v>
      </c>
      <c r="K1212" s="23">
        <v>43753</v>
      </c>
      <c r="L1212" s="22">
        <v>19.558645248413086</v>
      </c>
    </row>
    <row r="1213" spans="1:12" x14ac:dyDescent="0.25">
      <c r="A1213" s="9">
        <v>1206</v>
      </c>
      <c r="B1213" s="10">
        <v>43755</v>
      </c>
      <c r="C1213" s="3">
        <v>19.544683345508783</v>
      </c>
      <c r="D1213" s="3">
        <v>19.71918944680797</v>
      </c>
      <c r="E1213" s="3">
        <v>19.007204233977077</v>
      </c>
      <c r="F1213" s="3">
        <v>19.223592758178711</v>
      </c>
      <c r="G1213" s="3">
        <v>857700</v>
      </c>
      <c r="H1213" s="3">
        <v>0</v>
      </c>
      <c r="I1213" s="3">
        <v>0</v>
      </c>
      <c r="J1213" s="3" t="str">
        <v>AB</v>
      </c>
      <c r="K1213" s="23">
        <v>43754</v>
      </c>
      <c r="L1213" s="22">
        <v>19.391115188598633</v>
      </c>
    </row>
    <row r="1214" spans="1:12" x14ac:dyDescent="0.25">
      <c r="A1214" s="9">
        <v>1207</v>
      </c>
      <c r="B1214" s="10">
        <v>43756</v>
      </c>
      <c r="C1214" s="3">
        <v>19.265473513231246</v>
      </c>
      <c r="D1214" s="3">
        <v>19.698247891324264</v>
      </c>
      <c r="E1214" s="3">
        <v>19.265473513231246</v>
      </c>
      <c r="F1214" s="3">
        <v>19.60052490234375</v>
      </c>
      <c r="G1214" s="3">
        <v>342500</v>
      </c>
      <c r="H1214" s="3">
        <v>0</v>
      </c>
      <c r="I1214" s="3">
        <v>0</v>
      </c>
      <c r="J1214" s="3" t="str">
        <v>AB</v>
      </c>
      <c r="K1214" s="23">
        <v>43755</v>
      </c>
      <c r="L1214" s="22">
        <v>19.223592758178711</v>
      </c>
    </row>
    <row r="1215" spans="1:12" x14ac:dyDescent="0.25">
      <c r="A1215" s="9">
        <v>1208</v>
      </c>
      <c r="B1215" s="10">
        <v>43759</v>
      </c>
      <c r="C1215" s="3">
        <v>19.698248930136874</v>
      </c>
      <c r="D1215" s="3">
        <v>19.9076570579075</v>
      </c>
      <c r="E1215" s="3">
        <v>19.600525936002811</v>
      </c>
      <c r="F1215" s="3">
        <v>19.775032043457031</v>
      </c>
      <c r="G1215" s="3">
        <v>281800</v>
      </c>
      <c r="H1215" s="3">
        <v>0</v>
      </c>
      <c r="I1215" s="3">
        <v>0</v>
      </c>
      <c r="J1215" s="3" t="str">
        <v>AB</v>
      </c>
      <c r="K1215" s="23">
        <v>43756</v>
      </c>
      <c r="L1215" s="22">
        <v>19.60052490234375</v>
      </c>
    </row>
    <row r="1216" spans="1:12" x14ac:dyDescent="0.25">
      <c r="A1216" s="9">
        <v>1209</v>
      </c>
      <c r="B1216" s="10">
        <v>43760</v>
      </c>
      <c r="C1216" s="3">
        <v>19.768051977080571</v>
      </c>
      <c r="D1216" s="3">
        <v>19.900676993796601</v>
      </c>
      <c r="E1216" s="3">
        <v>19.426020160392671</v>
      </c>
      <c r="F1216" s="3">
        <v>19.433000564575195</v>
      </c>
      <c r="G1216" s="3">
        <v>354300</v>
      </c>
      <c r="H1216" s="3">
        <v>0</v>
      </c>
      <c r="I1216" s="3">
        <v>0</v>
      </c>
      <c r="J1216" s="3" t="str">
        <v>AB</v>
      </c>
      <c r="K1216" s="23">
        <v>43759</v>
      </c>
      <c r="L1216" s="22">
        <v>19.775032043457031</v>
      </c>
    </row>
    <row r="1217" spans="1:12" x14ac:dyDescent="0.25">
      <c r="A1217" s="9">
        <v>1210</v>
      </c>
      <c r="B1217" s="10">
        <v>43761</v>
      </c>
      <c r="C1217" s="3">
        <v>19.432998760664276</v>
      </c>
      <c r="D1217" s="3">
        <v>19.782010949136872</v>
      </c>
      <c r="E1217" s="3">
        <v>19.426018357129724</v>
      </c>
      <c r="F1217" s="3">
        <v>19.656366348266602</v>
      </c>
      <c r="G1217" s="3">
        <v>449400</v>
      </c>
      <c r="H1217" s="3">
        <v>0</v>
      </c>
      <c r="I1217" s="3">
        <v>0</v>
      </c>
      <c r="J1217" s="3" t="str">
        <v>AB</v>
      </c>
      <c r="K1217" s="23">
        <v>43760</v>
      </c>
      <c r="L1217" s="22">
        <v>19.433000564575195</v>
      </c>
    </row>
    <row r="1218" spans="1:12" x14ac:dyDescent="0.25">
      <c r="A1218" s="9">
        <v>1211</v>
      </c>
      <c r="B1218" s="10">
        <v>43762</v>
      </c>
      <c r="C1218" s="3">
        <v>19.782013198551095</v>
      </c>
      <c r="D1218" s="3">
        <v>20.717366076526769</v>
      </c>
      <c r="E1218" s="3">
        <v>19.628448297456575</v>
      </c>
      <c r="F1218" s="3">
        <v>20.417215347290039</v>
      </c>
      <c r="G1218" s="3">
        <v>583800</v>
      </c>
      <c r="H1218" s="3">
        <v>0</v>
      </c>
      <c r="I1218" s="3">
        <v>0</v>
      </c>
      <c r="J1218" s="3" t="str">
        <v>AB</v>
      </c>
      <c r="K1218" s="23">
        <v>43761</v>
      </c>
      <c r="L1218" s="22">
        <v>19.656366348266602</v>
      </c>
    </row>
    <row r="1219" spans="1:12" x14ac:dyDescent="0.25">
      <c r="A1219" s="9">
        <v>1212</v>
      </c>
      <c r="B1219" s="10">
        <v>43763</v>
      </c>
      <c r="C1219" s="3">
        <v>20.438158823925971</v>
      </c>
      <c r="D1219" s="3">
        <v>20.549842642796374</v>
      </c>
      <c r="E1219" s="3">
        <v>19.949541117835849</v>
      </c>
      <c r="F1219" s="3">
        <v>20.110086441040039</v>
      </c>
      <c r="G1219" s="3">
        <v>446400</v>
      </c>
      <c r="H1219" s="3">
        <v>0</v>
      </c>
      <c r="I1219" s="3">
        <v>0</v>
      </c>
      <c r="J1219" s="3" t="str">
        <v>AB</v>
      </c>
      <c r="K1219" s="23">
        <v>43762</v>
      </c>
      <c r="L1219" s="22">
        <v>20.417215347290039</v>
      </c>
    </row>
    <row r="1220" spans="1:12" x14ac:dyDescent="0.25">
      <c r="A1220" s="9">
        <v>1213</v>
      </c>
      <c r="B1220" s="10">
        <v>43766</v>
      </c>
      <c r="C1220" s="3">
        <v>20.207805636992386</v>
      </c>
      <c r="D1220" s="3">
        <v>20.382311725977207</v>
      </c>
      <c r="E1220" s="3">
        <v>20.110081321825344</v>
      </c>
      <c r="F1220" s="3">
        <v>20.340429306030273</v>
      </c>
      <c r="G1220" s="3">
        <v>300000</v>
      </c>
      <c r="H1220" s="3">
        <v>0</v>
      </c>
      <c r="I1220" s="3">
        <v>0</v>
      </c>
      <c r="J1220" s="3" t="str">
        <v>AB</v>
      </c>
      <c r="K1220" s="23">
        <v>43763</v>
      </c>
      <c r="L1220" s="22">
        <v>20.110086441040039</v>
      </c>
    </row>
    <row r="1221" spans="1:12" x14ac:dyDescent="0.25">
      <c r="A1221" s="9">
        <v>1214</v>
      </c>
      <c r="B1221" s="10">
        <v>43767</v>
      </c>
      <c r="C1221" s="3">
        <v>20.382316161892831</v>
      </c>
      <c r="D1221" s="3">
        <v>20.808110206348147</v>
      </c>
      <c r="E1221" s="3">
        <v>20.319493849675865</v>
      </c>
      <c r="F1221" s="3">
        <v>20.696426391601563</v>
      </c>
      <c r="G1221" s="3">
        <v>413100</v>
      </c>
      <c r="H1221" s="3">
        <v>0</v>
      </c>
      <c r="I1221" s="3">
        <v>0</v>
      </c>
      <c r="J1221" s="3" t="str">
        <v>AB</v>
      </c>
      <c r="K1221" s="23">
        <v>43766</v>
      </c>
      <c r="L1221" s="22">
        <v>20.340429306030273</v>
      </c>
    </row>
    <row r="1222" spans="1:12" x14ac:dyDescent="0.25">
      <c r="A1222" s="9">
        <v>1215</v>
      </c>
      <c r="B1222" s="10">
        <v>43768</v>
      </c>
      <c r="C1222" s="3">
        <v>20.724348942400589</v>
      </c>
      <c r="D1222" s="3">
        <v>20.738308421339234</v>
      </c>
      <c r="E1222" s="3">
        <v>20.43117858267069</v>
      </c>
      <c r="F1222" s="3">
        <v>20.487020492553711</v>
      </c>
      <c r="G1222" s="3">
        <v>539000</v>
      </c>
      <c r="H1222" s="3">
        <v>0</v>
      </c>
      <c r="I1222" s="3">
        <v>0</v>
      </c>
      <c r="J1222" s="3" t="str">
        <v>AB</v>
      </c>
      <c r="K1222" s="23">
        <v>43767</v>
      </c>
      <c r="L1222" s="22">
        <v>20.696426391601563</v>
      </c>
    </row>
    <row r="1223" spans="1:12" x14ac:dyDescent="0.25">
      <c r="A1223" s="9">
        <v>1216</v>
      </c>
      <c r="B1223" s="10">
        <v>43769</v>
      </c>
      <c r="C1223" s="3">
        <v>20.452117053151635</v>
      </c>
      <c r="D1223" s="3">
        <v>20.584742079223052</v>
      </c>
      <c r="E1223" s="3">
        <v>20.110085212336759</v>
      </c>
      <c r="F1223" s="3">
        <v>20.493999481201172</v>
      </c>
      <c r="G1223" s="3">
        <v>306600</v>
      </c>
      <c r="H1223" s="3">
        <v>0</v>
      </c>
      <c r="I1223" s="3">
        <v>0</v>
      </c>
      <c r="J1223" s="3" t="str">
        <v>AB</v>
      </c>
      <c r="K1223" s="23">
        <v>43768</v>
      </c>
      <c r="L1223" s="22">
        <v>20.487020492553711</v>
      </c>
    </row>
    <row r="1224" spans="1:12" x14ac:dyDescent="0.25">
      <c r="A1224" s="9">
        <v>1217</v>
      </c>
      <c r="B1224" s="10">
        <v>43770</v>
      </c>
      <c r="C1224" s="3">
        <v>20.586731447828402</v>
      </c>
      <c r="D1224" s="3">
        <v>20.786463241078504</v>
      </c>
      <c r="E1224" s="3">
        <v>20.586731447828402</v>
      </c>
      <c r="F1224" s="3">
        <v>20.729396820068359</v>
      </c>
      <c r="G1224" s="3">
        <v>289000</v>
      </c>
      <c r="H1224" s="3">
        <v>0.63</v>
      </c>
      <c r="I1224" s="3">
        <v>0</v>
      </c>
      <c r="J1224" s="3" t="str">
        <v>AB</v>
      </c>
      <c r="K1224" s="23">
        <v>43769</v>
      </c>
      <c r="L1224" s="22">
        <v>20.493999481201172</v>
      </c>
    </row>
    <row r="1225" spans="1:12" x14ac:dyDescent="0.25">
      <c r="A1225" s="9">
        <v>1218</v>
      </c>
      <c r="B1225" s="10">
        <v>43773</v>
      </c>
      <c r="C1225" s="3">
        <v>20.85066081095399</v>
      </c>
      <c r="D1225" s="3">
        <v>20.936261113214343</v>
      </c>
      <c r="E1225" s="3">
        <v>20.693728510809095</v>
      </c>
      <c r="F1225" s="3">
        <v>20.814994812011719</v>
      </c>
      <c r="G1225" s="3">
        <v>271100</v>
      </c>
      <c r="H1225" s="3">
        <v>0</v>
      </c>
      <c r="I1225" s="3">
        <v>0</v>
      </c>
      <c r="J1225" s="3" t="str">
        <v>AB</v>
      </c>
      <c r="K1225" s="23">
        <v>43770</v>
      </c>
      <c r="L1225" s="22">
        <v>20.729396820068359</v>
      </c>
    </row>
    <row r="1226" spans="1:12" x14ac:dyDescent="0.25">
      <c r="A1226" s="9">
        <v>1219</v>
      </c>
      <c r="B1226" s="10">
        <v>43774</v>
      </c>
      <c r="C1226" s="3">
        <v>20.829263791132195</v>
      </c>
      <c r="D1226" s="3">
        <v>21.185929257688766</v>
      </c>
      <c r="E1226" s="3">
        <v>20.829263791132195</v>
      </c>
      <c r="F1226" s="3">
        <v>21.071796417236328</v>
      </c>
      <c r="G1226" s="3">
        <v>373500</v>
      </c>
      <c r="H1226" s="3">
        <v>0</v>
      </c>
      <c r="I1226" s="3">
        <v>0</v>
      </c>
      <c r="J1226" s="3" t="str">
        <v>AB</v>
      </c>
      <c r="K1226" s="23">
        <v>43773</v>
      </c>
      <c r="L1226" s="22">
        <v>20.814994812011719</v>
      </c>
    </row>
    <row r="1227" spans="1:12" x14ac:dyDescent="0.25">
      <c r="A1227" s="9">
        <v>1220</v>
      </c>
      <c r="B1227" s="10">
        <v>43775</v>
      </c>
      <c r="C1227" s="3">
        <v>21.057529017097107</v>
      </c>
      <c r="D1227" s="3">
        <v>21.24299521896809</v>
      </c>
      <c r="E1227" s="3">
        <v>21.000462598103784</v>
      </c>
      <c r="F1227" s="3">
        <v>21.128862380981445</v>
      </c>
      <c r="G1227" s="3">
        <v>267500</v>
      </c>
      <c r="H1227" s="3">
        <v>0</v>
      </c>
      <c r="I1227" s="3">
        <v>0</v>
      </c>
      <c r="J1227" s="3" t="str">
        <v>AB</v>
      </c>
      <c r="K1227" s="23">
        <v>43774</v>
      </c>
      <c r="L1227" s="22">
        <v>21.071796417236328</v>
      </c>
    </row>
    <row r="1228" spans="1:12" x14ac:dyDescent="0.25">
      <c r="A1228" s="9">
        <v>1221</v>
      </c>
      <c r="B1228" s="10">
        <v>43776</v>
      </c>
      <c r="C1228" s="3">
        <v>21.228732055711856</v>
      </c>
      <c r="D1228" s="3">
        <v>21.235865529428107</v>
      </c>
      <c r="E1228" s="3">
        <v>21.050399294518616</v>
      </c>
      <c r="F1228" s="3">
        <v>21.093198776245117</v>
      </c>
      <c r="G1228" s="3">
        <v>108600</v>
      </c>
      <c r="H1228" s="3">
        <v>0</v>
      </c>
      <c r="I1228" s="3">
        <v>0</v>
      </c>
      <c r="J1228" s="3" t="str">
        <v>AB</v>
      </c>
      <c r="K1228" s="23">
        <v>43775</v>
      </c>
      <c r="L1228" s="22">
        <v>21.128862380981445</v>
      </c>
    </row>
    <row r="1229" spans="1:12" x14ac:dyDescent="0.25">
      <c r="A1229" s="9">
        <v>1222</v>
      </c>
      <c r="B1229" s="10">
        <v>43777</v>
      </c>
      <c r="C1229" s="3">
        <v>21.128861799755647</v>
      </c>
      <c r="D1229" s="3">
        <v>21.200193801106991</v>
      </c>
      <c r="E1229" s="3">
        <v>20.850661824316692</v>
      </c>
      <c r="F1229" s="3">
        <v>20.936262130737305</v>
      </c>
      <c r="G1229" s="3">
        <v>316600</v>
      </c>
      <c r="H1229" s="3">
        <v>0</v>
      </c>
      <c r="I1229" s="3">
        <v>0</v>
      </c>
      <c r="J1229" s="3" t="str">
        <v>AB</v>
      </c>
      <c r="K1229" s="23">
        <v>43776</v>
      </c>
      <c r="L1229" s="22">
        <v>21.093198776245117</v>
      </c>
    </row>
    <row r="1230" spans="1:12" x14ac:dyDescent="0.25">
      <c r="A1230" s="9">
        <v>1223</v>
      </c>
      <c r="B1230" s="10">
        <v>43780</v>
      </c>
      <c r="C1230" s="3">
        <v>20.893464506342774</v>
      </c>
      <c r="D1230" s="3">
        <v>20.964796514005151</v>
      </c>
      <c r="E1230" s="3">
        <v>20.79359724658794</v>
      </c>
      <c r="F1230" s="3">
        <v>20.900596618652344</v>
      </c>
      <c r="G1230" s="3">
        <v>153000</v>
      </c>
      <c r="H1230" s="3">
        <v>0</v>
      </c>
      <c r="I1230" s="3">
        <v>0</v>
      </c>
      <c r="J1230" s="3" t="str">
        <v>AB</v>
      </c>
      <c r="K1230" s="23">
        <v>43777</v>
      </c>
      <c r="L1230" s="22">
        <v>20.936262130737305</v>
      </c>
    </row>
    <row r="1231" spans="1:12" x14ac:dyDescent="0.25">
      <c r="A1231" s="9">
        <v>1224</v>
      </c>
      <c r="B1231" s="10">
        <v>43781</v>
      </c>
      <c r="C1231" s="3">
        <v>20.943395648651958</v>
      </c>
      <c r="D1231" s="3">
        <v>21.328593626957822</v>
      </c>
      <c r="E1231" s="3">
        <v>20.864928814309533</v>
      </c>
      <c r="F1231" s="3">
        <v>21.135993957519531</v>
      </c>
      <c r="G1231" s="3">
        <v>407900</v>
      </c>
      <c r="H1231" s="3">
        <v>0</v>
      </c>
      <c r="I1231" s="3">
        <v>0</v>
      </c>
      <c r="J1231" s="3" t="str">
        <v>AB</v>
      </c>
      <c r="K1231" s="23">
        <v>43780</v>
      </c>
      <c r="L1231" s="22">
        <v>20.900596618652344</v>
      </c>
    </row>
    <row r="1232" spans="1:12" x14ac:dyDescent="0.25">
      <c r="A1232" s="9">
        <v>1225</v>
      </c>
      <c r="B1232" s="10">
        <v>43782</v>
      </c>
      <c r="C1232" s="3">
        <v>21.114597821548539</v>
      </c>
      <c r="D1232" s="3">
        <v>21.349996996561966</v>
      </c>
      <c r="E1232" s="3">
        <v>20.971931077661839</v>
      </c>
      <c r="F1232" s="3">
        <v>21.271530151367188</v>
      </c>
      <c r="G1232" s="3">
        <v>341100</v>
      </c>
      <c r="H1232" s="3">
        <v>0</v>
      </c>
      <c r="I1232" s="3">
        <v>0</v>
      </c>
      <c r="J1232" s="3" t="str">
        <v>AB</v>
      </c>
      <c r="K1232" s="23">
        <v>43781</v>
      </c>
      <c r="L1232" s="22">
        <v>21.135993957519531</v>
      </c>
    </row>
    <row r="1233" spans="1:12" x14ac:dyDescent="0.25">
      <c r="A1233" s="9">
        <v>1226</v>
      </c>
      <c r="B1233" s="10">
        <v>43783</v>
      </c>
      <c r="C1233" s="3">
        <v>21.328596608767011</v>
      </c>
      <c r="D1233" s="3">
        <v>21.335730082029126</v>
      </c>
      <c r="E1233" s="3">
        <v>21.100330906662972</v>
      </c>
      <c r="F1233" s="3">
        <v>21.292930603027344</v>
      </c>
      <c r="G1233" s="3">
        <v>142400</v>
      </c>
      <c r="H1233" s="3">
        <v>0</v>
      </c>
      <c r="I1233" s="3">
        <v>0</v>
      </c>
      <c r="J1233" s="3" t="str">
        <v>AB</v>
      </c>
      <c r="K1233" s="23">
        <v>43782</v>
      </c>
      <c r="L1233" s="22">
        <v>21.271530151367188</v>
      </c>
    </row>
    <row r="1234" spans="1:12" x14ac:dyDescent="0.25">
      <c r="A1234" s="9">
        <v>1227</v>
      </c>
      <c r="B1234" s="10">
        <v>43784</v>
      </c>
      <c r="C1234" s="3">
        <v>21.292931541931832</v>
      </c>
      <c r="D1234" s="3">
        <v>21.392797450863178</v>
      </c>
      <c r="E1234" s="3">
        <v>21.078931416344854</v>
      </c>
      <c r="F1234" s="3">
        <v>21.185932159423828</v>
      </c>
      <c r="G1234" s="3">
        <v>186600</v>
      </c>
      <c r="H1234" s="3">
        <v>0</v>
      </c>
      <c r="I1234" s="3">
        <v>0</v>
      </c>
      <c r="J1234" s="3" t="str">
        <v>AB</v>
      </c>
      <c r="K1234" s="23">
        <v>43783</v>
      </c>
      <c r="L1234" s="22">
        <v>21.292930603027344</v>
      </c>
    </row>
    <row r="1235" spans="1:12" x14ac:dyDescent="0.25">
      <c r="A1235" s="9">
        <v>1228</v>
      </c>
      <c r="B1235" s="10">
        <v>43787</v>
      </c>
      <c r="C1235" s="3">
        <v>21.114596339724844</v>
      </c>
      <c r="D1235" s="3">
        <v>21.200195291592802</v>
      </c>
      <c r="E1235" s="3">
        <v>20.857796762979351</v>
      </c>
      <c r="F1235" s="3">
        <v>21.007596969604492</v>
      </c>
      <c r="G1235" s="3">
        <v>202200</v>
      </c>
      <c r="H1235" s="3">
        <v>0</v>
      </c>
      <c r="I1235" s="3">
        <v>0</v>
      </c>
      <c r="J1235" s="3" t="str">
        <v>AB</v>
      </c>
      <c r="K1235" s="23">
        <v>43784</v>
      </c>
      <c r="L1235" s="22">
        <v>21.185932159423828</v>
      </c>
    </row>
    <row r="1236" spans="1:12" x14ac:dyDescent="0.25">
      <c r="A1236" s="9">
        <v>1229</v>
      </c>
      <c r="B1236" s="10">
        <v>43788</v>
      </c>
      <c r="C1236" s="3">
        <v>21.1146001639577</v>
      </c>
      <c r="D1236" s="3">
        <v>21.13599922551504</v>
      </c>
      <c r="E1236" s="3">
        <v>20.922000446515316</v>
      </c>
      <c r="F1236" s="3">
        <v>21.000467300415039</v>
      </c>
      <c r="G1236" s="3">
        <v>156500</v>
      </c>
      <c r="H1236" s="3">
        <v>0</v>
      </c>
      <c r="I1236" s="3">
        <v>0</v>
      </c>
      <c r="J1236" s="3" t="str">
        <v>AB</v>
      </c>
      <c r="K1236" s="23">
        <v>43787</v>
      </c>
      <c r="L1236" s="22">
        <v>21.007596969604492</v>
      </c>
    </row>
    <row r="1237" spans="1:12" x14ac:dyDescent="0.25">
      <c r="A1237" s="9">
        <v>1230</v>
      </c>
      <c r="B1237" s="10">
        <v>43789</v>
      </c>
      <c r="C1237" s="3">
        <v>20.943397455934772</v>
      </c>
      <c r="D1237" s="3">
        <v>21.028996409357962</v>
      </c>
      <c r="E1237" s="3">
        <v>20.736530824115537</v>
      </c>
      <c r="F1237" s="3">
        <v>20.900596618652344</v>
      </c>
      <c r="G1237" s="3">
        <v>130600</v>
      </c>
      <c r="H1237" s="3">
        <v>0</v>
      </c>
      <c r="I1237" s="3">
        <v>0</v>
      </c>
      <c r="J1237" s="3" t="str">
        <v>AB</v>
      </c>
      <c r="K1237" s="23">
        <v>43788</v>
      </c>
      <c r="L1237" s="22">
        <v>21.000467300415039</v>
      </c>
    </row>
    <row r="1238" spans="1:12" x14ac:dyDescent="0.25">
      <c r="A1238" s="9">
        <v>1231</v>
      </c>
      <c r="B1238" s="10">
        <v>43790</v>
      </c>
      <c r="C1238" s="3">
        <v>20.886327682776773</v>
      </c>
      <c r="D1238" s="3">
        <v>21.000460509411845</v>
      </c>
      <c r="E1238" s="3">
        <v>20.700861499352133</v>
      </c>
      <c r="F1238" s="3">
        <v>20.85066032409668</v>
      </c>
      <c r="G1238" s="3">
        <v>125900</v>
      </c>
      <c r="H1238" s="3">
        <v>0</v>
      </c>
      <c r="I1238" s="3">
        <v>0</v>
      </c>
      <c r="J1238" s="3" t="str">
        <v>AB</v>
      </c>
      <c r="K1238" s="23">
        <v>43789</v>
      </c>
      <c r="L1238" s="22">
        <v>20.900596618652344</v>
      </c>
    </row>
    <row r="1239" spans="1:12" x14ac:dyDescent="0.25">
      <c r="A1239" s="9">
        <v>1232</v>
      </c>
      <c r="B1239" s="10">
        <v>43791</v>
      </c>
      <c r="C1239" s="3">
        <v>20.900593777751777</v>
      </c>
      <c r="D1239" s="3">
        <v>21.028993551004735</v>
      </c>
      <c r="E1239" s="3">
        <v>20.750794949337095</v>
      </c>
      <c r="F1239" s="3">
        <v>20.829261779785156</v>
      </c>
      <c r="G1239" s="3">
        <v>103100</v>
      </c>
      <c r="H1239" s="3">
        <v>0</v>
      </c>
      <c r="I1239" s="3">
        <v>0</v>
      </c>
      <c r="J1239" s="3" t="str">
        <v>AB</v>
      </c>
      <c r="K1239" s="23">
        <v>43790</v>
      </c>
      <c r="L1239" s="22">
        <v>20.85066032409668</v>
      </c>
    </row>
    <row r="1240" spans="1:12" x14ac:dyDescent="0.25">
      <c r="A1240" s="9">
        <v>1233</v>
      </c>
      <c r="B1240" s="10">
        <v>43794</v>
      </c>
      <c r="C1240" s="3">
        <v>20.872062065163846</v>
      </c>
      <c r="D1240" s="3">
        <v>20.936261954295578</v>
      </c>
      <c r="E1240" s="3">
        <v>20.579596508261822</v>
      </c>
      <c r="F1240" s="3">
        <v>20.658061981201172</v>
      </c>
      <c r="G1240" s="3">
        <v>271600</v>
      </c>
      <c r="H1240" s="3">
        <v>0</v>
      </c>
      <c r="I1240" s="3">
        <v>0</v>
      </c>
      <c r="J1240" s="3" t="str">
        <v>AB</v>
      </c>
      <c r="K1240" s="23">
        <v>43791</v>
      </c>
      <c r="L1240" s="22">
        <v>20.829261779785156</v>
      </c>
    </row>
    <row r="1241" spans="1:12" x14ac:dyDescent="0.25">
      <c r="A1241" s="9">
        <v>1234</v>
      </c>
      <c r="B1241" s="10">
        <v>43795</v>
      </c>
      <c r="C1241" s="3">
        <v>20.69372833389459</v>
      </c>
      <c r="D1241" s="3">
        <v>20.793594218535691</v>
      </c>
      <c r="E1241" s="3">
        <v>20.508262147724949</v>
      </c>
      <c r="F1241" s="3">
        <v>20.543928146362305</v>
      </c>
      <c r="G1241" s="3">
        <v>238700</v>
      </c>
      <c r="H1241" s="3">
        <v>0</v>
      </c>
      <c r="I1241" s="3">
        <v>0</v>
      </c>
      <c r="J1241" s="3" t="str">
        <v>AB</v>
      </c>
      <c r="K1241" s="23">
        <v>43794</v>
      </c>
      <c r="L1241" s="22">
        <v>20.658061981201172</v>
      </c>
    </row>
    <row r="1242" spans="1:12" x14ac:dyDescent="0.25">
      <c r="A1242" s="9">
        <v>1235</v>
      </c>
      <c r="B1242" s="10">
        <v>43796</v>
      </c>
      <c r="C1242" s="3">
        <v>20.558198447336295</v>
      </c>
      <c r="D1242" s="3">
        <v>20.693731713318872</v>
      </c>
      <c r="E1242" s="3">
        <v>20.458332546386426</v>
      </c>
      <c r="F1242" s="3">
        <v>20.600997924804688</v>
      </c>
      <c r="G1242" s="3">
        <v>160900</v>
      </c>
      <c r="H1242" s="3">
        <v>0</v>
      </c>
      <c r="I1242" s="3">
        <v>0</v>
      </c>
      <c r="J1242" s="3" t="str">
        <v>AB</v>
      </c>
      <c r="K1242" s="23">
        <v>43795</v>
      </c>
      <c r="L1242" s="22">
        <v>20.543928146362305</v>
      </c>
    </row>
    <row r="1243" spans="1:12" x14ac:dyDescent="0.25">
      <c r="A1243" s="9">
        <v>1236</v>
      </c>
      <c r="B1243" s="10">
        <v>43798</v>
      </c>
      <c r="C1243" s="3">
        <v>20.807867949359732</v>
      </c>
      <c r="D1243" s="3">
        <v>20.986200721856619</v>
      </c>
      <c r="E1243" s="3">
        <v>20.63666865103125</v>
      </c>
      <c r="F1243" s="3">
        <v>20.665201187133789</v>
      </c>
      <c r="G1243" s="3">
        <v>178400</v>
      </c>
      <c r="H1243" s="3">
        <v>0</v>
      </c>
      <c r="I1243" s="3">
        <v>0</v>
      </c>
      <c r="J1243" s="3" t="str">
        <v>AB</v>
      </c>
      <c r="K1243" s="23">
        <v>43796</v>
      </c>
      <c r="L1243" s="22">
        <v>20.600997924804688</v>
      </c>
    </row>
    <row r="1244" spans="1:12" x14ac:dyDescent="0.25">
      <c r="A1244" s="9">
        <v>1237</v>
      </c>
      <c r="B1244" s="10">
        <v>43801</v>
      </c>
      <c r="C1244" s="3">
        <v>20.679462820435383</v>
      </c>
      <c r="D1244" s="3">
        <v>20.679462820435383</v>
      </c>
      <c r="E1244" s="3">
        <v>20.222931475563772</v>
      </c>
      <c r="F1244" s="3">
        <v>20.408397674560547</v>
      </c>
      <c r="G1244" s="3">
        <v>314800</v>
      </c>
      <c r="H1244" s="3">
        <v>0</v>
      </c>
      <c r="I1244" s="3">
        <v>0</v>
      </c>
      <c r="J1244" s="3" t="str">
        <v>AB</v>
      </c>
      <c r="K1244" s="23">
        <v>43798</v>
      </c>
      <c r="L1244" s="22">
        <v>20.665201187133789</v>
      </c>
    </row>
    <row r="1245" spans="1:12" x14ac:dyDescent="0.25">
      <c r="A1245" s="9">
        <v>1238</v>
      </c>
      <c r="B1245" s="10">
        <v>43802</v>
      </c>
      <c r="C1245" s="3">
        <v>20.222932325034488</v>
      </c>
      <c r="D1245" s="3">
        <v>20.551063902801545</v>
      </c>
      <c r="E1245" s="3">
        <v>20.115932956657002</v>
      </c>
      <c r="F1245" s="3">
        <v>20.258598327636719</v>
      </c>
      <c r="G1245" s="3">
        <v>355000</v>
      </c>
      <c r="H1245" s="3">
        <v>0</v>
      </c>
      <c r="I1245" s="3">
        <v>0</v>
      </c>
      <c r="J1245" s="3" t="str">
        <v>AB</v>
      </c>
      <c r="K1245" s="23">
        <v>43801</v>
      </c>
      <c r="L1245" s="22">
        <v>20.408397674560547</v>
      </c>
    </row>
    <row r="1246" spans="1:12" x14ac:dyDescent="0.25">
      <c r="A1246" s="9">
        <v>1239</v>
      </c>
      <c r="B1246" s="10">
        <v>43803</v>
      </c>
      <c r="C1246" s="3">
        <v>20.222932911329504</v>
      </c>
      <c r="D1246" s="3">
        <v>20.529665440656203</v>
      </c>
      <c r="E1246" s="3">
        <v>20.222932911329504</v>
      </c>
      <c r="F1246" s="3">
        <v>20.465465545654297</v>
      </c>
      <c r="G1246" s="3">
        <v>282900</v>
      </c>
      <c r="H1246" s="3">
        <v>0</v>
      </c>
      <c r="I1246" s="3">
        <v>0</v>
      </c>
      <c r="J1246" s="3" t="str">
        <v>AB</v>
      </c>
      <c r="K1246" s="23">
        <v>43802</v>
      </c>
      <c r="L1246" s="22">
        <v>20.258598327636719</v>
      </c>
    </row>
    <row r="1247" spans="1:12" x14ac:dyDescent="0.25">
      <c r="A1247" s="9">
        <v>1240</v>
      </c>
      <c r="B1247" s="10">
        <v>43804</v>
      </c>
      <c r="C1247" s="3">
        <v>20.401263714230236</v>
      </c>
      <c r="D1247" s="3">
        <v>20.579596436626353</v>
      </c>
      <c r="E1247" s="3">
        <v>20.25859699208506</v>
      </c>
      <c r="F1247" s="3">
        <v>20.444063186645508</v>
      </c>
      <c r="G1247" s="3">
        <v>342300</v>
      </c>
      <c r="H1247" s="3">
        <v>0</v>
      </c>
      <c r="I1247" s="3">
        <v>0</v>
      </c>
      <c r="J1247" s="3" t="str">
        <v>AB</v>
      </c>
      <c r="K1247" s="23">
        <v>43803</v>
      </c>
      <c r="L1247" s="22">
        <v>20.465465545654297</v>
      </c>
    </row>
    <row r="1248" spans="1:12" x14ac:dyDescent="0.25">
      <c r="A1248" s="9">
        <v>1241</v>
      </c>
      <c r="B1248" s="10">
        <v>43805</v>
      </c>
      <c r="C1248" s="3">
        <v>20.579596647345046</v>
      </c>
      <c r="D1248" s="3">
        <v>20.971928096405392</v>
      </c>
      <c r="E1248" s="3">
        <v>20.579596647345046</v>
      </c>
      <c r="F1248" s="3">
        <v>20.914861679077148</v>
      </c>
      <c r="G1248" s="3">
        <v>315100</v>
      </c>
      <c r="H1248" s="3">
        <v>0</v>
      </c>
      <c r="I1248" s="3">
        <v>0</v>
      </c>
      <c r="J1248" s="3" t="str">
        <v>AB</v>
      </c>
      <c r="K1248" s="23">
        <v>43804</v>
      </c>
      <c r="L1248" s="22">
        <v>20.444063186645508</v>
      </c>
    </row>
    <row r="1249" spans="1:12" x14ac:dyDescent="0.25">
      <c r="A1249" s="9">
        <v>1242</v>
      </c>
      <c r="B1249" s="10">
        <v>43808</v>
      </c>
      <c r="C1249" s="3">
        <v>20.615264371343699</v>
      </c>
      <c r="D1249" s="3">
        <v>20.793597110473957</v>
      </c>
      <c r="E1249" s="3">
        <v>20.294266257251731</v>
      </c>
      <c r="F1249" s="3">
        <v>20.451198577880859</v>
      </c>
      <c r="G1249" s="3">
        <v>969300</v>
      </c>
      <c r="H1249" s="3">
        <v>0</v>
      </c>
      <c r="I1249" s="3">
        <v>0</v>
      </c>
      <c r="J1249" s="3" t="str">
        <v>AB</v>
      </c>
      <c r="K1249" s="23">
        <v>43805</v>
      </c>
      <c r="L1249" s="22">
        <v>20.914861679077148</v>
      </c>
    </row>
    <row r="1250" spans="1:12" x14ac:dyDescent="0.25">
      <c r="A1250" s="9">
        <v>1243</v>
      </c>
      <c r="B1250" s="10">
        <v>43809</v>
      </c>
      <c r="C1250" s="3">
        <v>20.329933697244392</v>
      </c>
      <c r="D1250" s="3">
        <v>20.629532774573992</v>
      </c>
      <c r="E1250" s="3">
        <v>20.322800223906675</v>
      </c>
      <c r="F1250" s="3">
        <v>20.508266448974609</v>
      </c>
      <c r="G1250" s="3">
        <v>388700</v>
      </c>
      <c r="H1250" s="3">
        <v>0</v>
      </c>
      <c r="I1250" s="3">
        <v>0</v>
      </c>
      <c r="J1250" s="3" t="str">
        <v>AB</v>
      </c>
      <c r="K1250" s="23">
        <v>43808</v>
      </c>
      <c r="L1250" s="22">
        <v>20.451198577880859</v>
      </c>
    </row>
    <row r="1251" spans="1:12" x14ac:dyDescent="0.25">
      <c r="A1251" s="9">
        <v>1244</v>
      </c>
      <c r="B1251" s="10">
        <v>43810</v>
      </c>
      <c r="C1251" s="3">
        <v>20.329929433396906</v>
      </c>
      <c r="D1251" s="3">
        <v>20.579595505570293</v>
      </c>
      <c r="E1251" s="3">
        <v>20.329929433396906</v>
      </c>
      <c r="F1251" s="3">
        <v>20.543928146362305</v>
      </c>
      <c r="G1251" s="3">
        <v>339800</v>
      </c>
      <c r="H1251" s="3">
        <v>0</v>
      </c>
      <c r="I1251" s="3">
        <v>0</v>
      </c>
      <c r="J1251" s="3" t="str">
        <v>AB</v>
      </c>
      <c r="K1251" s="23">
        <v>43809</v>
      </c>
      <c r="L1251" s="22">
        <v>20.508266448974609</v>
      </c>
    </row>
    <row r="1252" spans="1:12" x14ac:dyDescent="0.25">
      <c r="A1252" s="9">
        <v>1245</v>
      </c>
      <c r="B1252" s="10">
        <v>43811</v>
      </c>
      <c r="C1252" s="3">
        <v>20.579594213455085</v>
      </c>
      <c r="D1252" s="3">
        <v>21.542591082477696</v>
      </c>
      <c r="E1252" s="3">
        <v>20.565327270667655</v>
      </c>
      <c r="F1252" s="3">
        <v>21.535457611083984</v>
      </c>
      <c r="G1252" s="3">
        <v>1012100</v>
      </c>
      <c r="H1252" s="3">
        <v>0</v>
      </c>
      <c r="I1252" s="3">
        <v>0</v>
      </c>
      <c r="J1252" s="3" t="str">
        <v>AB</v>
      </c>
      <c r="K1252" s="23">
        <v>43810</v>
      </c>
      <c r="L1252" s="22">
        <v>20.543928146362305</v>
      </c>
    </row>
    <row r="1253" spans="1:12" x14ac:dyDescent="0.25">
      <c r="A1253" s="9">
        <v>1246</v>
      </c>
      <c r="B1253" s="10">
        <v>43812</v>
      </c>
      <c r="C1253" s="3">
        <v>21.578265216889427</v>
      </c>
      <c r="D1253" s="3">
        <v>21.756597987276944</v>
      </c>
      <c r="E1253" s="3">
        <v>21.357132962568805</v>
      </c>
      <c r="F1253" s="3">
        <v>21.699531555175781</v>
      </c>
      <c r="G1253" s="3">
        <v>1496400</v>
      </c>
      <c r="H1253" s="3">
        <v>0</v>
      </c>
      <c r="I1253" s="3">
        <v>0</v>
      </c>
      <c r="J1253" s="3" t="str">
        <v>AB</v>
      </c>
      <c r="K1253" s="23">
        <v>43811</v>
      </c>
      <c r="L1253" s="22">
        <v>21.535457611083984</v>
      </c>
    </row>
    <row r="1254" spans="1:12" x14ac:dyDescent="0.25">
      <c r="A1254" s="9">
        <v>1247</v>
      </c>
      <c r="B1254" s="10">
        <v>43815</v>
      </c>
      <c r="C1254" s="3">
        <v>21.578262307572622</v>
      </c>
      <c r="D1254" s="3">
        <v>22.056194122196239</v>
      </c>
      <c r="E1254" s="3">
        <v>21.485529878125149</v>
      </c>
      <c r="F1254" s="3">
        <v>21.563995361328125</v>
      </c>
      <c r="G1254" s="3">
        <v>491300</v>
      </c>
      <c r="H1254" s="3">
        <v>0</v>
      </c>
      <c r="I1254" s="3">
        <v>0</v>
      </c>
      <c r="J1254" s="3" t="str">
        <v>AB</v>
      </c>
      <c r="K1254" s="23">
        <v>43812</v>
      </c>
      <c r="L1254" s="22">
        <v>21.699531555175781</v>
      </c>
    </row>
    <row r="1255" spans="1:12" x14ac:dyDescent="0.25">
      <c r="A1255" s="9">
        <v>1248</v>
      </c>
      <c r="B1255" s="10">
        <v>43816</v>
      </c>
      <c r="C1255" s="3">
        <v>21.485528444107338</v>
      </c>
      <c r="D1255" s="3">
        <v>21.685260235915997</v>
      </c>
      <c r="E1255" s="3">
        <v>21.257261401143349</v>
      </c>
      <c r="F1255" s="3">
        <v>21.514060974121094</v>
      </c>
      <c r="G1255" s="3">
        <v>326000</v>
      </c>
      <c r="H1255" s="3">
        <v>0</v>
      </c>
      <c r="I1255" s="3">
        <v>0</v>
      </c>
      <c r="J1255" s="3" t="str">
        <v>AB</v>
      </c>
      <c r="K1255" s="23">
        <v>43815</v>
      </c>
      <c r="L1255" s="22">
        <v>21.563995361328125</v>
      </c>
    </row>
    <row r="1256" spans="1:12" x14ac:dyDescent="0.25">
      <c r="A1256" s="9">
        <v>1249</v>
      </c>
      <c r="B1256" s="10">
        <v>43817</v>
      </c>
      <c r="C1256" s="3">
        <v>21.292929684389577</v>
      </c>
      <c r="D1256" s="3">
        <v>21.556861380846513</v>
      </c>
      <c r="E1256" s="3">
        <v>21.278662738480865</v>
      </c>
      <c r="F1256" s="3">
        <v>21.407062530517578</v>
      </c>
      <c r="G1256" s="3">
        <v>369000</v>
      </c>
      <c r="H1256" s="3">
        <v>0</v>
      </c>
      <c r="I1256" s="3">
        <v>0</v>
      </c>
      <c r="J1256" s="3" t="str">
        <v>AB</v>
      </c>
      <c r="K1256" s="23">
        <v>43816</v>
      </c>
      <c r="L1256" s="22">
        <v>21.514060974121094</v>
      </c>
    </row>
    <row r="1257" spans="1:12" x14ac:dyDescent="0.25">
      <c r="A1257" s="9">
        <v>1250</v>
      </c>
      <c r="B1257" s="10">
        <v>43818</v>
      </c>
      <c r="C1257" s="3">
        <v>21.42132947642629</v>
      </c>
      <c r="D1257" s="3">
        <v>21.528328849599937</v>
      </c>
      <c r="E1257" s="3">
        <v>21.328595688590511</v>
      </c>
      <c r="F1257" s="3">
        <v>21.407062530517578</v>
      </c>
      <c r="G1257" s="3">
        <v>180800</v>
      </c>
      <c r="H1257" s="3">
        <v>0</v>
      </c>
      <c r="I1257" s="3">
        <v>0</v>
      </c>
      <c r="J1257" s="3" t="str">
        <v>AB</v>
      </c>
      <c r="K1257" s="23">
        <v>43817</v>
      </c>
      <c r="L1257" s="22">
        <v>21.407062530517578</v>
      </c>
    </row>
    <row r="1258" spans="1:12" x14ac:dyDescent="0.25">
      <c r="A1258" s="9">
        <v>1251</v>
      </c>
      <c r="B1258" s="10">
        <v>43819</v>
      </c>
      <c r="C1258" s="3">
        <v>21.399927116123177</v>
      </c>
      <c r="D1258" s="3">
        <v>21.485527423238789</v>
      </c>
      <c r="E1258" s="3">
        <v>21.292927752656706</v>
      </c>
      <c r="F1258" s="3">
        <v>21.385660171508789</v>
      </c>
      <c r="G1258" s="3">
        <v>211400</v>
      </c>
      <c r="H1258" s="3">
        <v>0</v>
      </c>
      <c r="I1258" s="3">
        <v>0</v>
      </c>
      <c r="J1258" s="3" t="str">
        <v>AB</v>
      </c>
      <c r="K1258" s="23">
        <v>43818</v>
      </c>
      <c r="L1258" s="22">
        <v>21.407062530517578</v>
      </c>
    </row>
    <row r="1259" spans="1:12" x14ac:dyDescent="0.25">
      <c r="A1259" s="9">
        <v>1252</v>
      </c>
      <c r="B1259" s="10">
        <v>43822</v>
      </c>
      <c r="C1259" s="3">
        <v>21.499798328566648</v>
      </c>
      <c r="D1259" s="3">
        <v>21.506931802639404</v>
      </c>
      <c r="E1259" s="3">
        <v>21.321465558460897</v>
      </c>
      <c r="F1259" s="3">
        <v>21.47126579284668</v>
      </c>
      <c r="G1259" s="3">
        <v>183100</v>
      </c>
      <c r="H1259" s="3">
        <v>0</v>
      </c>
      <c r="I1259" s="3">
        <v>0</v>
      </c>
      <c r="J1259" s="3" t="str">
        <v>AB</v>
      </c>
      <c r="K1259" s="23">
        <v>43819</v>
      </c>
      <c r="L1259" s="22">
        <v>21.385660171508789</v>
      </c>
    </row>
    <row r="1260" spans="1:12" x14ac:dyDescent="0.25">
      <c r="A1260" s="9">
        <v>1253</v>
      </c>
      <c r="B1260" s="10">
        <v>43823</v>
      </c>
      <c r="C1260" s="3">
        <v>21.471263391778706</v>
      </c>
      <c r="D1260" s="3">
        <v>21.535463290683175</v>
      </c>
      <c r="E1260" s="3">
        <v>21.435596025403495</v>
      </c>
      <c r="F1260" s="3">
        <v>21.506929397583008</v>
      </c>
      <c r="G1260" s="3">
        <v>46200</v>
      </c>
      <c r="H1260" s="3">
        <v>0</v>
      </c>
      <c r="I1260" s="3">
        <v>0</v>
      </c>
      <c r="J1260" s="3" t="str">
        <v>AB</v>
      </c>
      <c r="K1260" s="23">
        <v>43822</v>
      </c>
      <c r="L1260" s="22">
        <v>21.47126579284668</v>
      </c>
    </row>
    <row r="1261" spans="1:12" x14ac:dyDescent="0.25">
      <c r="A1261" s="9">
        <v>1254</v>
      </c>
      <c r="B1261" s="10">
        <v>43825</v>
      </c>
      <c r="C1261" s="3">
        <v>21.542596302532257</v>
      </c>
      <c r="D1261" s="3">
        <v>21.706662102631334</v>
      </c>
      <c r="E1261" s="3">
        <v>21.514062410043262</v>
      </c>
      <c r="F1261" s="3">
        <v>21.563995361328125</v>
      </c>
      <c r="G1261" s="3">
        <v>180200</v>
      </c>
      <c r="H1261" s="3">
        <v>0</v>
      </c>
      <c r="I1261" s="3">
        <v>0</v>
      </c>
      <c r="J1261" s="3" t="str">
        <v>AB</v>
      </c>
      <c r="K1261" s="23">
        <v>43823</v>
      </c>
      <c r="L1261" s="22">
        <v>21.506929397583008</v>
      </c>
    </row>
    <row r="1262" spans="1:12" x14ac:dyDescent="0.25">
      <c r="A1262" s="9">
        <v>1255</v>
      </c>
      <c r="B1262" s="10">
        <v>43826</v>
      </c>
      <c r="C1262" s="3">
        <v>21.756596974250986</v>
      </c>
      <c r="D1262" s="3">
        <v>21.756596974250986</v>
      </c>
      <c r="E1262" s="3">
        <v>21.342865020638886</v>
      </c>
      <c r="F1262" s="3">
        <v>21.364265441894531</v>
      </c>
      <c r="G1262" s="3">
        <v>149300</v>
      </c>
      <c r="H1262" s="3">
        <v>0</v>
      </c>
      <c r="I1262" s="3">
        <v>0</v>
      </c>
      <c r="J1262" s="3" t="str">
        <v>AB</v>
      </c>
      <c r="K1262" s="23">
        <v>43825</v>
      </c>
      <c r="L1262" s="22">
        <v>21.563995361328125</v>
      </c>
    </row>
    <row r="1263" spans="1:12" x14ac:dyDescent="0.25">
      <c r="A1263" s="9">
        <v>1256</v>
      </c>
      <c r="B1263" s="10">
        <v>43829</v>
      </c>
      <c r="C1263" s="3">
        <v>21.364263577504115</v>
      </c>
      <c r="D1263" s="3">
        <v>21.613928334177512</v>
      </c>
      <c r="E1263" s="3">
        <v>21.264396314263877</v>
      </c>
      <c r="F1263" s="3">
        <v>21.578262329101563</v>
      </c>
      <c r="G1263" s="3">
        <v>253900</v>
      </c>
      <c r="H1263" s="3">
        <v>0</v>
      </c>
      <c r="I1263" s="3">
        <v>0</v>
      </c>
      <c r="J1263" s="3" t="str">
        <v>AB</v>
      </c>
      <c r="K1263" s="23">
        <v>43826</v>
      </c>
      <c r="L1263" s="22">
        <v>21.364265441894531</v>
      </c>
    </row>
    <row r="1264" spans="1:12" x14ac:dyDescent="0.25">
      <c r="A1264" s="9">
        <v>1257</v>
      </c>
      <c r="B1264" s="10">
        <v>43830</v>
      </c>
      <c r="C1264" s="3">
        <v>21.656727270094748</v>
      </c>
      <c r="D1264" s="3">
        <v>21.67099285452916</v>
      </c>
      <c r="E1264" s="3">
        <v>21.485528011744965</v>
      </c>
      <c r="F1264" s="3">
        <v>21.585393905639648</v>
      </c>
      <c r="G1264" s="3">
        <v>182600</v>
      </c>
      <c r="H1264" s="3">
        <v>0</v>
      </c>
      <c r="I1264" s="3">
        <v>0</v>
      </c>
      <c r="J1264" s="3" t="str">
        <v>AB</v>
      </c>
      <c r="K1264" s="23">
        <v>43829</v>
      </c>
      <c r="L1264" s="22">
        <v>21.578262329101563</v>
      </c>
    </row>
    <row r="1265" spans="1:12" x14ac:dyDescent="0.25">
      <c r="A1265" s="9">
        <v>1258</v>
      </c>
      <c r="B1265" s="10">
        <v>43832</v>
      </c>
      <c r="C1265" s="3">
        <v>21.578262307572622</v>
      </c>
      <c r="D1265" s="3">
        <v>21.656729151346475</v>
      </c>
      <c r="E1265" s="3">
        <v>21.514062410043262</v>
      </c>
      <c r="F1265" s="3">
        <v>21.563995361328125</v>
      </c>
      <c r="G1265" s="3">
        <v>281200</v>
      </c>
      <c r="H1265" s="3">
        <v>0</v>
      </c>
      <c r="I1265" s="3">
        <v>0</v>
      </c>
      <c r="J1265" s="3" t="str">
        <v>AB</v>
      </c>
      <c r="K1265" s="23">
        <v>43830</v>
      </c>
      <c r="L1265" s="22">
        <v>21.585393905639648</v>
      </c>
    </row>
    <row r="1266" spans="1:12" x14ac:dyDescent="0.25">
      <c r="A1266" s="9">
        <v>1259</v>
      </c>
      <c r="B1266" s="10">
        <v>43833</v>
      </c>
      <c r="C1266" s="3">
        <v>21.506929450553546</v>
      </c>
      <c r="D1266" s="3">
        <v>21.606796716079195</v>
      </c>
      <c r="E1266" s="3">
        <v>21.399930072306194</v>
      </c>
      <c r="F1266" s="3">
        <v>21.542596817016602</v>
      </c>
      <c r="G1266" s="3">
        <v>249700</v>
      </c>
      <c r="H1266" s="3">
        <v>0</v>
      </c>
      <c r="I1266" s="3">
        <v>0</v>
      </c>
      <c r="J1266" s="3" t="str">
        <v>AB</v>
      </c>
      <c r="K1266" s="23">
        <v>43832</v>
      </c>
      <c r="L1266" s="22">
        <v>21.563995361328125</v>
      </c>
    </row>
    <row r="1267" spans="1:12" x14ac:dyDescent="0.25">
      <c r="A1267" s="9">
        <v>1260</v>
      </c>
      <c r="B1267" s="10">
        <v>43836</v>
      </c>
      <c r="C1267" s="3">
        <v>21.407056976121627</v>
      </c>
      <c r="D1267" s="3">
        <v>21.749455425665001</v>
      </c>
      <c r="E1267" s="3">
        <v>21.399923505018162</v>
      </c>
      <c r="F1267" s="3">
        <v>21.656723022460938</v>
      </c>
      <c r="G1267" s="3">
        <v>292700</v>
      </c>
      <c r="H1267" s="3">
        <v>0</v>
      </c>
      <c r="I1267" s="3">
        <v>0</v>
      </c>
      <c r="J1267" s="3" t="str">
        <v>AB</v>
      </c>
      <c r="K1267" s="23">
        <v>43833</v>
      </c>
      <c r="L1267" s="22">
        <v>21.542596817016602</v>
      </c>
    </row>
    <row r="1268" spans="1:12" x14ac:dyDescent="0.25">
      <c r="A1268" s="9">
        <v>1261</v>
      </c>
      <c r="B1268" s="10">
        <v>43837</v>
      </c>
      <c r="C1268" s="3">
        <v>21.685258698751479</v>
      </c>
      <c r="D1268" s="3">
        <v>22.270189808563778</v>
      </c>
      <c r="E1268" s="3">
        <v>21.635325754338822</v>
      </c>
      <c r="F1268" s="3">
        <v>22.255924224853516</v>
      </c>
      <c r="G1268" s="3">
        <v>488900</v>
      </c>
      <c r="H1268" s="3">
        <v>0</v>
      </c>
      <c r="I1268" s="3">
        <v>0</v>
      </c>
      <c r="J1268" s="3" t="str">
        <v>AB</v>
      </c>
      <c r="K1268" s="23">
        <v>43836</v>
      </c>
      <c r="L1268" s="22">
        <v>21.656723022460938</v>
      </c>
    </row>
    <row r="1269" spans="1:12" x14ac:dyDescent="0.25">
      <c r="A1269" s="9">
        <v>1262</v>
      </c>
      <c r="B1269" s="10">
        <v>43838</v>
      </c>
      <c r="C1269" s="3">
        <v>22.220257496803242</v>
      </c>
      <c r="D1269" s="3">
        <v>22.855122929674693</v>
      </c>
      <c r="E1269" s="3">
        <v>22.113258132790978</v>
      </c>
      <c r="F1269" s="3">
        <v>22.655389785766602</v>
      </c>
      <c r="G1269" s="3">
        <v>616700</v>
      </c>
      <c r="H1269" s="3">
        <v>0</v>
      </c>
      <c r="I1269" s="3">
        <v>0</v>
      </c>
      <c r="J1269" s="3" t="str">
        <v>AB</v>
      </c>
      <c r="K1269" s="23">
        <v>43837</v>
      </c>
      <c r="L1269" s="22">
        <v>22.255924224853516</v>
      </c>
    </row>
    <row r="1270" spans="1:12" x14ac:dyDescent="0.25">
      <c r="A1270" s="9">
        <v>1263</v>
      </c>
      <c r="B1270" s="10">
        <v>43839</v>
      </c>
      <c r="C1270" s="3">
        <v>22.755259456928009</v>
      </c>
      <c r="D1270" s="3">
        <v>22.819459358112677</v>
      </c>
      <c r="E1270" s="3">
        <v>22.526993746302953</v>
      </c>
      <c r="F1270" s="3">
        <v>22.619726181030273</v>
      </c>
      <c r="G1270" s="3">
        <v>327700</v>
      </c>
      <c r="H1270" s="3">
        <v>0</v>
      </c>
      <c r="I1270" s="3">
        <v>0</v>
      </c>
      <c r="J1270" s="3" t="str">
        <v>AB</v>
      </c>
      <c r="K1270" s="23">
        <v>43838</v>
      </c>
      <c r="L1270" s="22">
        <v>22.655389785766602</v>
      </c>
    </row>
    <row r="1271" spans="1:12" x14ac:dyDescent="0.25">
      <c r="A1271" s="9">
        <v>1264</v>
      </c>
      <c r="B1271" s="10">
        <v>43840</v>
      </c>
      <c r="C1271" s="3">
        <v>22.648257261850198</v>
      </c>
      <c r="D1271" s="3">
        <v>22.855123886764694</v>
      </c>
      <c r="E1271" s="3">
        <v>22.562656950713315</v>
      </c>
      <c r="F1271" s="3">
        <v>22.740989685058594</v>
      </c>
      <c r="G1271" s="3">
        <v>281300</v>
      </c>
      <c r="H1271" s="3">
        <v>0</v>
      </c>
      <c r="I1271" s="3">
        <v>0</v>
      </c>
      <c r="J1271" s="3" t="str">
        <v>AB</v>
      </c>
      <c r="K1271" s="23">
        <v>43839</v>
      </c>
      <c r="L1271" s="22">
        <v>22.619726181030273</v>
      </c>
    </row>
    <row r="1272" spans="1:12" x14ac:dyDescent="0.25">
      <c r="A1272" s="9">
        <v>1265</v>
      </c>
      <c r="B1272" s="10">
        <v>43843</v>
      </c>
      <c r="C1272" s="3">
        <v>22.897923630297736</v>
      </c>
      <c r="D1272" s="3">
        <v>23.147591108825914</v>
      </c>
      <c r="E1272" s="3">
        <v>22.8408585662416</v>
      </c>
      <c r="F1272" s="3">
        <v>23.097658157348633</v>
      </c>
      <c r="G1272" s="3">
        <v>544600</v>
      </c>
      <c r="H1272" s="3">
        <v>0</v>
      </c>
      <c r="I1272" s="3">
        <v>0</v>
      </c>
      <c r="J1272" s="3" t="str">
        <v>AB</v>
      </c>
      <c r="K1272" s="23">
        <v>43840</v>
      </c>
      <c r="L1272" s="22">
        <v>22.740989685058594</v>
      </c>
    </row>
    <row r="1273" spans="1:12" x14ac:dyDescent="0.25">
      <c r="A1273" s="9">
        <v>1266</v>
      </c>
      <c r="B1273" s="10">
        <v>43844</v>
      </c>
      <c r="C1273" s="3">
        <v>23.183252724232496</v>
      </c>
      <c r="D1273" s="3">
        <v>23.183252724232496</v>
      </c>
      <c r="E1273" s="3">
        <v>23.026319065795565</v>
      </c>
      <c r="F1273" s="3">
        <v>23.090518951416016</v>
      </c>
      <c r="G1273" s="3">
        <v>420900</v>
      </c>
      <c r="H1273" s="3">
        <v>0</v>
      </c>
      <c r="I1273" s="3">
        <v>0</v>
      </c>
      <c r="J1273" s="3" t="str">
        <v>AB</v>
      </c>
      <c r="K1273" s="23">
        <v>43843</v>
      </c>
      <c r="L1273" s="22">
        <v>23.097658157348633</v>
      </c>
    </row>
    <row r="1274" spans="1:12" x14ac:dyDescent="0.25">
      <c r="A1274" s="9">
        <v>1267</v>
      </c>
      <c r="B1274" s="10">
        <v>43845</v>
      </c>
      <c r="C1274" s="3">
        <v>23.126191242858027</v>
      </c>
      <c r="D1274" s="3">
        <v>23.340192733920354</v>
      </c>
      <c r="E1274" s="3">
        <v>23.119059129688882</v>
      </c>
      <c r="F1274" s="3">
        <v>23.297391891479492</v>
      </c>
      <c r="G1274" s="3">
        <v>256400</v>
      </c>
      <c r="H1274" s="3">
        <v>0</v>
      </c>
      <c r="I1274" s="3">
        <v>0</v>
      </c>
      <c r="J1274" s="3" t="str">
        <v>AB</v>
      </c>
      <c r="K1274" s="23">
        <v>43844</v>
      </c>
      <c r="L1274" s="22">
        <v>23.090518951416016</v>
      </c>
    </row>
    <row r="1275" spans="1:12" x14ac:dyDescent="0.25">
      <c r="A1275" s="9">
        <v>1268</v>
      </c>
      <c r="B1275" s="10">
        <v>43846</v>
      </c>
      <c r="C1275" s="3">
        <v>23.397254143112487</v>
      </c>
      <c r="D1275" s="3">
        <v>23.589853822258682</v>
      </c>
      <c r="E1275" s="3">
        <v>23.30452035956619</v>
      </c>
      <c r="F1275" s="3">
        <v>23.582721710205078</v>
      </c>
      <c r="G1275" s="3">
        <v>274500</v>
      </c>
      <c r="H1275" s="3">
        <v>0</v>
      </c>
      <c r="I1275" s="3">
        <v>0</v>
      </c>
      <c r="J1275" s="3" t="str">
        <v>AB</v>
      </c>
      <c r="K1275" s="23">
        <v>43845</v>
      </c>
      <c r="L1275" s="22">
        <v>23.297391891479492</v>
      </c>
    </row>
    <row r="1276" spans="1:12" x14ac:dyDescent="0.25">
      <c r="A1276" s="9">
        <v>1269</v>
      </c>
      <c r="B1276" s="10">
        <v>43847</v>
      </c>
      <c r="C1276" s="3">
        <v>23.682590939072018</v>
      </c>
      <c r="D1276" s="3">
        <v>23.803855909042053</v>
      </c>
      <c r="E1276" s="3">
        <v>23.432923443790603</v>
      </c>
      <c r="F1276" s="3">
        <v>23.618391036987305</v>
      </c>
      <c r="G1276" s="3">
        <v>248800</v>
      </c>
      <c r="H1276" s="3">
        <v>0</v>
      </c>
      <c r="I1276" s="3">
        <v>0</v>
      </c>
      <c r="J1276" s="3" t="str">
        <v>AB</v>
      </c>
      <c r="K1276" s="23">
        <v>43846</v>
      </c>
      <c r="L1276" s="22">
        <v>23.582721710205078</v>
      </c>
    </row>
    <row r="1277" spans="1:12" x14ac:dyDescent="0.25">
      <c r="A1277" s="9">
        <v>1270</v>
      </c>
      <c r="B1277" s="10">
        <v>43851</v>
      </c>
      <c r="C1277" s="3">
        <v>23.554187729499613</v>
      </c>
      <c r="D1277" s="3">
        <v>23.60412067710833</v>
      </c>
      <c r="E1277" s="3">
        <v>23.290256046261884</v>
      </c>
      <c r="F1277" s="3">
        <v>23.525653839111328</v>
      </c>
      <c r="G1277" s="3">
        <v>376700</v>
      </c>
      <c r="H1277" s="3">
        <v>0</v>
      </c>
      <c r="I1277" s="3">
        <v>0</v>
      </c>
      <c r="J1277" s="3" t="str">
        <v>AB</v>
      </c>
      <c r="K1277" s="23">
        <v>43847</v>
      </c>
      <c r="L1277" s="22">
        <v>23.618391036987305</v>
      </c>
    </row>
    <row r="1278" spans="1:12" x14ac:dyDescent="0.25">
      <c r="A1278" s="9">
        <v>1271</v>
      </c>
      <c r="B1278" s="10">
        <v>43852</v>
      </c>
      <c r="C1278" s="3">
        <v>23.61125009316428</v>
      </c>
      <c r="D1278" s="3">
        <v>23.896583522184173</v>
      </c>
      <c r="E1278" s="3">
        <v>23.575584094822105</v>
      </c>
      <c r="F1278" s="3">
        <v>23.711118698120117</v>
      </c>
      <c r="G1278" s="3">
        <v>515500</v>
      </c>
      <c r="H1278" s="3">
        <v>0</v>
      </c>
      <c r="I1278" s="3">
        <v>0</v>
      </c>
      <c r="J1278" s="3" t="str">
        <v>AB</v>
      </c>
      <c r="K1278" s="23">
        <v>43851</v>
      </c>
      <c r="L1278" s="22">
        <v>23.525653839111328</v>
      </c>
    </row>
    <row r="1279" spans="1:12" x14ac:dyDescent="0.25">
      <c r="A1279" s="9">
        <v>1272</v>
      </c>
      <c r="B1279" s="10">
        <v>43853</v>
      </c>
      <c r="C1279" s="3">
        <v>23.796720098784522</v>
      </c>
      <c r="D1279" s="3">
        <v>24.067786612265682</v>
      </c>
      <c r="E1279" s="3">
        <v>23.475720638233348</v>
      </c>
      <c r="F1279" s="3">
        <v>24.060651779174805</v>
      </c>
      <c r="G1279" s="3">
        <v>279900</v>
      </c>
      <c r="H1279" s="3">
        <v>0</v>
      </c>
      <c r="I1279" s="3">
        <v>0</v>
      </c>
      <c r="J1279" s="3" t="str">
        <v>AB</v>
      </c>
      <c r="K1279" s="23">
        <v>43852</v>
      </c>
      <c r="L1279" s="22">
        <v>23.711118698120117</v>
      </c>
    </row>
    <row r="1280" spans="1:12" x14ac:dyDescent="0.25">
      <c r="A1280" s="9">
        <v>1273</v>
      </c>
      <c r="B1280" s="10">
        <v>43854</v>
      </c>
      <c r="C1280" s="3">
        <v>24.074921062314932</v>
      </c>
      <c r="D1280" s="3">
        <v>24.217587805431084</v>
      </c>
      <c r="E1280" s="3">
        <v>23.78245546344063</v>
      </c>
      <c r="F1280" s="3">
        <v>23.982187271118164</v>
      </c>
      <c r="G1280" s="3">
        <v>168800</v>
      </c>
      <c r="H1280" s="3">
        <v>0</v>
      </c>
      <c r="I1280" s="3">
        <v>0</v>
      </c>
      <c r="J1280" s="3" t="str">
        <v>AB</v>
      </c>
      <c r="K1280" s="23">
        <v>43853</v>
      </c>
      <c r="L1280" s="22">
        <v>24.060651779174805</v>
      </c>
    </row>
    <row r="1281" spans="1:12" x14ac:dyDescent="0.25">
      <c r="A1281" s="9">
        <v>1274</v>
      </c>
      <c r="B1281" s="10">
        <v>43857</v>
      </c>
      <c r="C1281" s="3">
        <v>23.575585919850774</v>
      </c>
      <c r="D1281" s="3">
        <v>23.889453260297941</v>
      </c>
      <c r="E1281" s="3">
        <v>23.539919918747628</v>
      </c>
      <c r="F1281" s="3">
        <v>23.839517593383789</v>
      </c>
      <c r="G1281" s="3">
        <v>181000</v>
      </c>
      <c r="H1281" s="3">
        <v>0</v>
      </c>
      <c r="I1281" s="3">
        <v>0</v>
      </c>
      <c r="J1281" s="3" t="str">
        <v>AB</v>
      </c>
      <c r="K1281" s="23">
        <v>43854</v>
      </c>
      <c r="L1281" s="22">
        <v>23.982187271118164</v>
      </c>
    </row>
    <row r="1282" spans="1:12" x14ac:dyDescent="0.25">
      <c r="A1282" s="9">
        <v>1275</v>
      </c>
      <c r="B1282" s="10">
        <v>43858</v>
      </c>
      <c r="C1282" s="3">
        <v>23.960786418381865</v>
      </c>
      <c r="D1282" s="3">
        <v>24.060652314744821</v>
      </c>
      <c r="E1282" s="3">
        <v>23.875187467376701</v>
      </c>
      <c r="F1282" s="3">
        <v>24.053520202636719</v>
      </c>
      <c r="G1282" s="3">
        <v>269600</v>
      </c>
      <c r="H1282" s="3">
        <v>0</v>
      </c>
      <c r="I1282" s="3">
        <v>0</v>
      </c>
      <c r="J1282" s="3" t="str">
        <v>AB</v>
      </c>
      <c r="K1282" s="23">
        <v>43857</v>
      </c>
      <c r="L1282" s="22">
        <v>23.839517593383789</v>
      </c>
    </row>
    <row r="1283" spans="1:12" x14ac:dyDescent="0.25">
      <c r="A1283" s="9">
        <v>1276</v>
      </c>
      <c r="B1283" s="10">
        <v>43859</v>
      </c>
      <c r="C1283" s="3">
        <v>24.196185098622777</v>
      </c>
      <c r="D1283" s="3">
        <v>24.31745277802716</v>
      </c>
      <c r="E1283" s="3">
        <v>24.08205225272896</v>
      </c>
      <c r="F1283" s="3">
        <v>24.096319198608398</v>
      </c>
      <c r="G1283" s="3">
        <v>201000</v>
      </c>
      <c r="H1283" s="3">
        <v>0</v>
      </c>
      <c r="I1283" s="3">
        <v>0</v>
      </c>
      <c r="J1283" s="3" t="str">
        <v>AB</v>
      </c>
      <c r="K1283" s="23">
        <v>43858</v>
      </c>
      <c r="L1283" s="22">
        <v>24.053520202636719</v>
      </c>
    </row>
    <row r="1284" spans="1:12" x14ac:dyDescent="0.25">
      <c r="A1284" s="9">
        <v>1277</v>
      </c>
      <c r="B1284" s="10">
        <v>43860</v>
      </c>
      <c r="C1284" s="3">
        <v>24.039255530992904</v>
      </c>
      <c r="D1284" s="3">
        <v>24.139121436801517</v>
      </c>
      <c r="E1284" s="3">
        <v>23.718256032935336</v>
      </c>
      <c r="F1284" s="3">
        <v>23.932254791259766</v>
      </c>
      <c r="G1284" s="3">
        <v>174400</v>
      </c>
      <c r="H1284" s="3">
        <v>0</v>
      </c>
      <c r="I1284" s="3">
        <v>0</v>
      </c>
      <c r="J1284" s="3" t="str">
        <v>AB</v>
      </c>
      <c r="K1284" s="23">
        <v>43859</v>
      </c>
      <c r="L1284" s="22">
        <v>24.096319198608398</v>
      </c>
    </row>
    <row r="1285" spans="1:12" x14ac:dyDescent="0.25">
      <c r="A1285" s="9">
        <v>1278</v>
      </c>
      <c r="B1285" s="10">
        <v>43861</v>
      </c>
      <c r="C1285" s="3">
        <v>23.875186655258062</v>
      </c>
      <c r="D1285" s="3">
        <v>23.875186655258062</v>
      </c>
      <c r="E1285" s="3">
        <v>23.325921522803561</v>
      </c>
      <c r="F1285" s="3">
        <v>23.361587524414063</v>
      </c>
      <c r="G1285" s="3">
        <v>185900</v>
      </c>
      <c r="H1285" s="3">
        <v>0</v>
      </c>
      <c r="I1285" s="3">
        <v>0</v>
      </c>
      <c r="J1285" s="3" t="str">
        <v>AB</v>
      </c>
      <c r="K1285" s="23">
        <v>43860</v>
      </c>
      <c r="L1285" s="22">
        <v>23.932254791259766</v>
      </c>
    </row>
    <row r="1286" spans="1:12" x14ac:dyDescent="0.25">
      <c r="A1286" s="9">
        <v>1279</v>
      </c>
      <c r="B1286" s="10">
        <v>43864</v>
      </c>
      <c r="C1286" s="3">
        <v>23.333051496497571</v>
      </c>
      <c r="D1286" s="3">
        <v>23.882316578619051</v>
      </c>
      <c r="E1286" s="3">
        <v>23.311652441720515</v>
      </c>
      <c r="F1286" s="3">
        <v>23.711118698120117</v>
      </c>
      <c r="G1286" s="3">
        <v>260000</v>
      </c>
      <c r="H1286" s="3">
        <v>0</v>
      </c>
      <c r="I1286" s="3">
        <v>0</v>
      </c>
      <c r="J1286" s="3" t="str">
        <v>AB</v>
      </c>
      <c r="K1286" s="23">
        <v>43861</v>
      </c>
      <c r="L1286" s="22">
        <v>23.361587524414063</v>
      </c>
    </row>
    <row r="1287" spans="1:12" x14ac:dyDescent="0.25">
      <c r="A1287" s="9">
        <v>1280</v>
      </c>
      <c r="B1287" s="10">
        <v>43865</v>
      </c>
      <c r="C1287" s="3">
        <v>23.896588904031752</v>
      </c>
      <c r="D1287" s="3">
        <v>24.296055250396787</v>
      </c>
      <c r="E1287" s="3">
        <v>23.732523097794825</v>
      </c>
      <c r="F1287" s="3">
        <v>24.20332145690918</v>
      </c>
      <c r="G1287" s="3">
        <v>200500</v>
      </c>
      <c r="H1287" s="3">
        <v>0</v>
      </c>
      <c r="I1287" s="3">
        <v>0</v>
      </c>
      <c r="J1287" s="3" t="str">
        <v>AB</v>
      </c>
      <c r="K1287" s="23">
        <v>43864</v>
      </c>
      <c r="L1287" s="22">
        <v>23.711118698120117</v>
      </c>
    </row>
    <row r="1288" spans="1:12" x14ac:dyDescent="0.25">
      <c r="A1288" s="9">
        <v>1281</v>
      </c>
      <c r="B1288" s="10">
        <v>43866</v>
      </c>
      <c r="C1288" s="3">
        <v>24.395917473000189</v>
      </c>
      <c r="D1288" s="3">
        <v>24.538584198098491</v>
      </c>
      <c r="E1288" s="3">
        <v>24.281784637149837</v>
      </c>
      <c r="F1288" s="3">
        <v>24.474384307861328</v>
      </c>
      <c r="G1288" s="3">
        <v>140200</v>
      </c>
      <c r="H1288" s="3">
        <v>0</v>
      </c>
      <c r="I1288" s="3">
        <v>0</v>
      </c>
      <c r="J1288" s="3" t="str">
        <v>AB</v>
      </c>
      <c r="K1288" s="23">
        <v>43865</v>
      </c>
      <c r="L1288" s="22">
        <v>24.20332145690918</v>
      </c>
    </row>
    <row r="1289" spans="1:12" x14ac:dyDescent="0.25">
      <c r="A1289" s="9">
        <v>1282</v>
      </c>
      <c r="B1289" s="10">
        <v>43867</v>
      </c>
      <c r="C1289" s="3">
        <v>24.574249708902851</v>
      </c>
      <c r="D1289" s="3">
        <v>24.666983486538193</v>
      </c>
      <c r="E1289" s="3">
        <v>24.410183930711948</v>
      </c>
      <c r="F1289" s="3">
        <v>24.510049819946289</v>
      </c>
      <c r="G1289" s="3">
        <v>273200</v>
      </c>
      <c r="H1289" s="3">
        <v>0</v>
      </c>
      <c r="I1289" s="3">
        <v>0</v>
      </c>
      <c r="J1289" s="3" t="str">
        <v>AB</v>
      </c>
      <c r="K1289" s="23">
        <v>43866</v>
      </c>
      <c r="L1289" s="22">
        <v>24.474384307861328</v>
      </c>
    </row>
    <row r="1290" spans="1:12" x14ac:dyDescent="0.25">
      <c r="A1290" s="9">
        <v>1283</v>
      </c>
      <c r="B1290" s="10">
        <v>43868</v>
      </c>
      <c r="C1290" s="3">
        <v>24.510053570891525</v>
      </c>
      <c r="D1290" s="3">
        <v>24.588520416195809</v>
      </c>
      <c r="E1290" s="3">
        <v>24.296054815333722</v>
      </c>
      <c r="F1290" s="3">
        <v>24.467252731323242</v>
      </c>
      <c r="G1290" s="3">
        <v>215300</v>
      </c>
      <c r="H1290" s="3">
        <v>0</v>
      </c>
      <c r="I1290" s="3">
        <v>0</v>
      </c>
      <c r="J1290" s="3" t="str">
        <v>AB</v>
      </c>
      <c r="K1290" s="23">
        <v>43867</v>
      </c>
      <c r="L1290" s="22">
        <v>24.510049819946289</v>
      </c>
    </row>
    <row r="1291" spans="1:12" x14ac:dyDescent="0.25">
      <c r="A1291" s="9">
        <v>1284</v>
      </c>
      <c r="B1291" s="10">
        <v>43871</v>
      </c>
      <c r="C1291" s="3">
        <v>24.4387203551662</v>
      </c>
      <c r="D1291" s="3">
        <v>24.866720613989195</v>
      </c>
      <c r="E1291" s="3">
        <v>24.381655286674992</v>
      </c>
      <c r="F1291" s="3">
        <v>24.77398681640625</v>
      </c>
      <c r="G1291" s="3">
        <v>187200</v>
      </c>
      <c r="H1291" s="3">
        <v>0</v>
      </c>
      <c r="I1291" s="3">
        <v>0</v>
      </c>
      <c r="J1291" s="3" t="str">
        <v>AB</v>
      </c>
      <c r="K1291" s="23">
        <v>43868</v>
      </c>
      <c r="L1291" s="22">
        <v>24.467252731323242</v>
      </c>
    </row>
    <row r="1292" spans="1:12" x14ac:dyDescent="0.25">
      <c r="A1292" s="9">
        <v>1285</v>
      </c>
      <c r="B1292" s="10">
        <v>43872</v>
      </c>
      <c r="C1292" s="3">
        <v>24.909513962542118</v>
      </c>
      <c r="D1292" s="3">
        <v>25.273314248896568</v>
      </c>
      <c r="E1292" s="3">
        <v>24.666984066494432</v>
      </c>
      <c r="F1292" s="3">
        <v>24.873847961425781</v>
      </c>
      <c r="G1292" s="3">
        <v>321900</v>
      </c>
      <c r="H1292" s="3">
        <v>0</v>
      </c>
      <c r="I1292" s="3">
        <v>0</v>
      </c>
      <c r="J1292" s="3" t="str">
        <v>AB</v>
      </c>
      <c r="K1292" s="23">
        <v>43871</v>
      </c>
      <c r="L1292" s="22">
        <v>24.77398681640625</v>
      </c>
    </row>
    <row r="1293" spans="1:12" x14ac:dyDescent="0.25">
      <c r="A1293" s="9">
        <v>1286</v>
      </c>
      <c r="B1293" s="10">
        <v>43873</v>
      </c>
      <c r="C1293" s="3">
        <v>24.895249366750384</v>
      </c>
      <c r="D1293" s="3">
        <v>25.266179038183552</v>
      </c>
      <c r="E1293" s="3">
        <v>24.124850692678223</v>
      </c>
      <c r="F1293" s="3">
        <v>24.98084831237793</v>
      </c>
      <c r="G1293" s="3">
        <v>646200</v>
      </c>
      <c r="H1293" s="3">
        <v>0</v>
      </c>
      <c r="I1293" s="3">
        <v>0</v>
      </c>
      <c r="J1293" s="3" t="str">
        <v>AB</v>
      </c>
      <c r="K1293" s="23">
        <v>43872</v>
      </c>
      <c r="L1293" s="22">
        <v>24.873847961425781</v>
      </c>
    </row>
    <row r="1294" spans="1:12" x14ac:dyDescent="0.25">
      <c r="A1294" s="9">
        <v>1287</v>
      </c>
      <c r="B1294" s="10">
        <v>43874</v>
      </c>
      <c r="C1294" s="3">
        <v>25.144918268315102</v>
      </c>
      <c r="D1294" s="3">
        <v>25.144918268315102</v>
      </c>
      <c r="E1294" s="3">
        <v>24.574254000780297</v>
      </c>
      <c r="F1294" s="3">
        <v>24.645586013793945</v>
      </c>
      <c r="G1294" s="3">
        <v>460900</v>
      </c>
      <c r="H1294" s="3">
        <v>0</v>
      </c>
      <c r="I1294" s="3">
        <v>0</v>
      </c>
      <c r="J1294" s="3" t="str">
        <v>AB</v>
      </c>
      <c r="K1294" s="23">
        <v>43873</v>
      </c>
      <c r="L1294" s="22">
        <v>24.98084831237793</v>
      </c>
    </row>
    <row r="1295" spans="1:12" x14ac:dyDescent="0.25">
      <c r="A1295" s="9">
        <v>1288</v>
      </c>
      <c r="B1295" s="10">
        <v>43875</v>
      </c>
      <c r="C1295" s="3">
        <v>24.452984822678385</v>
      </c>
      <c r="D1295" s="3">
        <v>24.752585245584743</v>
      </c>
      <c r="E1295" s="3">
        <v>24.403051872384278</v>
      </c>
      <c r="F1295" s="3">
        <v>24.552850723266602</v>
      </c>
      <c r="G1295" s="3">
        <v>393000</v>
      </c>
      <c r="H1295" s="3">
        <v>0</v>
      </c>
      <c r="I1295" s="3">
        <v>0</v>
      </c>
      <c r="J1295" s="3" t="str">
        <v>AB</v>
      </c>
      <c r="K1295" s="23">
        <v>43874</v>
      </c>
      <c r="L1295" s="22">
        <v>24.645586013793945</v>
      </c>
    </row>
    <row r="1296" spans="1:12" x14ac:dyDescent="0.25">
      <c r="A1296" s="9">
        <v>1289</v>
      </c>
      <c r="B1296" s="10">
        <v>43879</v>
      </c>
      <c r="C1296" s="3">
        <v>24.795380847217899</v>
      </c>
      <c r="D1296" s="3">
        <v>25.401713743937339</v>
      </c>
      <c r="E1296" s="3">
        <v>24.659848956044613</v>
      </c>
      <c r="F1296" s="3">
        <v>25.209114074707031</v>
      </c>
      <c r="G1296" s="3">
        <v>748400</v>
      </c>
      <c r="H1296" s="3">
        <v>0</v>
      </c>
      <c r="I1296" s="3">
        <v>0</v>
      </c>
      <c r="J1296" s="3" t="str">
        <v>AB</v>
      </c>
      <c r="K1296" s="23">
        <v>43875</v>
      </c>
      <c r="L1296" s="22">
        <v>24.552850723266602</v>
      </c>
    </row>
    <row r="1297" spans="1:12" x14ac:dyDescent="0.25">
      <c r="A1297" s="9">
        <v>1290</v>
      </c>
      <c r="B1297" s="10">
        <v>43880</v>
      </c>
      <c r="C1297" s="3">
        <v>25.266180608210213</v>
      </c>
      <c r="D1297" s="3">
        <v>25.480182067289135</v>
      </c>
      <c r="E1297" s="3">
        <v>25.251916384003767</v>
      </c>
      <c r="F1297" s="3">
        <v>25.458780288696289</v>
      </c>
      <c r="G1297" s="3">
        <v>460000</v>
      </c>
      <c r="H1297" s="3">
        <v>0</v>
      </c>
      <c r="I1297" s="3">
        <v>0</v>
      </c>
      <c r="J1297" s="3" t="str">
        <v>AB</v>
      </c>
      <c r="K1297" s="23">
        <v>43879</v>
      </c>
      <c r="L1297" s="22">
        <v>25.209114074707031</v>
      </c>
    </row>
    <row r="1298" spans="1:12" x14ac:dyDescent="0.25">
      <c r="A1298" s="9">
        <v>1291</v>
      </c>
      <c r="B1298" s="10">
        <v>43881</v>
      </c>
      <c r="C1298" s="3">
        <v>25.415981774908133</v>
      </c>
      <c r="D1298" s="3">
        <v>25.72271429222295</v>
      </c>
      <c r="E1298" s="3">
        <v>25.287581989932555</v>
      </c>
      <c r="F1298" s="3">
        <v>25.551513671875</v>
      </c>
      <c r="G1298" s="3">
        <v>718200</v>
      </c>
      <c r="H1298" s="3">
        <v>0</v>
      </c>
      <c r="I1298" s="3">
        <v>0</v>
      </c>
      <c r="J1298" s="3" t="str">
        <v>AB</v>
      </c>
      <c r="K1298" s="23">
        <v>43880</v>
      </c>
      <c r="L1298" s="22">
        <v>25.458780288696289</v>
      </c>
    </row>
    <row r="1299" spans="1:12" x14ac:dyDescent="0.25">
      <c r="A1299" s="9">
        <v>1292</v>
      </c>
      <c r="B1299" s="10">
        <v>43882</v>
      </c>
      <c r="C1299" s="3">
        <v>25.390763048558526</v>
      </c>
      <c r="D1299" s="3">
        <v>25.456523409672002</v>
      </c>
      <c r="E1299" s="3">
        <v>24.871988414931515</v>
      </c>
      <c r="F1299" s="3">
        <v>24.915826797485352</v>
      </c>
      <c r="G1299" s="3">
        <v>531100</v>
      </c>
      <c r="H1299" s="3">
        <v>0.85</v>
      </c>
      <c r="I1299" s="3">
        <v>0</v>
      </c>
      <c r="J1299" s="3" t="str">
        <v>AB</v>
      </c>
      <c r="K1299" s="23">
        <v>43881</v>
      </c>
      <c r="L1299" s="22">
        <v>25.551513671875</v>
      </c>
    </row>
    <row r="1300" spans="1:12" x14ac:dyDescent="0.25">
      <c r="A1300" s="9">
        <v>1293</v>
      </c>
      <c r="B1300" s="10">
        <v>43885</v>
      </c>
      <c r="C1300" s="3">
        <v>24.185159187282014</v>
      </c>
      <c r="D1300" s="3">
        <v>24.33129364384552</v>
      </c>
      <c r="E1300" s="3">
        <v>23.242596262735944</v>
      </c>
      <c r="F1300" s="3">
        <v>24.126707077026367</v>
      </c>
      <c r="G1300" s="3">
        <v>625000</v>
      </c>
      <c r="H1300" s="3">
        <v>0</v>
      </c>
      <c r="I1300" s="3">
        <v>0</v>
      </c>
      <c r="J1300" s="3" t="str">
        <v>AB</v>
      </c>
      <c r="K1300" s="23">
        <v>43882</v>
      </c>
      <c r="L1300" s="22">
        <v>24.915826797485352</v>
      </c>
    </row>
    <row r="1301" spans="1:12" x14ac:dyDescent="0.25">
      <c r="A1301" s="9">
        <v>1294</v>
      </c>
      <c r="B1301" s="10">
        <v>43886</v>
      </c>
      <c r="C1301" s="3">
        <v>24.126711353041859</v>
      </c>
      <c r="D1301" s="3">
        <v>24.506659892532685</v>
      </c>
      <c r="E1301" s="3">
        <v>23.147613944007187</v>
      </c>
      <c r="F1301" s="3">
        <v>23.637161254882813</v>
      </c>
      <c r="G1301" s="3">
        <v>869100</v>
      </c>
      <c r="H1301" s="3">
        <v>0</v>
      </c>
      <c r="I1301" s="3">
        <v>0</v>
      </c>
      <c r="J1301" s="3" t="str">
        <v>AB</v>
      </c>
      <c r="K1301" s="23">
        <v>43885</v>
      </c>
      <c r="L1301" s="22">
        <v>24.126707077026367</v>
      </c>
    </row>
    <row r="1302" spans="1:12" x14ac:dyDescent="0.25">
      <c r="A1302" s="9">
        <v>1295</v>
      </c>
      <c r="B1302" s="10">
        <v>43887</v>
      </c>
      <c r="C1302" s="3">
        <v>23.637159527288929</v>
      </c>
      <c r="D1302" s="3">
        <v>23.849054372009348</v>
      </c>
      <c r="E1302" s="3">
        <v>23.330279645100642</v>
      </c>
      <c r="F1302" s="3">
        <v>23.417959213256836</v>
      </c>
      <c r="G1302" s="3">
        <v>451700</v>
      </c>
      <c r="H1302" s="3">
        <v>0</v>
      </c>
      <c r="I1302" s="3">
        <v>0</v>
      </c>
      <c r="J1302" s="3" t="str">
        <v>AB</v>
      </c>
      <c r="K1302" s="23">
        <v>43886</v>
      </c>
      <c r="L1302" s="22">
        <v>23.637161254882813</v>
      </c>
    </row>
    <row r="1303" spans="1:12" x14ac:dyDescent="0.25">
      <c r="A1303" s="9">
        <v>1296</v>
      </c>
      <c r="B1303" s="10">
        <v>43888</v>
      </c>
      <c r="C1303" s="3">
        <v>22.943025848946988</v>
      </c>
      <c r="D1303" s="3">
        <v>23.008786226409367</v>
      </c>
      <c r="E1303" s="3">
        <v>21.912781793558633</v>
      </c>
      <c r="F1303" s="3">
        <v>22.292730331420898</v>
      </c>
      <c r="G1303" s="3">
        <v>1014500</v>
      </c>
      <c r="H1303" s="3">
        <v>0</v>
      </c>
      <c r="I1303" s="3">
        <v>0</v>
      </c>
      <c r="J1303" s="3" t="str">
        <v>AB</v>
      </c>
      <c r="K1303" s="23">
        <v>43887</v>
      </c>
      <c r="L1303" s="22">
        <v>23.417959213256836</v>
      </c>
    </row>
    <row r="1304" spans="1:12" x14ac:dyDescent="0.25">
      <c r="A1304" s="9">
        <v>1297</v>
      </c>
      <c r="B1304" s="10">
        <v>43889</v>
      </c>
      <c r="C1304" s="3">
        <v>21.664350807519611</v>
      </c>
      <c r="D1304" s="3">
        <v>22.3146476225402</v>
      </c>
      <c r="E1304" s="3">
        <v>20.751013915182007</v>
      </c>
      <c r="F1304" s="3">
        <v>22.219659805297852</v>
      </c>
      <c r="G1304" s="3">
        <v>1561000</v>
      </c>
      <c r="H1304" s="3">
        <v>0</v>
      </c>
      <c r="I1304" s="3">
        <v>0</v>
      </c>
      <c r="J1304" s="3" t="str">
        <v>AB</v>
      </c>
      <c r="K1304" s="23">
        <v>43888</v>
      </c>
      <c r="L1304" s="22">
        <v>22.292730331420898</v>
      </c>
    </row>
    <row r="1305" spans="1:12" x14ac:dyDescent="0.25">
      <c r="A1305" s="9">
        <v>1298</v>
      </c>
      <c r="B1305" s="10">
        <v>43892</v>
      </c>
      <c r="C1305" s="3">
        <v>22.212351112864894</v>
      </c>
      <c r="D1305" s="3">
        <v>23.958652054814316</v>
      </c>
      <c r="E1305" s="3">
        <v>22.212351112864894</v>
      </c>
      <c r="F1305" s="3">
        <v>23.849050521850586</v>
      </c>
      <c r="G1305" s="3">
        <v>949500</v>
      </c>
      <c r="H1305" s="3">
        <v>0</v>
      </c>
      <c r="I1305" s="3">
        <v>0</v>
      </c>
      <c r="J1305" s="3" t="str">
        <v>AB</v>
      </c>
      <c r="K1305" s="23">
        <v>43889</v>
      </c>
      <c r="L1305" s="22">
        <v>22.219659805297852</v>
      </c>
    </row>
    <row r="1306" spans="1:12" x14ac:dyDescent="0.25">
      <c r="A1306" s="9">
        <v>1299</v>
      </c>
      <c r="B1306" s="10">
        <v>43893</v>
      </c>
      <c r="C1306" s="3">
        <v>24.031723045787359</v>
      </c>
      <c r="D1306" s="3">
        <v>24.185162995059724</v>
      </c>
      <c r="E1306" s="3">
        <v>22.650757927769341</v>
      </c>
      <c r="F1306" s="3">
        <v>23.05262565612793</v>
      </c>
      <c r="G1306" s="3">
        <v>923500</v>
      </c>
      <c r="H1306" s="3">
        <v>0</v>
      </c>
      <c r="I1306" s="3">
        <v>0</v>
      </c>
      <c r="J1306" s="3" t="str">
        <v>AB</v>
      </c>
      <c r="K1306" s="23">
        <v>43892</v>
      </c>
      <c r="L1306" s="22">
        <v>23.849050521850586</v>
      </c>
    </row>
    <row r="1307" spans="1:12" x14ac:dyDescent="0.25">
      <c r="A1307" s="9">
        <v>1300</v>
      </c>
      <c r="B1307" s="10">
        <v>43894</v>
      </c>
      <c r="C1307" s="3">
        <v>23.425267861286397</v>
      </c>
      <c r="D1307" s="3">
        <v>23.900201418411505</v>
      </c>
      <c r="E1307" s="3">
        <v>23.16953183457294</v>
      </c>
      <c r="F1307" s="3">
        <v>23.885587692260742</v>
      </c>
      <c r="G1307" s="3">
        <v>625800</v>
      </c>
      <c r="H1307" s="3">
        <v>0</v>
      </c>
      <c r="I1307" s="3">
        <v>0</v>
      </c>
      <c r="J1307" s="3" t="str">
        <v>AB</v>
      </c>
      <c r="K1307" s="23">
        <v>43893</v>
      </c>
      <c r="L1307" s="22">
        <v>23.05262565612793</v>
      </c>
    </row>
    <row r="1308" spans="1:12" x14ac:dyDescent="0.25">
      <c r="A1308" s="9">
        <v>1301</v>
      </c>
      <c r="B1308" s="10">
        <v>43895</v>
      </c>
      <c r="C1308" s="3">
        <v>23.637157573004828</v>
      </c>
      <c r="D1308" s="3">
        <v>23.637157573004828</v>
      </c>
      <c r="E1308" s="3">
        <v>22.592301342621248</v>
      </c>
      <c r="F1308" s="3">
        <v>22.760354995727539</v>
      </c>
      <c r="G1308" s="3">
        <v>628500</v>
      </c>
      <c r="H1308" s="3">
        <v>0</v>
      </c>
      <c r="I1308" s="3">
        <v>0</v>
      </c>
      <c r="J1308" s="3" t="str">
        <v>AB</v>
      </c>
      <c r="K1308" s="23">
        <v>43894</v>
      </c>
      <c r="L1308" s="22">
        <v>23.885587692260742</v>
      </c>
    </row>
    <row r="1309" spans="1:12" x14ac:dyDescent="0.25">
      <c r="A1309" s="9">
        <v>1302</v>
      </c>
      <c r="B1309" s="10">
        <v>43896</v>
      </c>
      <c r="C1309" s="3">
        <v>21.81048849245791</v>
      </c>
      <c r="D1309" s="3">
        <v>22.446170283071982</v>
      </c>
      <c r="E1309" s="3">
        <v>21.627821086982788</v>
      </c>
      <c r="F1309" s="3">
        <v>22.292730331420898</v>
      </c>
      <c r="G1309" s="3">
        <v>688300</v>
      </c>
      <c r="H1309" s="3">
        <v>0</v>
      </c>
      <c r="I1309" s="3">
        <v>0</v>
      </c>
      <c r="J1309" s="3" t="str">
        <v>AB</v>
      </c>
      <c r="K1309" s="23">
        <v>43895</v>
      </c>
      <c r="L1309" s="22">
        <v>22.760354995727539</v>
      </c>
    </row>
    <row r="1310" spans="1:12" x14ac:dyDescent="0.25">
      <c r="A1310" s="9">
        <v>1303</v>
      </c>
      <c r="B1310" s="10">
        <v>43899</v>
      </c>
      <c r="C1310" s="3">
        <v>20.729097676724404</v>
      </c>
      <c r="D1310" s="3">
        <v>20.787551190421166</v>
      </c>
      <c r="E1310" s="3">
        <v>19.545412282312832</v>
      </c>
      <c r="F1310" s="3">
        <v>20.10072135925293</v>
      </c>
      <c r="G1310" s="3">
        <v>1304300</v>
      </c>
      <c r="H1310" s="3">
        <v>0</v>
      </c>
      <c r="I1310" s="3">
        <v>0</v>
      </c>
      <c r="J1310" s="3" t="str">
        <v>AB</v>
      </c>
      <c r="K1310" s="23">
        <v>43896</v>
      </c>
      <c r="L1310" s="22">
        <v>22.292730331420898</v>
      </c>
    </row>
    <row r="1311" spans="1:12" x14ac:dyDescent="0.25">
      <c r="A1311" s="9">
        <v>1304</v>
      </c>
      <c r="B1311" s="10">
        <v>43900</v>
      </c>
      <c r="C1311" s="3">
        <v>21.196725225734614</v>
      </c>
      <c r="D1311" s="3">
        <v>21.664353322941931</v>
      </c>
      <c r="E1311" s="3">
        <v>20.40029525165237</v>
      </c>
      <c r="F1311" s="3">
        <v>21.605899810791016</v>
      </c>
      <c r="G1311" s="3">
        <v>848500</v>
      </c>
      <c r="H1311" s="3">
        <v>0</v>
      </c>
      <c r="I1311" s="3">
        <v>0</v>
      </c>
      <c r="J1311" s="3" t="str">
        <v>AB</v>
      </c>
      <c r="K1311" s="23">
        <v>43899</v>
      </c>
      <c r="L1311" s="22">
        <v>20.10072135925293</v>
      </c>
    </row>
    <row r="1312" spans="1:12" x14ac:dyDescent="0.25">
      <c r="A1312" s="9">
        <v>1305</v>
      </c>
      <c r="B1312" s="10">
        <v>43901</v>
      </c>
      <c r="C1312" s="3">
        <v>20.992133745609181</v>
      </c>
      <c r="D1312" s="3">
        <v>21.057894110048892</v>
      </c>
      <c r="E1312" s="3">
        <v>19.435808372365983</v>
      </c>
      <c r="F1312" s="3">
        <v>19.443115234375</v>
      </c>
      <c r="G1312" s="3">
        <v>848400</v>
      </c>
      <c r="H1312" s="3">
        <v>0</v>
      </c>
      <c r="I1312" s="3">
        <v>0</v>
      </c>
      <c r="J1312" s="3" t="str">
        <v>AB</v>
      </c>
      <c r="K1312" s="23">
        <v>43900</v>
      </c>
      <c r="L1312" s="22">
        <v>21.605899810791016</v>
      </c>
    </row>
    <row r="1313" spans="1:12" x14ac:dyDescent="0.25">
      <c r="A1313" s="9">
        <v>1306</v>
      </c>
      <c r="B1313" s="10">
        <v>43902</v>
      </c>
      <c r="C1313" s="3">
        <v>17.755268675039311</v>
      </c>
      <c r="D1313" s="3">
        <v>17.821029042947281</v>
      </c>
      <c r="E1313" s="3">
        <v>13.970401754162006</v>
      </c>
      <c r="F1313" s="3">
        <v>16.483903884887695</v>
      </c>
      <c r="G1313" s="3">
        <v>1867400</v>
      </c>
      <c r="H1313" s="3">
        <v>0</v>
      </c>
      <c r="I1313" s="3">
        <v>0</v>
      </c>
      <c r="J1313" s="3" t="str">
        <v>AB</v>
      </c>
      <c r="K1313" s="23">
        <v>43901</v>
      </c>
      <c r="L1313" s="22">
        <v>19.443115234375</v>
      </c>
    </row>
    <row r="1314" spans="1:12" x14ac:dyDescent="0.25">
      <c r="A1314" s="9">
        <v>1307</v>
      </c>
      <c r="B1314" s="10">
        <v>43903</v>
      </c>
      <c r="C1314" s="3">
        <v>17.514149378945515</v>
      </c>
      <c r="D1314" s="3">
        <v>17.901404759119078</v>
      </c>
      <c r="E1314" s="3">
        <v>15.358674948216155</v>
      </c>
      <c r="F1314" s="3">
        <v>17.652976989746094</v>
      </c>
      <c r="G1314" s="3">
        <v>1215700</v>
      </c>
      <c r="H1314" s="3">
        <v>0</v>
      </c>
      <c r="I1314" s="3">
        <v>0</v>
      </c>
      <c r="J1314" s="3" t="str">
        <v>AB</v>
      </c>
      <c r="K1314" s="23">
        <v>43902</v>
      </c>
      <c r="L1314" s="22">
        <v>16.483903884887695</v>
      </c>
    </row>
    <row r="1315" spans="1:12" x14ac:dyDescent="0.25">
      <c r="A1315" s="9">
        <v>1308</v>
      </c>
      <c r="B1315" s="10">
        <v>43906</v>
      </c>
      <c r="C1315" s="3">
        <v>14.613392262162357</v>
      </c>
      <c r="D1315" s="3">
        <v>17.294949798014816</v>
      </c>
      <c r="E1315" s="3">
        <v>14.576859338963626</v>
      </c>
      <c r="F1315" s="3">
        <v>14.591471672058105</v>
      </c>
      <c r="G1315" s="3">
        <v>827700</v>
      </c>
      <c r="H1315" s="3">
        <v>0</v>
      </c>
      <c r="I1315" s="3">
        <v>0</v>
      </c>
      <c r="J1315" s="3" t="str">
        <v>AB</v>
      </c>
      <c r="K1315" s="23">
        <v>43903</v>
      </c>
      <c r="L1315" s="22">
        <v>17.652976989746094</v>
      </c>
    </row>
    <row r="1316" spans="1:12" x14ac:dyDescent="0.25">
      <c r="A1316" s="9">
        <v>1309</v>
      </c>
      <c r="B1316" s="10">
        <v>43907</v>
      </c>
      <c r="C1316" s="3">
        <v>14.715683032308656</v>
      </c>
      <c r="D1316" s="3">
        <v>15.117552086619177</v>
      </c>
      <c r="E1316" s="3">
        <v>13.25434405730628</v>
      </c>
      <c r="F1316" s="3">
        <v>13.743892669677734</v>
      </c>
      <c r="G1316" s="3">
        <v>2355200</v>
      </c>
      <c r="H1316" s="3">
        <v>0</v>
      </c>
      <c r="I1316" s="3">
        <v>0</v>
      </c>
      <c r="J1316" s="3" t="str">
        <v>AB</v>
      </c>
      <c r="K1316" s="23">
        <v>43906</v>
      </c>
      <c r="L1316" s="22">
        <v>14.591471672058105</v>
      </c>
    </row>
    <row r="1317" spans="1:12" x14ac:dyDescent="0.25">
      <c r="A1317" s="9">
        <v>1310</v>
      </c>
      <c r="B1317" s="10">
        <v>43908</v>
      </c>
      <c r="C1317" s="3">
        <v>12.684421659325199</v>
      </c>
      <c r="D1317" s="3">
        <v>13.04975637169156</v>
      </c>
      <c r="E1317" s="3">
        <v>10.594706658624403</v>
      </c>
      <c r="F1317" s="3">
        <v>10.711613655090332</v>
      </c>
      <c r="G1317" s="3">
        <v>1756400</v>
      </c>
      <c r="H1317" s="3">
        <v>0</v>
      </c>
      <c r="I1317" s="3">
        <v>0</v>
      </c>
      <c r="J1317" s="3" t="str">
        <v>AB</v>
      </c>
      <c r="K1317" s="23">
        <v>43907</v>
      </c>
      <c r="L1317" s="22">
        <v>13.743892669677734</v>
      </c>
    </row>
    <row r="1318" spans="1:12" x14ac:dyDescent="0.25">
      <c r="A1318" s="9">
        <v>1311</v>
      </c>
      <c r="B1318" s="10">
        <v>43909</v>
      </c>
      <c r="C1318" s="3">
        <v>10.594707967124029</v>
      </c>
      <c r="D1318" s="3">
        <v>14.686457529707127</v>
      </c>
      <c r="E1318" s="3">
        <v>9.6740642110197186</v>
      </c>
      <c r="F1318" s="3">
        <v>14.101921081542969</v>
      </c>
      <c r="G1318" s="3">
        <v>2225500</v>
      </c>
      <c r="H1318" s="3">
        <v>0</v>
      </c>
      <c r="I1318" s="3">
        <v>0</v>
      </c>
      <c r="J1318" s="3" t="str">
        <v>AB</v>
      </c>
      <c r="K1318" s="23">
        <v>43908</v>
      </c>
      <c r="L1318" s="22">
        <v>10.711613655090332</v>
      </c>
    </row>
    <row r="1319" spans="1:12" x14ac:dyDescent="0.25">
      <c r="A1319" s="9">
        <v>1312</v>
      </c>
      <c r="B1319" s="10">
        <v>43910</v>
      </c>
      <c r="C1319" s="3">
        <v>14.240748530852196</v>
      </c>
      <c r="D1319" s="3">
        <v>14.584162697591847</v>
      </c>
      <c r="E1319" s="3">
        <v>12.421381624808413</v>
      </c>
      <c r="F1319" s="3">
        <v>12.465221405029297</v>
      </c>
      <c r="G1319" s="3">
        <v>1346400</v>
      </c>
      <c r="H1319" s="3">
        <v>0</v>
      </c>
      <c r="I1319" s="3">
        <v>0</v>
      </c>
      <c r="J1319" s="3" t="str">
        <v>AB</v>
      </c>
      <c r="K1319" s="23">
        <v>43909</v>
      </c>
      <c r="L1319" s="22">
        <v>14.101921081542969</v>
      </c>
    </row>
    <row r="1320" spans="1:12" x14ac:dyDescent="0.25">
      <c r="A1320" s="9">
        <v>1313</v>
      </c>
      <c r="B1320" s="10">
        <v>43913</v>
      </c>
      <c r="C1320" s="3">
        <v>11.215777848122134</v>
      </c>
      <c r="D1320" s="3">
        <v>11.522659114235575</v>
      </c>
      <c r="E1320" s="3">
        <v>10.243987404369831</v>
      </c>
      <c r="F1320" s="3">
        <v>11.186551094055176</v>
      </c>
      <c r="G1320" s="3">
        <v>1319200</v>
      </c>
      <c r="H1320" s="3">
        <v>0</v>
      </c>
      <c r="I1320" s="3">
        <v>0</v>
      </c>
      <c r="J1320" s="3" t="str">
        <v>AB</v>
      </c>
      <c r="K1320" s="23">
        <v>43910</v>
      </c>
      <c r="L1320" s="22">
        <v>12.465221405029297</v>
      </c>
    </row>
    <row r="1321" spans="1:12" x14ac:dyDescent="0.25">
      <c r="A1321" s="9">
        <v>1314</v>
      </c>
      <c r="B1321" s="10">
        <v>43914</v>
      </c>
      <c r="C1321" s="3">
        <v>11.690712193383272</v>
      </c>
      <c r="D1321" s="3">
        <v>14.058081245306404</v>
      </c>
      <c r="E1321" s="3">
        <v>11.683405331025428</v>
      </c>
      <c r="F1321" s="3">
        <v>12.355621337890625</v>
      </c>
      <c r="G1321" s="3">
        <v>1465200</v>
      </c>
      <c r="H1321" s="3">
        <v>0</v>
      </c>
      <c r="I1321" s="3">
        <v>0</v>
      </c>
      <c r="J1321" s="3" t="str">
        <v>AB</v>
      </c>
      <c r="K1321" s="23">
        <v>43913</v>
      </c>
      <c r="L1321" s="22">
        <v>11.186551094055176</v>
      </c>
    </row>
    <row r="1322" spans="1:12" x14ac:dyDescent="0.25">
      <c r="A1322" s="9">
        <v>1315</v>
      </c>
      <c r="B1322" s="10">
        <v>43915</v>
      </c>
      <c r="C1322" s="3">
        <v>12.83786509566203</v>
      </c>
      <c r="D1322" s="3">
        <v>13.890029746487762</v>
      </c>
      <c r="E1322" s="3">
        <v>12.077969409918014</v>
      </c>
      <c r="F1322" s="3">
        <v>13.166666984558105</v>
      </c>
      <c r="G1322" s="3">
        <v>1200200</v>
      </c>
      <c r="H1322" s="3">
        <v>0</v>
      </c>
      <c r="I1322" s="3">
        <v>0</v>
      </c>
      <c r="J1322" s="3" t="str">
        <v>AB</v>
      </c>
      <c r="K1322" s="23">
        <v>43914</v>
      </c>
      <c r="L1322" s="22">
        <v>12.355621337890625</v>
      </c>
    </row>
    <row r="1323" spans="1:12" x14ac:dyDescent="0.25">
      <c r="A1323" s="9">
        <v>1316</v>
      </c>
      <c r="B1323" s="10">
        <v>43916</v>
      </c>
      <c r="C1323" s="3">
        <v>13.79504136100862</v>
      </c>
      <c r="D1323" s="3">
        <v>15.124861196554471</v>
      </c>
      <c r="E1323" s="3">
        <v>13.524694390894025</v>
      </c>
      <c r="F1323" s="3">
        <v>14.445338249206543</v>
      </c>
      <c r="G1323" s="3">
        <v>1183300</v>
      </c>
      <c r="H1323" s="3">
        <v>0</v>
      </c>
      <c r="I1323" s="3">
        <v>0</v>
      </c>
      <c r="J1323" s="3" t="str">
        <v>AB</v>
      </c>
      <c r="K1323" s="23">
        <v>43915</v>
      </c>
      <c r="L1323" s="22">
        <v>13.166666984558105</v>
      </c>
    </row>
    <row r="1324" spans="1:12" x14ac:dyDescent="0.25">
      <c r="A1324" s="9">
        <v>1317</v>
      </c>
      <c r="B1324" s="10">
        <v>43917</v>
      </c>
      <c r="C1324" s="3">
        <v>13.999626040011888</v>
      </c>
      <c r="D1324" s="3">
        <v>14.328427837978671</v>
      </c>
      <c r="E1324" s="3">
        <v>13.590451553152034</v>
      </c>
      <c r="F1324" s="3">
        <v>13.678131103515625</v>
      </c>
      <c r="G1324" s="3">
        <v>650100</v>
      </c>
      <c r="H1324" s="3">
        <v>0</v>
      </c>
      <c r="I1324" s="3">
        <v>0</v>
      </c>
      <c r="J1324" s="3" t="str">
        <v>AB</v>
      </c>
      <c r="K1324" s="23">
        <v>43916</v>
      </c>
      <c r="L1324" s="22">
        <v>14.445338249206543</v>
      </c>
    </row>
    <row r="1325" spans="1:12" x14ac:dyDescent="0.25">
      <c r="A1325" s="9">
        <v>1318</v>
      </c>
      <c r="B1325" s="10">
        <v>43920</v>
      </c>
      <c r="C1325" s="3">
        <v>13.553917306730906</v>
      </c>
      <c r="D1325" s="3">
        <v>13.787732693914691</v>
      </c>
      <c r="E1325" s="3">
        <v>12.8013286892213</v>
      </c>
      <c r="F1325" s="3">
        <v>13.736584663391113</v>
      </c>
      <c r="G1325" s="3">
        <v>607800</v>
      </c>
      <c r="H1325" s="3">
        <v>0</v>
      </c>
      <c r="I1325" s="3">
        <v>0</v>
      </c>
      <c r="J1325" s="3" t="str">
        <v>AB</v>
      </c>
      <c r="K1325" s="23">
        <v>43917</v>
      </c>
      <c r="L1325" s="22">
        <v>13.678131103515625</v>
      </c>
    </row>
    <row r="1326" spans="1:12" x14ac:dyDescent="0.25">
      <c r="A1326" s="9">
        <v>1319</v>
      </c>
      <c r="B1326" s="10">
        <v>43921</v>
      </c>
      <c r="C1326" s="3">
        <v>13.678135397955245</v>
      </c>
      <c r="D1326" s="3">
        <v>14.006937299153929</v>
      </c>
      <c r="E1326" s="3">
        <v>13.415095270638062</v>
      </c>
      <c r="F1326" s="3">
        <v>13.583148956298828</v>
      </c>
      <c r="G1326" s="3">
        <v>282400</v>
      </c>
      <c r="H1326" s="3">
        <v>0</v>
      </c>
      <c r="I1326" s="3">
        <v>0</v>
      </c>
      <c r="J1326" s="3" t="str">
        <v>AB</v>
      </c>
      <c r="K1326" s="23">
        <v>43920</v>
      </c>
      <c r="L1326" s="22">
        <v>13.736584663391113</v>
      </c>
    </row>
    <row r="1327" spans="1:12" x14ac:dyDescent="0.25">
      <c r="A1327" s="9">
        <v>1320</v>
      </c>
      <c r="B1327" s="10">
        <v>43922</v>
      </c>
      <c r="C1327" s="3">
        <v>13.05706545530315</v>
      </c>
      <c r="D1327" s="3">
        <v>13.247038311659972</v>
      </c>
      <c r="E1327" s="3">
        <v>12.180261438947753</v>
      </c>
      <c r="F1327" s="3">
        <v>12.39946174621582</v>
      </c>
      <c r="G1327" s="3">
        <v>390500</v>
      </c>
      <c r="H1327" s="3">
        <v>0</v>
      </c>
      <c r="I1327" s="3">
        <v>0</v>
      </c>
      <c r="J1327" s="3" t="str">
        <v>AB</v>
      </c>
      <c r="K1327" s="23">
        <v>43921</v>
      </c>
      <c r="L1327" s="22">
        <v>13.583148956298828</v>
      </c>
    </row>
    <row r="1328" spans="1:12" x14ac:dyDescent="0.25">
      <c r="A1328" s="9">
        <v>1321</v>
      </c>
      <c r="B1328" s="10">
        <v>43923</v>
      </c>
      <c r="C1328" s="3">
        <v>12.377543922177571</v>
      </c>
      <c r="D1328" s="3">
        <v>13.678134971621429</v>
      </c>
      <c r="E1328" s="3">
        <v>12.33370274095639</v>
      </c>
      <c r="F1328" s="3">
        <v>13.51008129119873</v>
      </c>
      <c r="G1328" s="3">
        <v>556000</v>
      </c>
      <c r="H1328" s="3">
        <v>0</v>
      </c>
      <c r="I1328" s="3">
        <v>0</v>
      </c>
      <c r="J1328" s="3" t="str">
        <v>AB</v>
      </c>
      <c r="K1328" s="23">
        <v>43922</v>
      </c>
      <c r="L1328" s="22">
        <v>12.39946174621582</v>
      </c>
    </row>
    <row r="1329" spans="1:12" x14ac:dyDescent="0.25">
      <c r="A1329" s="9">
        <v>1322</v>
      </c>
      <c r="B1329" s="10">
        <v>43924</v>
      </c>
      <c r="C1329" s="3">
        <v>13.444318627320374</v>
      </c>
      <c r="D1329" s="3">
        <v>13.539306443508861</v>
      </c>
      <c r="E1329" s="3">
        <v>12.60404897442063</v>
      </c>
      <c r="F1329" s="3">
        <v>12.669809341430664</v>
      </c>
      <c r="G1329" s="3">
        <v>321500</v>
      </c>
      <c r="H1329" s="3">
        <v>0</v>
      </c>
      <c r="I1329" s="3">
        <v>0</v>
      </c>
      <c r="J1329" s="3" t="str">
        <v>AB</v>
      </c>
      <c r="K1329" s="23">
        <v>43923</v>
      </c>
      <c r="L1329" s="22">
        <v>13.51008129119873</v>
      </c>
    </row>
    <row r="1330" spans="1:12" x14ac:dyDescent="0.25">
      <c r="A1330" s="9">
        <v>1323</v>
      </c>
      <c r="B1330" s="10">
        <v>43927</v>
      </c>
      <c r="C1330" s="3">
        <v>13.758507047520478</v>
      </c>
      <c r="D1330" s="3">
        <v>14.058081440136386</v>
      </c>
      <c r="E1330" s="3">
        <v>13.2908789992696</v>
      </c>
      <c r="F1330" s="3">
        <v>13.656213760375977</v>
      </c>
      <c r="G1330" s="3">
        <v>476200</v>
      </c>
      <c r="H1330" s="3">
        <v>0</v>
      </c>
      <c r="I1330" s="3">
        <v>0</v>
      </c>
      <c r="J1330" s="3" t="str">
        <v>AB</v>
      </c>
      <c r="K1330" s="23">
        <v>43924</v>
      </c>
      <c r="L1330" s="22">
        <v>12.669809341430664</v>
      </c>
    </row>
    <row r="1331" spans="1:12" x14ac:dyDescent="0.25">
      <c r="A1331" s="9">
        <v>1324</v>
      </c>
      <c r="B1331" s="10">
        <v>43928</v>
      </c>
      <c r="C1331" s="3">
        <v>13.882722915459183</v>
      </c>
      <c r="D1331" s="3">
        <v>15.059101461102916</v>
      </c>
      <c r="E1331" s="3">
        <v>13.882722915459183</v>
      </c>
      <c r="F1331" s="3">
        <v>14.715685844421387</v>
      </c>
      <c r="G1331" s="3">
        <v>760200</v>
      </c>
      <c r="H1331" s="3">
        <v>0</v>
      </c>
      <c r="I1331" s="3">
        <v>0</v>
      </c>
      <c r="J1331" s="3" t="str">
        <v>AB</v>
      </c>
      <c r="K1331" s="23">
        <v>43927</v>
      </c>
      <c r="L1331" s="22">
        <v>13.656213760375977</v>
      </c>
    </row>
    <row r="1332" spans="1:12" x14ac:dyDescent="0.25">
      <c r="A1332" s="9">
        <v>1325</v>
      </c>
      <c r="B1332" s="10">
        <v>43929</v>
      </c>
      <c r="C1332" s="3">
        <v>14.942195757031444</v>
      </c>
      <c r="D1332" s="3">
        <v>15.702091511924861</v>
      </c>
      <c r="E1332" s="3">
        <v>14.737607741585375</v>
      </c>
      <c r="F1332" s="3">
        <v>15.278303146362305</v>
      </c>
      <c r="G1332" s="3">
        <v>568400</v>
      </c>
      <c r="H1332" s="3">
        <v>0</v>
      </c>
      <c r="I1332" s="3">
        <v>0</v>
      </c>
      <c r="J1332" s="3" t="str">
        <v>AB</v>
      </c>
      <c r="K1332" s="23">
        <v>43928</v>
      </c>
      <c r="L1332" s="22">
        <v>14.715685844421387</v>
      </c>
    </row>
    <row r="1333" spans="1:12" x14ac:dyDescent="0.25">
      <c r="A1333" s="9">
        <v>1326</v>
      </c>
      <c r="B1333" s="10">
        <v>43930</v>
      </c>
      <c r="C1333" s="3">
        <v>15.468273522996414</v>
      </c>
      <c r="D1333" s="3">
        <v>16.856545307932567</v>
      </c>
      <c r="E1333" s="3">
        <v>15.351366513337043</v>
      </c>
      <c r="F1333" s="3">
        <v>16.045501708984375</v>
      </c>
      <c r="G1333" s="3">
        <v>866600</v>
      </c>
      <c r="H1333" s="3">
        <v>0</v>
      </c>
      <c r="I1333" s="3">
        <v>0</v>
      </c>
      <c r="J1333" s="3" t="str">
        <v>AB</v>
      </c>
      <c r="K1333" s="23">
        <v>43929</v>
      </c>
      <c r="L1333" s="22">
        <v>15.278303146362305</v>
      </c>
    </row>
    <row r="1334" spans="1:12" x14ac:dyDescent="0.25">
      <c r="A1334" s="9">
        <v>1327</v>
      </c>
      <c r="B1334" s="10">
        <v>43934</v>
      </c>
      <c r="C1334" s="3">
        <v>15.672860465619227</v>
      </c>
      <c r="D1334" s="3">
        <v>15.92128819337046</v>
      </c>
      <c r="E1334" s="3">
        <v>14.51109591338299</v>
      </c>
      <c r="F1334" s="3">
        <v>14.788749694824219</v>
      </c>
      <c r="G1334" s="3">
        <v>742100</v>
      </c>
      <c r="H1334" s="3">
        <v>0</v>
      </c>
      <c r="I1334" s="3">
        <v>0</v>
      </c>
      <c r="J1334" s="3" t="str">
        <v>AB</v>
      </c>
      <c r="K1334" s="23">
        <v>43930</v>
      </c>
      <c r="L1334" s="22">
        <v>16.045501708984375</v>
      </c>
    </row>
    <row r="1335" spans="1:12" x14ac:dyDescent="0.25">
      <c r="A1335" s="9">
        <v>1328</v>
      </c>
      <c r="B1335" s="10">
        <v>43935</v>
      </c>
      <c r="C1335" s="3">
        <v>14.744908655621195</v>
      </c>
      <c r="D1335" s="3">
        <v>15.862831941190137</v>
      </c>
      <c r="E1335" s="3">
        <v>14.744908655621195</v>
      </c>
      <c r="F1335" s="3">
        <v>15.241764068603516</v>
      </c>
      <c r="G1335" s="3">
        <v>587800</v>
      </c>
      <c r="H1335" s="3">
        <v>0</v>
      </c>
      <c r="I1335" s="3">
        <v>0</v>
      </c>
      <c r="J1335" s="3" t="str">
        <v>AB</v>
      </c>
      <c r="K1335" s="23">
        <v>43934</v>
      </c>
      <c r="L1335" s="22">
        <v>14.788749694824219</v>
      </c>
    </row>
    <row r="1336" spans="1:12" x14ac:dyDescent="0.25">
      <c r="A1336" s="9">
        <v>1329</v>
      </c>
      <c r="B1336" s="10">
        <v>43936</v>
      </c>
      <c r="C1336" s="3">
        <v>14.693766365569591</v>
      </c>
      <c r="D1336" s="3">
        <v>14.942194145517686</v>
      </c>
      <c r="E1336" s="3">
        <v>14.41611113214916</v>
      </c>
      <c r="F1336" s="3">
        <v>14.591471672058105</v>
      </c>
      <c r="G1336" s="3">
        <v>430600</v>
      </c>
      <c r="H1336" s="3">
        <v>0</v>
      </c>
      <c r="I1336" s="3">
        <v>0</v>
      </c>
      <c r="J1336" s="3" t="str">
        <v>AB</v>
      </c>
      <c r="K1336" s="23">
        <v>43935</v>
      </c>
      <c r="L1336" s="22">
        <v>15.241764068603516</v>
      </c>
    </row>
    <row r="1337" spans="1:12" x14ac:dyDescent="0.25">
      <c r="A1337" s="9">
        <v>1330</v>
      </c>
      <c r="B1337" s="10">
        <v>43937</v>
      </c>
      <c r="C1337" s="3">
        <v>14.569551417076188</v>
      </c>
      <c r="D1337" s="3">
        <v>14.825286041812518</v>
      </c>
      <c r="E1337" s="3">
        <v>14.131149402334133</v>
      </c>
      <c r="F1337" s="3">
        <v>14.51109790802002</v>
      </c>
      <c r="G1337" s="3">
        <v>426000</v>
      </c>
      <c r="H1337" s="3">
        <v>0</v>
      </c>
      <c r="I1337" s="3">
        <v>0</v>
      </c>
      <c r="J1337" s="3" t="str">
        <v>AB</v>
      </c>
      <c r="K1337" s="23">
        <v>43936</v>
      </c>
      <c r="L1337" s="22">
        <v>14.591471672058105</v>
      </c>
    </row>
    <row r="1338" spans="1:12" x14ac:dyDescent="0.25">
      <c r="A1338" s="9">
        <v>1331</v>
      </c>
      <c r="B1338" s="10">
        <v>43938</v>
      </c>
      <c r="C1338" s="3">
        <v>15.13216637938922</v>
      </c>
      <c r="D1338" s="3">
        <v>15.592488996644198</v>
      </c>
      <c r="E1338" s="3">
        <v>14.949498983827448</v>
      </c>
      <c r="F1338" s="3">
        <v>15.037179946899414</v>
      </c>
      <c r="G1338" s="3">
        <v>535300</v>
      </c>
      <c r="H1338" s="3">
        <v>0</v>
      </c>
      <c r="I1338" s="3">
        <v>0</v>
      </c>
      <c r="J1338" s="3" t="str">
        <v>AB</v>
      </c>
      <c r="K1338" s="23">
        <v>43937</v>
      </c>
      <c r="L1338" s="22">
        <v>14.51109790802002</v>
      </c>
    </row>
    <row r="1339" spans="1:12" x14ac:dyDescent="0.25">
      <c r="A1339" s="9">
        <v>1332</v>
      </c>
      <c r="B1339" s="10">
        <v>43941</v>
      </c>
      <c r="C1339" s="3">
        <v>14.649925466488401</v>
      </c>
      <c r="D1339" s="3">
        <v>15.417129411159332</v>
      </c>
      <c r="E1339" s="3">
        <v>14.628006269605216</v>
      </c>
      <c r="F1339" s="3">
        <v>14.715685844421387</v>
      </c>
      <c r="G1339" s="3">
        <v>362900</v>
      </c>
      <c r="H1339" s="3">
        <v>0</v>
      </c>
      <c r="I1339" s="3">
        <v>0</v>
      </c>
      <c r="J1339" s="3" t="str">
        <v>AB</v>
      </c>
      <c r="K1339" s="23">
        <v>43938</v>
      </c>
      <c r="L1339" s="22">
        <v>15.037179946899414</v>
      </c>
    </row>
    <row r="1340" spans="1:12" x14ac:dyDescent="0.25">
      <c r="A1340" s="9">
        <v>1333</v>
      </c>
      <c r="B1340" s="10">
        <v>43942</v>
      </c>
      <c r="C1340" s="3">
        <v>14.613389508164161</v>
      </c>
      <c r="D1340" s="3">
        <v>14.766829429052001</v>
      </c>
      <c r="E1340" s="3">
        <v>13.977706451356793</v>
      </c>
      <c r="F1340" s="3">
        <v>14.145761489868164</v>
      </c>
      <c r="G1340" s="3">
        <v>446200</v>
      </c>
      <c r="H1340" s="3">
        <v>0</v>
      </c>
      <c r="I1340" s="3">
        <v>0</v>
      </c>
      <c r="J1340" s="3" t="str">
        <v>AB</v>
      </c>
      <c r="K1340" s="23">
        <v>43941</v>
      </c>
      <c r="L1340" s="22">
        <v>14.715685844421387</v>
      </c>
    </row>
    <row r="1341" spans="1:12" x14ac:dyDescent="0.25">
      <c r="A1341" s="9">
        <v>1334</v>
      </c>
      <c r="B1341" s="10">
        <v>43943</v>
      </c>
      <c r="C1341" s="3">
        <v>14.394187160573326</v>
      </c>
      <c r="D1341" s="3">
        <v>14.554933920420135</v>
      </c>
      <c r="E1341" s="3">
        <v>14.116532019261935</v>
      </c>
      <c r="F1341" s="3">
        <v>14.364959716796875</v>
      </c>
      <c r="G1341" s="3">
        <v>203400</v>
      </c>
      <c r="H1341" s="3">
        <v>0</v>
      </c>
      <c r="I1341" s="3">
        <v>0</v>
      </c>
      <c r="J1341" s="3" t="str">
        <v>AB</v>
      </c>
      <c r="K1341" s="23">
        <v>43942</v>
      </c>
      <c r="L1341" s="22">
        <v>14.145761489868164</v>
      </c>
    </row>
    <row r="1342" spans="1:12" x14ac:dyDescent="0.25">
      <c r="A1342" s="9">
        <v>1335</v>
      </c>
      <c r="B1342" s="10">
        <v>43944</v>
      </c>
      <c r="C1342" s="3">
        <v>14.364961948328391</v>
      </c>
      <c r="D1342" s="3">
        <v>15.139471211384926</v>
      </c>
      <c r="E1342" s="3">
        <v>14.262668666502464</v>
      </c>
      <c r="F1342" s="3">
        <v>14.321122169494629</v>
      </c>
      <c r="G1342" s="3">
        <v>409400</v>
      </c>
      <c r="H1342" s="3">
        <v>0</v>
      </c>
      <c r="I1342" s="3">
        <v>0</v>
      </c>
      <c r="J1342" s="3" t="str">
        <v>AB</v>
      </c>
      <c r="K1342" s="23">
        <v>43943</v>
      </c>
      <c r="L1342" s="22">
        <v>14.364959716796875</v>
      </c>
    </row>
    <row r="1343" spans="1:12" x14ac:dyDescent="0.25">
      <c r="A1343" s="9">
        <v>1336</v>
      </c>
      <c r="B1343" s="10">
        <v>43945</v>
      </c>
      <c r="C1343" s="3">
        <v>14.343044167348371</v>
      </c>
      <c r="D1343" s="3">
        <v>15.051794597594617</v>
      </c>
      <c r="E1343" s="3">
        <v>14.343044167348371</v>
      </c>
      <c r="F1343" s="3">
        <v>14.715685844421387</v>
      </c>
      <c r="G1343" s="3">
        <v>319700</v>
      </c>
      <c r="H1343" s="3">
        <v>0</v>
      </c>
      <c r="I1343" s="3">
        <v>0</v>
      </c>
      <c r="J1343" s="3" t="str">
        <v>AB</v>
      </c>
      <c r="K1343" s="23">
        <v>43944</v>
      </c>
      <c r="L1343" s="22">
        <v>14.321122169494629</v>
      </c>
    </row>
    <row r="1344" spans="1:12" x14ac:dyDescent="0.25">
      <c r="A1344" s="9">
        <v>1337</v>
      </c>
      <c r="B1344" s="10">
        <v>43948</v>
      </c>
      <c r="C1344" s="3">
        <v>14.61338993220712</v>
      </c>
      <c r="D1344" s="3">
        <v>15.395206070597565</v>
      </c>
      <c r="E1344" s="3">
        <v>14.61338993220712</v>
      </c>
      <c r="F1344" s="3">
        <v>15.380592346191406</v>
      </c>
      <c r="G1344" s="3">
        <v>403300</v>
      </c>
      <c r="H1344" s="3">
        <v>0</v>
      </c>
      <c r="I1344" s="3">
        <v>0</v>
      </c>
      <c r="J1344" s="3" t="str">
        <v>AB</v>
      </c>
      <c r="K1344" s="23">
        <v>43945</v>
      </c>
      <c r="L1344" s="22">
        <v>14.715685844421387</v>
      </c>
    </row>
    <row r="1345" spans="1:12" x14ac:dyDescent="0.25">
      <c r="A1345" s="9">
        <v>1338</v>
      </c>
      <c r="B1345" s="10">
        <v>43949</v>
      </c>
      <c r="C1345" s="3">
        <v>16.074728754328767</v>
      </c>
      <c r="D1345" s="3">
        <v>16.688491236439909</v>
      </c>
      <c r="E1345" s="3">
        <v>15.797074961774417</v>
      </c>
      <c r="F1345" s="3">
        <v>16.235475540161133</v>
      </c>
      <c r="G1345" s="3">
        <v>929500</v>
      </c>
      <c r="H1345" s="3">
        <v>0</v>
      </c>
      <c r="I1345" s="3">
        <v>0</v>
      </c>
      <c r="J1345" s="3" t="str">
        <v>AB</v>
      </c>
      <c r="K1345" s="23">
        <v>43948</v>
      </c>
      <c r="L1345" s="22">
        <v>15.380592346191406</v>
      </c>
    </row>
    <row r="1346" spans="1:12" x14ac:dyDescent="0.25">
      <c r="A1346" s="9">
        <v>1339</v>
      </c>
      <c r="B1346" s="10">
        <v>43950</v>
      </c>
      <c r="C1346" s="3">
        <v>16.38161387413124</v>
      </c>
      <c r="D1346" s="3">
        <v>17.156123325458765</v>
      </c>
      <c r="E1346" s="3">
        <v>16.38161387413124</v>
      </c>
      <c r="F1346" s="3">
        <v>16.878469467163086</v>
      </c>
      <c r="G1346" s="3">
        <v>777900</v>
      </c>
      <c r="H1346" s="3">
        <v>0</v>
      </c>
      <c r="I1346" s="3">
        <v>0</v>
      </c>
      <c r="J1346" s="3" t="str">
        <v>AB</v>
      </c>
      <c r="K1346" s="23">
        <v>43949</v>
      </c>
      <c r="L1346" s="22">
        <v>16.235475540161133</v>
      </c>
    </row>
    <row r="1347" spans="1:12" x14ac:dyDescent="0.25">
      <c r="A1347" s="9">
        <v>1340</v>
      </c>
      <c r="B1347" s="10">
        <v>43951</v>
      </c>
      <c r="C1347" s="3">
        <v>16.805398643599858</v>
      </c>
      <c r="D1347" s="3">
        <v>17.178040259021007</v>
      </c>
      <c r="E1347" s="3">
        <v>16.374303523424889</v>
      </c>
      <c r="F1347" s="3">
        <v>17.112279891967773</v>
      </c>
      <c r="G1347" s="3">
        <v>686100</v>
      </c>
      <c r="H1347" s="3">
        <v>0</v>
      </c>
      <c r="I1347" s="3">
        <v>0</v>
      </c>
      <c r="J1347" s="3" t="str">
        <v>AB</v>
      </c>
      <c r="K1347" s="23">
        <v>43950</v>
      </c>
      <c r="L1347" s="22">
        <v>16.878469467163086</v>
      </c>
    </row>
    <row r="1348" spans="1:12" x14ac:dyDescent="0.25">
      <c r="A1348" s="9">
        <v>1341</v>
      </c>
      <c r="B1348" s="10">
        <v>43952</v>
      </c>
      <c r="C1348" s="3">
        <v>16.425448635224576</v>
      </c>
      <c r="D1348" s="3">
        <v>16.659262632451192</v>
      </c>
      <c r="E1348" s="3">
        <v>15.687472335452227</v>
      </c>
      <c r="F1348" s="3">
        <v>15.892060279846191</v>
      </c>
      <c r="G1348" s="3">
        <v>523700</v>
      </c>
      <c r="H1348" s="3">
        <v>0</v>
      </c>
      <c r="I1348" s="3">
        <v>0</v>
      </c>
      <c r="J1348" s="3" t="str">
        <v>AB</v>
      </c>
      <c r="K1348" s="23">
        <v>43951</v>
      </c>
      <c r="L1348" s="22">
        <v>17.112279891967773</v>
      </c>
    </row>
    <row r="1349" spans="1:12" x14ac:dyDescent="0.25">
      <c r="A1349" s="9">
        <v>1342</v>
      </c>
      <c r="B1349" s="10">
        <v>43955</v>
      </c>
      <c r="C1349" s="3">
        <v>15.840915452424658</v>
      </c>
      <c r="D1349" s="3">
        <v>16.505824605637777</v>
      </c>
      <c r="E1349" s="3">
        <v>15.585180841117724</v>
      </c>
      <c r="F1349" s="3">
        <v>16.469291687011719</v>
      </c>
      <c r="G1349" s="3">
        <v>261200</v>
      </c>
      <c r="H1349" s="3">
        <v>0</v>
      </c>
      <c r="I1349" s="3">
        <v>0</v>
      </c>
      <c r="J1349" s="3" t="str">
        <v>AB</v>
      </c>
      <c r="K1349" s="23">
        <v>43952</v>
      </c>
      <c r="L1349" s="22">
        <v>15.892060279846191</v>
      </c>
    </row>
    <row r="1350" spans="1:12" x14ac:dyDescent="0.25">
      <c r="A1350" s="9">
        <v>1343</v>
      </c>
      <c r="B1350" s="10">
        <v>43956</v>
      </c>
      <c r="C1350" s="3">
        <v>17.075751372093237</v>
      </c>
      <c r="D1350" s="3">
        <v>17.126898027720827</v>
      </c>
      <c r="E1350" s="3">
        <v>16.206254045498678</v>
      </c>
      <c r="F1350" s="3">
        <v>16.264707565307617</v>
      </c>
      <c r="G1350" s="3">
        <v>355900</v>
      </c>
      <c r="H1350" s="3">
        <v>0</v>
      </c>
      <c r="I1350" s="3">
        <v>0</v>
      </c>
      <c r="J1350" s="3" t="str">
        <v>AB</v>
      </c>
      <c r="K1350" s="23">
        <v>43955</v>
      </c>
      <c r="L1350" s="22">
        <v>16.469291687011719</v>
      </c>
    </row>
    <row r="1351" spans="1:12" x14ac:dyDescent="0.25">
      <c r="A1351" s="9">
        <v>1344</v>
      </c>
      <c r="B1351" s="10">
        <v>43957</v>
      </c>
      <c r="C1351" s="3">
        <v>16.440065226098763</v>
      </c>
      <c r="D1351" s="3">
        <v>16.59350516592772</v>
      </c>
      <c r="E1351" s="3">
        <v>15.694781934708304</v>
      </c>
      <c r="F1351" s="3">
        <v>16.001663208007813</v>
      </c>
      <c r="G1351" s="3">
        <v>311000</v>
      </c>
      <c r="H1351" s="3">
        <v>0</v>
      </c>
      <c r="I1351" s="3">
        <v>0</v>
      </c>
      <c r="J1351" s="3" t="str">
        <v>AB</v>
      </c>
      <c r="K1351" s="23">
        <v>43956</v>
      </c>
      <c r="L1351" s="22">
        <v>16.264707565307617</v>
      </c>
    </row>
    <row r="1352" spans="1:12" x14ac:dyDescent="0.25">
      <c r="A1352" s="9">
        <v>1345</v>
      </c>
      <c r="B1352" s="10">
        <v>43958</v>
      </c>
      <c r="C1352" s="3">
        <v>16.476597781681601</v>
      </c>
      <c r="D1352" s="3">
        <v>17.002680749185576</v>
      </c>
      <c r="E1352" s="3">
        <v>16.177023377915869</v>
      </c>
      <c r="F1352" s="3">
        <v>16.513132095336914</v>
      </c>
      <c r="G1352" s="3">
        <v>364300</v>
      </c>
      <c r="H1352" s="3">
        <v>0</v>
      </c>
      <c r="I1352" s="3">
        <v>0</v>
      </c>
      <c r="J1352" s="3" t="str">
        <v>AB</v>
      </c>
      <c r="K1352" s="23">
        <v>43957</v>
      </c>
      <c r="L1352" s="22">
        <v>16.001663208007813</v>
      </c>
    </row>
    <row r="1353" spans="1:12" x14ac:dyDescent="0.25">
      <c r="A1353" s="9">
        <v>1346</v>
      </c>
      <c r="B1353" s="10">
        <v>43959</v>
      </c>
      <c r="C1353" s="3">
        <v>16.956790085408027</v>
      </c>
      <c r="D1353" s="3">
        <v>17.144781112670898</v>
      </c>
      <c r="E1353" s="3">
        <v>16.761280679201427</v>
      </c>
      <c r="F1353" s="3">
        <v>17.144781112670898</v>
      </c>
      <c r="G1353" s="3">
        <v>203100</v>
      </c>
      <c r="H1353" s="3">
        <v>0.64</v>
      </c>
      <c r="I1353" s="3">
        <v>0</v>
      </c>
      <c r="J1353" s="3" t="str">
        <v>AB</v>
      </c>
      <c r="K1353" s="23">
        <v>43958</v>
      </c>
      <c r="L1353" s="22">
        <v>16.513132095336914</v>
      </c>
    </row>
    <row r="1354" spans="1:12" x14ac:dyDescent="0.25">
      <c r="A1354" s="9">
        <v>1347</v>
      </c>
      <c r="B1354" s="10">
        <v>43962</v>
      </c>
      <c r="C1354" s="3">
        <v>16.919192223033875</v>
      </c>
      <c r="D1354" s="3">
        <v>17.197419570663818</v>
      </c>
      <c r="E1354" s="3">
        <v>16.625926683463749</v>
      </c>
      <c r="F1354" s="3">
        <v>16.926712036132813</v>
      </c>
      <c r="G1354" s="3">
        <v>242500</v>
      </c>
      <c r="H1354" s="3">
        <v>0</v>
      </c>
      <c r="I1354" s="3">
        <v>0</v>
      </c>
      <c r="J1354" s="3" t="str">
        <v>AB</v>
      </c>
      <c r="K1354" s="23">
        <v>43959</v>
      </c>
      <c r="L1354" s="22">
        <v>17.144781112670898</v>
      </c>
    </row>
    <row r="1355" spans="1:12" x14ac:dyDescent="0.25">
      <c r="A1355" s="9">
        <v>1348</v>
      </c>
      <c r="B1355" s="10">
        <v>43963</v>
      </c>
      <c r="C1355" s="3">
        <v>16.979348963845833</v>
      </c>
      <c r="D1355" s="3">
        <v>17.107182915529989</v>
      </c>
      <c r="E1355" s="3">
        <v>16.076991489103822</v>
      </c>
      <c r="F1355" s="3">
        <v>16.122110366821289</v>
      </c>
      <c r="G1355" s="3">
        <v>342900</v>
      </c>
      <c r="H1355" s="3">
        <v>0</v>
      </c>
      <c r="I1355" s="3">
        <v>0</v>
      </c>
      <c r="J1355" s="3" t="str">
        <v>AB</v>
      </c>
      <c r="K1355" s="23">
        <v>43962</v>
      </c>
      <c r="L1355" s="22">
        <v>16.926712036132813</v>
      </c>
    </row>
    <row r="1356" spans="1:12" x14ac:dyDescent="0.25">
      <c r="A1356" s="9">
        <v>1349</v>
      </c>
      <c r="B1356" s="10">
        <v>43964</v>
      </c>
      <c r="C1356" s="3">
        <v>16.19730925173587</v>
      </c>
      <c r="D1356" s="3">
        <v>16.234906887325419</v>
      </c>
      <c r="E1356" s="3">
        <v>15.52054033706111</v>
      </c>
      <c r="F1356" s="3">
        <v>15.90404224395752</v>
      </c>
      <c r="G1356" s="3">
        <v>396300</v>
      </c>
      <c r="H1356" s="3">
        <v>0</v>
      </c>
      <c r="I1356" s="3">
        <v>0</v>
      </c>
      <c r="J1356" s="3" t="str">
        <v>AB</v>
      </c>
      <c r="K1356" s="23">
        <v>43963</v>
      </c>
      <c r="L1356" s="22">
        <v>16.122110366821289</v>
      </c>
    </row>
    <row r="1357" spans="1:12" x14ac:dyDescent="0.25">
      <c r="A1357" s="9">
        <v>1350</v>
      </c>
      <c r="B1357" s="10">
        <v>43965</v>
      </c>
      <c r="C1357" s="3">
        <v>15.528060755564489</v>
      </c>
      <c r="D1357" s="3">
        <v>16.249947147902549</v>
      </c>
      <c r="E1357" s="3">
        <v>15.069363559631118</v>
      </c>
      <c r="F1357" s="3">
        <v>16.204828262329102</v>
      </c>
      <c r="G1357" s="3">
        <v>477500</v>
      </c>
      <c r="H1357" s="3">
        <v>0</v>
      </c>
      <c r="I1357" s="3">
        <v>0</v>
      </c>
      <c r="J1357" s="3" t="str">
        <v>AB</v>
      </c>
      <c r="K1357" s="23">
        <v>43964</v>
      </c>
      <c r="L1357" s="22">
        <v>15.90404224395752</v>
      </c>
    </row>
    <row r="1358" spans="1:12" x14ac:dyDescent="0.25">
      <c r="A1358" s="9">
        <v>1351</v>
      </c>
      <c r="B1358" s="10">
        <v>43966</v>
      </c>
      <c r="C1358" s="3">
        <v>15.979237373971067</v>
      </c>
      <c r="D1358" s="3">
        <v>16.633446782237634</v>
      </c>
      <c r="E1358" s="3">
        <v>15.723569461246912</v>
      </c>
      <c r="F1358" s="3">
        <v>15.994277000427246</v>
      </c>
      <c r="G1358" s="3">
        <v>347200</v>
      </c>
      <c r="H1358" s="3">
        <v>0</v>
      </c>
      <c r="I1358" s="3">
        <v>0</v>
      </c>
      <c r="J1358" s="3" t="str">
        <v>AB</v>
      </c>
      <c r="K1358" s="23">
        <v>43965</v>
      </c>
      <c r="L1358" s="22">
        <v>16.204828262329102</v>
      </c>
    </row>
    <row r="1359" spans="1:12" x14ac:dyDescent="0.25">
      <c r="A1359" s="9">
        <v>1352</v>
      </c>
      <c r="B1359" s="10">
        <v>43969</v>
      </c>
      <c r="C1359" s="3">
        <v>16.618407096889484</v>
      </c>
      <c r="D1359" s="3">
        <v>17.317733947788607</v>
      </c>
      <c r="E1359" s="3">
        <v>16.415376443223732</v>
      </c>
      <c r="F1359" s="3">
        <v>17.144781112670898</v>
      </c>
      <c r="G1359" s="3">
        <v>645400</v>
      </c>
      <c r="H1359" s="3">
        <v>0</v>
      </c>
      <c r="I1359" s="3">
        <v>0</v>
      </c>
      <c r="J1359" s="3" t="str">
        <v>AB</v>
      </c>
      <c r="K1359" s="23">
        <v>43966</v>
      </c>
      <c r="L1359" s="22">
        <v>15.994277000427246</v>
      </c>
    </row>
    <row r="1360" spans="1:12" x14ac:dyDescent="0.25">
      <c r="A1360" s="9">
        <v>1353</v>
      </c>
      <c r="B1360" s="10">
        <v>43970</v>
      </c>
      <c r="C1360" s="3">
        <v>16.956788899932899</v>
      </c>
      <c r="D1360" s="3">
        <v>17.994500101060297</v>
      </c>
      <c r="E1360" s="3">
        <v>16.806396949191363</v>
      </c>
      <c r="F1360" s="3">
        <v>17.204936981201172</v>
      </c>
      <c r="G1360" s="3">
        <v>447000</v>
      </c>
      <c r="H1360" s="3">
        <v>0</v>
      </c>
      <c r="I1360" s="3">
        <v>0</v>
      </c>
      <c r="J1360" s="3" t="str">
        <v>AB</v>
      </c>
      <c r="K1360" s="23">
        <v>43969</v>
      </c>
      <c r="L1360" s="22">
        <v>17.144781112670898</v>
      </c>
    </row>
    <row r="1361" spans="1:12" x14ac:dyDescent="0.25">
      <c r="A1361" s="9">
        <v>1354</v>
      </c>
      <c r="B1361" s="10">
        <v>43971</v>
      </c>
      <c r="C1361" s="3">
        <v>17.498202844901535</v>
      </c>
      <c r="D1361" s="3">
        <v>18.159930542173655</v>
      </c>
      <c r="E1361" s="3">
        <v>17.498202844901535</v>
      </c>
      <c r="F1361" s="3">
        <v>17.814027786254883</v>
      </c>
      <c r="G1361" s="3">
        <v>313100</v>
      </c>
      <c r="H1361" s="3">
        <v>0</v>
      </c>
      <c r="I1361" s="3">
        <v>0</v>
      </c>
      <c r="J1361" s="3" t="str">
        <v>AB</v>
      </c>
      <c r="K1361" s="23">
        <v>43970</v>
      </c>
      <c r="L1361" s="22">
        <v>17.204936981201172</v>
      </c>
    </row>
    <row r="1362" spans="1:12" x14ac:dyDescent="0.25">
      <c r="A1362" s="9">
        <v>1355</v>
      </c>
      <c r="B1362" s="10">
        <v>43972</v>
      </c>
      <c r="C1362" s="3">
        <v>17.859144596402398</v>
      </c>
      <c r="D1362" s="3">
        <v>18.490794456868386</v>
      </c>
      <c r="E1362" s="3">
        <v>17.761389909684851</v>
      </c>
      <c r="F1362" s="3">
        <v>17.986978530883789</v>
      </c>
      <c r="G1362" s="3">
        <v>432700</v>
      </c>
      <c r="H1362" s="3">
        <v>0</v>
      </c>
      <c r="I1362" s="3">
        <v>0</v>
      </c>
      <c r="J1362" s="3" t="str">
        <v>AB</v>
      </c>
      <c r="K1362" s="23">
        <v>43971</v>
      </c>
      <c r="L1362" s="22">
        <v>17.814027786254883</v>
      </c>
    </row>
    <row r="1363" spans="1:12" x14ac:dyDescent="0.25">
      <c r="A1363" s="9">
        <v>1356</v>
      </c>
      <c r="B1363" s="10">
        <v>43973</v>
      </c>
      <c r="C1363" s="3">
        <v>17.806510803202581</v>
      </c>
      <c r="D1363" s="3">
        <v>18.295287200173618</v>
      </c>
      <c r="E1363" s="3">
        <v>17.738833916855757</v>
      </c>
      <c r="F1363" s="3">
        <v>18.25016975402832</v>
      </c>
      <c r="G1363" s="3">
        <v>350300</v>
      </c>
      <c r="H1363" s="3">
        <v>0</v>
      </c>
      <c r="I1363" s="3">
        <v>0</v>
      </c>
      <c r="J1363" s="3" t="str">
        <v>AB</v>
      </c>
      <c r="K1363" s="23">
        <v>43972</v>
      </c>
      <c r="L1363" s="22">
        <v>17.986978530883789</v>
      </c>
    </row>
    <row r="1364" spans="1:12" x14ac:dyDescent="0.25">
      <c r="A1364" s="9">
        <v>1357</v>
      </c>
      <c r="B1364" s="10">
        <v>43977</v>
      </c>
      <c r="C1364" s="3">
        <v>18.746463775634766</v>
      </c>
      <c r="D1364" s="3">
        <v>19.543545257673717</v>
      </c>
      <c r="E1364" s="3">
        <v>18.708864713022145</v>
      </c>
      <c r="F1364" s="3">
        <v>18.746463775634766</v>
      </c>
      <c r="G1364" s="3">
        <v>522700</v>
      </c>
      <c r="H1364" s="3">
        <v>0</v>
      </c>
      <c r="I1364" s="3">
        <v>0</v>
      </c>
      <c r="J1364" s="3" t="str">
        <v>AB</v>
      </c>
      <c r="K1364" s="23">
        <v>43973</v>
      </c>
      <c r="L1364" s="22">
        <v>18.25016975402832</v>
      </c>
    </row>
    <row r="1365" spans="1:12" x14ac:dyDescent="0.25">
      <c r="A1365" s="9">
        <v>1358</v>
      </c>
      <c r="B1365" s="10">
        <v>43978</v>
      </c>
      <c r="C1365" s="3">
        <v>19.175083266340792</v>
      </c>
      <c r="D1365" s="3">
        <v>19.70145867480613</v>
      </c>
      <c r="E1365" s="3">
        <v>19.099886574523229</v>
      </c>
      <c r="F1365" s="3">
        <v>19.603702545166016</v>
      </c>
      <c r="G1365" s="3">
        <v>538200</v>
      </c>
      <c r="H1365" s="3">
        <v>0</v>
      </c>
      <c r="I1365" s="3">
        <v>0</v>
      </c>
      <c r="J1365" s="3" t="str">
        <v>AB</v>
      </c>
      <c r="K1365" s="23">
        <v>43977</v>
      </c>
      <c r="L1365" s="22">
        <v>18.746463775634766</v>
      </c>
    </row>
    <row r="1366" spans="1:12" x14ac:dyDescent="0.25">
      <c r="A1366" s="9">
        <v>1359</v>
      </c>
      <c r="B1366" s="10">
        <v>43979</v>
      </c>
      <c r="C1366" s="3">
        <v>20.092481668653271</v>
      </c>
      <c r="D1366" s="3">
        <v>20.115041109594969</v>
      </c>
      <c r="E1366" s="3">
        <v>18.799103840742962</v>
      </c>
      <c r="F1366" s="3">
        <v>18.987094879150391</v>
      </c>
      <c r="G1366" s="3">
        <v>366700</v>
      </c>
      <c r="H1366" s="3">
        <v>0</v>
      </c>
      <c r="I1366" s="3">
        <v>0</v>
      </c>
      <c r="J1366" s="3" t="str">
        <v>AB</v>
      </c>
      <c r="K1366" s="23">
        <v>43978</v>
      </c>
      <c r="L1366" s="22">
        <v>19.603702545166016</v>
      </c>
    </row>
    <row r="1367" spans="1:12" x14ac:dyDescent="0.25">
      <c r="A1367" s="9">
        <v>1360</v>
      </c>
      <c r="B1367" s="10">
        <v>43980</v>
      </c>
      <c r="C1367" s="3">
        <v>18.799102102429895</v>
      </c>
      <c r="D1367" s="3">
        <v>19.280358657289646</v>
      </c>
      <c r="E1367" s="3">
        <v>18.310325734618253</v>
      </c>
      <c r="F1367" s="3">
        <v>18.776542663574219</v>
      </c>
      <c r="G1367" s="3">
        <v>511600</v>
      </c>
      <c r="H1367" s="3">
        <v>0</v>
      </c>
      <c r="I1367" s="3">
        <v>0</v>
      </c>
      <c r="J1367" s="3" t="str">
        <v>AB</v>
      </c>
      <c r="K1367" s="23">
        <v>43979</v>
      </c>
      <c r="L1367" s="22">
        <v>18.987094879150391</v>
      </c>
    </row>
    <row r="1368" spans="1:12" x14ac:dyDescent="0.25">
      <c r="A1368" s="9">
        <v>1361</v>
      </c>
      <c r="B1368" s="10">
        <v>43983</v>
      </c>
      <c r="C1368" s="3">
        <v>18.844220476701967</v>
      </c>
      <c r="D1368" s="3">
        <v>19.58114640555382</v>
      </c>
      <c r="E1368" s="3">
        <v>18.731426145367397</v>
      </c>
      <c r="F1368" s="3">
        <v>19.212682723999023</v>
      </c>
      <c r="G1368" s="3">
        <v>347100</v>
      </c>
      <c r="H1368" s="3">
        <v>0</v>
      </c>
      <c r="I1368" s="3">
        <v>0</v>
      </c>
      <c r="J1368" s="3" t="str">
        <v>AB</v>
      </c>
      <c r="K1368" s="23">
        <v>43980</v>
      </c>
      <c r="L1368" s="22">
        <v>18.776542663574219</v>
      </c>
    </row>
    <row r="1369" spans="1:12" x14ac:dyDescent="0.25">
      <c r="A1369" s="9">
        <v>1362</v>
      </c>
      <c r="B1369" s="10">
        <v>43984</v>
      </c>
      <c r="C1369" s="3">
        <v>19.317958873917423</v>
      </c>
      <c r="D1369" s="3">
        <v>19.693940938384632</v>
      </c>
      <c r="E1369" s="3">
        <v>19.317958873917423</v>
      </c>
      <c r="F1369" s="3">
        <v>19.551067352294922</v>
      </c>
      <c r="G1369" s="3">
        <v>318800</v>
      </c>
      <c r="H1369" s="3">
        <v>0</v>
      </c>
      <c r="I1369" s="3">
        <v>0</v>
      </c>
      <c r="J1369" s="3" t="str">
        <v>AB</v>
      </c>
      <c r="K1369" s="23">
        <v>43983</v>
      </c>
      <c r="L1369" s="22">
        <v>19.212682723999023</v>
      </c>
    </row>
    <row r="1370" spans="1:12" x14ac:dyDescent="0.25">
      <c r="A1370" s="9">
        <v>1363</v>
      </c>
      <c r="B1370" s="10">
        <v>43985</v>
      </c>
      <c r="C1370" s="3">
        <v>20.002245974363806</v>
      </c>
      <c r="D1370" s="3">
        <v>20.378228036159147</v>
      </c>
      <c r="E1370" s="3">
        <v>19.739058244255517</v>
      </c>
      <c r="F1370" s="3">
        <v>19.799215316772461</v>
      </c>
      <c r="G1370" s="3">
        <v>466500</v>
      </c>
      <c r="H1370" s="3">
        <v>0</v>
      </c>
      <c r="I1370" s="3">
        <v>0</v>
      </c>
      <c r="J1370" s="3" t="str">
        <v>AB</v>
      </c>
      <c r="K1370" s="23">
        <v>43984</v>
      </c>
      <c r="L1370" s="22">
        <v>19.551067352294922</v>
      </c>
    </row>
    <row r="1371" spans="1:12" x14ac:dyDescent="0.25">
      <c r="A1371" s="9">
        <v>1364</v>
      </c>
      <c r="B1371" s="10">
        <v>43986</v>
      </c>
      <c r="C1371" s="3">
        <v>19.739060125680336</v>
      </c>
      <c r="D1371" s="3">
        <v>19.949610616687096</v>
      </c>
      <c r="E1371" s="3">
        <v>19.205166235486669</v>
      </c>
      <c r="F1371" s="3">
        <v>19.761619567871094</v>
      </c>
      <c r="G1371" s="3">
        <v>298200</v>
      </c>
      <c r="H1371" s="3">
        <v>0</v>
      </c>
      <c r="I1371" s="3">
        <v>0</v>
      </c>
      <c r="J1371" s="3" t="str">
        <v>AB</v>
      </c>
      <c r="K1371" s="23">
        <v>43985</v>
      </c>
      <c r="L1371" s="22">
        <v>19.799215316772461</v>
      </c>
    </row>
    <row r="1372" spans="1:12" x14ac:dyDescent="0.25">
      <c r="A1372" s="9">
        <v>1365</v>
      </c>
      <c r="B1372" s="10">
        <v>43987</v>
      </c>
      <c r="C1372" s="3">
        <v>20.603815991521</v>
      </c>
      <c r="D1372" s="3">
        <v>20.799326829047136</v>
      </c>
      <c r="E1372" s="3">
        <v>19.686420308597764</v>
      </c>
      <c r="F1372" s="3">
        <v>19.776655197143555</v>
      </c>
      <c r="G1372" s="3">
        <v>590800</v>
      </c>
      <c r="H1372" s="3">
        <v>0</v>
      </c>
      <c r="I1372" s="3">
        <v>0</v>
      </c>
      <c r="J1372" s="3" t="str">
        <v>AB</v>
      </c>
      <c r="K1372" s="23">
        <v>43986</v>
      </c>
      <c r="L1372" s="22">
        <v>19.761619567871094</v>
      </c>
    </row>
    <row r="1373" spans="1:12" x14ac:dyDescent="0.25">
      <c r="A1373" s="9">
        <v>1366</v>
      </c>
      <c r="B1373" s="10">
        <v>43990</v>
      </c>
      <c r="C1373" s="3">
        <v>20.318068706226864</v>
      </c>
      <c r="D1373" s="3">
        <v>20.438382837893393</v>
      </c>
      <c r="E1373" s="3">
        <v>19.731536238659348</v>
      </c>
      <c r="F1373" s="3">
        <v>20.062400817871094</v>
      </c>
      <c r="G1373" s="3">
        <v>477700</v>
      </c>
      <c r="H1373" s="3">
        <v>0</v>
      </c>
      <c r="I1373" s="3">
        <v>0</v>
      </c>
      <c r="J1373" s="3" t="str">
        <v>AB</v>
      </c>
      <c r="K1373" s="23">
        <v>43987</v>
      </c>
      <c r="L1373" s="22">
        <v>19.776655197143555</v>
      </c>
    </row>
    <row r="1374" spans="1:12" x14ac:dyDescent="0.25">
      <c r="A1374" s="9">
        <v>1367</v>
      </c>
      <c r="B1374" s="10">
        <v>43991</v>
      </c>
      <c r="C1374" s="3">
        <v>19.92704757503267</v>
      </c>
      <c r="D1374" s="3">
        <v>20.370706484840046</v>
      </c>
      <c r="E1374" s="3">
        <v>19.430751410546051</v>
      </c>
      <c r="F1374" s="3">
        <v>19.979684829711914</v>
      </c>
      <c r="G1374" s="3">
        <v>461500</v>
      </c>
      <c r="H1374" s="3">
        <v>0</v>
      </c>
      <c r="I1374" s="3">
        <v>0</v>
      </c>
      <c r="J1374" s="3" t="str">
        <v>AB</v>
      </c>
      <c r="K1374" s="23">
        <v>43990</v>
      </c>
      <c r="L1374" s="22">
        <v>20.062400817871094</v>
      </c>
    </row>
    <row r="1375" spans="1:12" x14ac:dyDescent="0.25">
      <c r="A1375" s="9">
        <v>1368</v>
      </c>
      <c r="B1375" s="10">
        <v>43992</v>
      </c>
      <c r="C1375" s="3">
        <v>20.197756098901539</v>
      </c>
      <c r="D1375" s="3">
        <v>20.197756098901539</v>
      </c>
      <c r="E1375" s="3">
        <v>19.408192936711185</v>
      </c>
      <c r="F1375" s="3">
        <v>19.739057540893555</v>
      </c>
      <c r="G1375" s="3">
        <v>330400</v>
      </c>
      <c r="H1375" s="3">
        <v>0</v>
      </c>
      <c r="I1375" s="3">
        <v>0</v>
      </c>
      <c r="J1375" s="3" t="str">
        <v>AB</v>
      </c>
      <c r="K1375" s="23">
        <v>43991</v>
      </c>
      <c r="L1375" s="22">
        <v>19.979684829711914</v>
      </c>
    </row>
    <row r="1376" spans="1:12" x14ac:dyDescent="0.25">
      <c r="A1376" s="9">
        <v>1369</v>
      </c>
      <c r="B1376" s="10">
        <v>43993</v>
      </c>
      <c r="C1376" s="3">
        <v>18.919414732497117</v>
      </c>
      <c r="D1376" s="3">
        <v>19.340514184420627</v>
      </c>
      <c r="E1376" s="3">
        <v>18.159930896009815</v>
      </c>
      <c r="F1376" s="3">
        <v>18.423118591308594</v>
      </c>
      <c r="G1376" s="3">
        <v>670200</v>
      </c>
      <c r="H1376" s="3">
        <v>0</v>
      </c>
      <c r="I1376" s="3">
        <v>0</v>
      </c>
      <c r="J1376" s="3" t="str">
        <v>AB</v>
      </c>
      <c r="K1376" s="23">
        <v>43992</v>
      </c>
      <c r="L1376" s="22">
        <v>19.739057540893555</v>
      </c>
    </row>
    <row r="1377" spans="1:12" x14ac:dyDescent="0.25">
      <c r="A1377" s="9">
        <v>1370</v>
      </c>
      <c r="B1377" s="10">
        <v>43994</v>
      </c>
      <c r="C1377" s="3">
        <v>18.844218908822892</v>
      </c>
      <c r="D1377" s="3">
        <v>19.325476881670571</v>
      </c>
      <c r="E1377" s="3">
        <v>18.716384961477704</v>
      </c>
      <c r="F1377" s="3">
        <v>19.107406616210938</v>
      </c>
      <c r="G1377" s="3">
        <v>322100</v>
      </c>
      <c r="H1377" s="3">
        <v>0</v>
      </c>
      <c r="I1377" s="3">
        <v>0</v>
      </c>
      <c r="J1377" s="3" t="str">
        <v>AB</v>
      </c>
      <c r="K1377" s="23">
        <v>43993</v>
      </c>
      <c r="L1377" s="22">
        <v>18.423118591308594</v>
      </c>
    </row>
    <row r="1378" spans="1:12" x14ac:dyDescent="0.25">
      <c r="A1378" s="9">
        <v>1371</v>
      </c>
      <c r="B1378" s="10">
        <v>43997</v>
      </c>
      <c r="C1378" s="3">
        <v>18.588553230669802</v>
      </c>
      <c r="D1378" s="3">
        <v>19.739058893965147</v>
      </c>
      <c r="E1378" s="3">
        <v>18.35544474627611</v>
      </c>
      <c r="F1378" s="3">
        <v>19.430753707885742</v>
      </c>
      <c r="G1378" s="3">
        <v>266000</v>
      </c>
      <c r="H1378" s="3">
        <v>0</v>
      </c>
      <c r="I1378" s="3">
        <v>0</v>
      </c>
      <c r="J1378" s="3" t="str">
        <v>AB</v>
      </c>
      <c r="K1378" s="23">
        <v>43994</v>
      </c>
      <c r="L1378" s="22">
        <v>19.107406616210938</v>
      </c>
    </row>
    <row r="1379" spans="1:12" x14ac:dyDescent="0.25">
      <c r="A1379" s="9">
        <v>1372</v>
      </c>
      <c r="B1379" s="10">
        <v>43998</v>
      </c>
      <c r="C1379" s="3">
        <v>20.303034187346011</v>
      </c>
      <c r="D1379" s="3">
        <v>20.303034187346011</v>
      </c>
      <c r="E1379" s="3">
        <v>19.5811492157953</v>
      </c>
      <c r="F1379" s="3">
        <v>20.039846420288086</v>
      </c>
      <c r="G1379" s="3">
        <v>304900</v>
      </c>
      <c r="H1379" s="3">
        <v>0</v>
      </c>
      <c r="I1379" s="3">
        <v>0</v>
      </c>
      <c r="J1379" s="3" t="str">
        <v>AB</v>
      </c>
      <c r="K1379" s="23">
        <v>43997</v>
      </c>
      <c r="L1379" s="22">
        <v>19.430753707885742</v>
      </c>
    </row>
    <row r="1380" spans="1:12" x14ac:dyDescent="0.25">
      <c r="A1380" s="9">
        <v>1373</v>
      </c>
      <c r="B1380" s="10">
        <v>43999</v>
      </c>
      <c r="C1380" s="3">
        <v>20.30303350043685</v>
      </c>
      <c r="D1380" s="3">
        <v>20.558701444442242</v>
      </c>
      <c r="E1380" s="3">
        <v>20.100002821210587</v>
      </c>
      <c r="F1380" s="3">
        <v>20.212797164916992</v>
      </c>
      <c r="G1380" s="3">
        <v>426100</v>
      </c>
      <c r="H1380" s="3">
        <v>0</v>
      </c>
      <c r="I1380" s="3">
        <v>0</v>
      </c>
      <c r="J1380" s="3" t="str">
        <v>AB</v>
      </c>
      <c r="K1380" s="23">
        <v>43998</v>
      </c>
      <c r="L1380" s="22">
        <v>20.039846420288086</v>
      </c>
    </row>
    <row r="1381" spans="1:12" x14ac:dyDescent="0.25">
      <c r="A1381" s="9">
        <v>1374</v>
      </c>
      <c r="B1381" s="10">
        <v>44000</v>
      </c>
      <c r="C1381" s="3">
        <v>20.122561406812327</v>
      </c>
      <c r="D1381" s="3">
        <v>20.776769433007246</v>
      </c>
      <c r="E1381" s="3">
        <v>19.942090177715183</v>
      </c>
      <c r="F1381" s="3">
        <v>20.75421142578125</v>
      </c>
      <c r="G1381" s="3">
        <v>532300</v>
      </c>
      <c r="H1381" s="3">
        <v>0</v>
      </c>
      <c r="I1381" s="3">
        <v>0</v>
      </c>
      <c r="J1381" s="3" t="str">
        <v>AB</v>
      </c>
      <c r="K1381" s="23">
        <v>43999</v>
      </c>
      <c r="L1381" s="22">
        <v>20.212797164916992</v>
      </c>
    </row>
    <row r="1382" spans="1:12" x14ac:dyDescent="0.25">
      <c r="A1382" s="9">
        <v>1375</v>
      </c>
      <c r="B1382" s="10">
        <v>44001</v>
      </c>
      <c r="C1382" s="3">
        <v>21.054995314618804</v>
      </c>
      <c r="D1382" s="3">
        <v>21.062515127913525</v>
      </c>
      <c r="E1382" s="3">
        <v>19.9496085769341</v>
      </c>
      <c r="F1382" s="3">
        <v>20.04736328125</v>
      </c>
      <c r="G1382" s="3">
        <v>414800</v>
      </c>
      <c r="H1382" s="3">
        <v>0</v>
      </c>
      <c r="I1382" s="3">
        <v>0</v>
      </c>
      <c r="J1382" s="3" t="str">
        <v>AB</v>
      </c>
      <c r="K1382" s="23">
        <v>44000</v>
      </c>
      <c r="L1382" s="22">
        <v>20.75421142578125</v>
      </c>
    </row>
    <row r="1383" spans="1:12" x14ac:dyDescent="0.25">
      <c r="A1383" s="9">
        <v>1376</v>
      </c>
      <c r="B1383" s="10">
        <v>44004</v>
      </c>
      <c r="C1383" s="3">
        <v>20.047362392852033</v>
      </c>
      <c r="D1383" s="3">
        <v>20.25039304003899</v>
      </c>
      <c r="E1383" s="3">
        <v>19.836811932703593</v>
      </c>
      <c r="F1383" s="3">
        <v>20.00224494934082</v>
      </c>
      <c r="G1383" s="3">
        <v>328000</v>
      </c>
      <c r="H1383" s="3">
        <v>0</v>
      </c>
      <c r="I1383" s="3">
        <v>0</v>
      </c>
      <c r="J1383" s="3" t="str">
        <v>AB</v>
      </c>
      <c r="K1383" s="23">
        <v>44001</v>
      </c>
      <c r="L1383" s="22">
        <v>20.04736328125</v>
      </c>
    </row>
    <row r="1384" spans="1:12" x14ac:dyDescent="0.25">
      <c r="A1384" s="9">
        <v>1377</v>
      </c>
      <c r="B1384" s="10">
        <v>44005</v>
      </c>
      <c r="C1384" s="3">
        <v>20.385744790293622</v>
      </c>
      <c r="D1384" s="3">
        <v>20.491019292835691</v>
      </c>
      <c r="E1384" s="3">
        <v>19.633780779547358</v>
      </c>
      <c r="F1384" s="3">
        <v>19.648818969726563</v>
      </c>
      <c r="G1384" s="3">
        <v>462200</v>
      </c>
      <c r="H1384" s="3">
        <v>0</v>
      </c>
      <c r="I1384" s="3">
        <v>0</v>
      </c>
      <c r="J1384" s="3" t="str">
        <v>AB</v>
      </c>
      <c r="K1384" s="23">
        <v>44004</v>
      </c>
      <c r="L1384" s="22">
        <v>20.00224494934082</v>
      </c>
    </row>
    <row r="1385" spans="1:12" x14ac:dyDescent="0.25">
      <c r="A1385" s="9">
        <v>1378</v>
      </c>
      <c r="B1385" s="10">
        <v>44006</v>
      </c>
      <c r="C1385" s="3">
        <v>19.460828624746974</v>
      </c>
      <c r="D1385" s="3">
        <v>19.513467312054537</v>
      </c>
      <c r="E1385" s="3">
        <v>18.784061279054505</v>
      </c>
      <c r="F1385" s="3">
        <v>18.836698532104492</v>
      </c>
      <c r="G1385" s="3">
        <v>776500</v>
      </c>
      <c r="H1385" s="3">
        <v>0</v>
      </c>
      <c r="I1385" s="3">
        <v>0</v>
      </c>
      <c r="J1385" s="3" t="str">
        <v>AB</v>
      </c>
      <c r="K1385" s="23">
        <v>44005</v>
      </c>
      <c r="L1385" s="22">
        <v>19.648818969726563</v>
      </c>
    </row>
    <row r="1386" spans="1:12" x14ac:dyDescent="0.25">
      <c r="A1386" s="9">
        <v>1379</v>
      </c>
      <c r="B1386" s="10">
        <v>44007</v>
      </c>
      <c r="C1386" s="3">
        <v>18.746464582105379</v>
      </c>
      <c r="D1386" s="3">
        <v>19.41571214856754</v>
      </c>
      <c r="E1386" s="3">
        <v>18.611110819392213</v>
      </c>
      <c r="F1386" s="3">
        <v>19.393154144287109</v>
      </c>
      <c r="G1386" s="3">
        <v>458500</v>
      </c>
      <c r="H1386" s="3">
        <v>0</v>
      </c>
      <c r="I1386" s="3">
        <v>0</v>
      </c>
      <c r="J1386" s="3" t="str">
        <v>AB</v>
      </c>
      <c r="K1386" s="23">
        <v>44006</v>
      </c>
      <c r="L1386" s="22">
        <v>18.836698532104492</v>
      </c>
    </row>
    <row r="1387" spans="1:12" x14ac:dyDescent="0.25">
      <c r="A1387" s="9">
        <v>1380</v>
      </c>
      <c r="B1387" s="10">
        <v>44008</v>
      </c>
      <c r="C1387" s="3">
        <v>19.197644326541713</v>
      </c>
      <c r="D1387" s="3">
        <v>19.28787921694239</v>
      </c>
      <c r="E1387" s="3">
        <v>18.708866505550116</v>
      </c>
      <c r="F1387" s="3">
        <v>19.032211303710938</v>
      </c>
      <c r="G1387" s="3">
        <v>261500</v>
      </c>
      <c r="H1387" s="3">
        <v>0</v>
      </c>
      <c r="I1387" s="3">
        <v>0</v>
      </c>
      <c r="J1387" s="3" t="str">
        <v>AB</v>
      </c>
      <c r="K1387" s="23">
        <v>44007</v>
      </c>
      <c r="L1387" s="22">
        <v>19.393154144287109</v>
      </c>
    </row>
    <row r="1388" spans="1:12" x14ac:dyDescent="0.25">
      <c r="A1388" s="9">
        <v>1381</v>
      </c>
      <c r="B1388" s="10">
        <v>44011</v>
      </c>
      <c r="C1388" s="3">
        <v>19.002134245145967</v>
      </c>
      <c r="D1388" s="3">
        <v>19.904490356538624</v>
      </c>
      <c r="E1388" s="3">
        <v>18.957015363882999</v>
      </c>
      <c r="F1388" s="3">
        <v>19.874412536621094</v>
      </c>
      <c r="G1388" s="3">
        <v>294400</v>
      </c>
      <c r="H1388" s="3">
        <v>0</v>
      </c>
      <c r="I1388" s="3">
        <v>0</v>
      </c>
      <c r="J1388" s="3" t="str">
        <v>AB</v>
      </c>
      <c r="K1388" s="23">
        <v>44008</v>
      </c>
      <c r="L1388" s="22">
        <v>19.032211303710938</v>
      </c>
    </row>
    <row r="1389" spans="1:12" x14ac:dyDescent="0.25">
      <c r="A1389" s="9">
        <v>1382</v>
      </c>
      <c r="B1389" s="10">
        <v>44012</v>
      </c>
      <c r="C1389" s="3">
        <v>19.739055326764742</v>
      </c>
      <c r="D1389" s="3">
        <v>20.536136778367705</v>
      </c>
      <c r="E1389" s="3">
        <v>19.739055326764742</v>
      </c>
      <c r="F1389" s="3">
        <v>20.483499526977539</v>
      </c>
      <c r="G1389" s="3">
        <v>290300</v>
      </c>
      <c r="H1389" s="3">
        <v>0</v>
      </c>
      <c r="I1389" s="3">
        <v>0</v>
      </c>
      <c r="J1389" s="3" t="str">
        <v>AB</v>
      </c>
      <c r="K1389" s="23">
        <v>44011</v>
      </c>
      <c r="L1389" s="22">
        <v>19.874412536621094</v>
      </c>
    </row>
    <row r="1390" spans="1:12" x14ac:dyDescent="0.25">
      <c r="A1390" s="9">
        <v>1383</v>
      </c>
      <c r="B1390" s="10">
        <v>44013</v>
      </c>
      <c r="C1390" s="3">
        <v>20.333109363533584</v>
      </c>
      <c r="D1390" s="3">
        <v>20.378226806634686</v>
      </c>
      <c r="E1390" s="3">
        <v>19.71649761461611</v>
      </c>
      <c r="F1390" s="3">
        <v>20.017284393310547</v>
      </c>
      <c r="G1390" s="3">
        <v>203700</v>
      </c>
      <c r="H1390" s="3">
        <v>0</v>
      </c>
      <c r="I1390" s="3">
        <v>0</v>
      </c>
      <c r="J1390" s="3" t="str">
        <v>AB</v>
      </c>
      <c r="K1390" s="23">
        <v>44012</v>
      </c>
      <c r="L1390" s="22">
        <v>20.483499526977539</v>
      </c>
    </row>
    <row r="1391" spans="1:12" x14ac:dyDescent="0.25">
      <c r="A1391" s="9">
        <v>1384</v>
      </c>
      <c r="B1391" s="10">
        <v>44014</v>
      </c>
      <c r="C1391" s="3">
        <v>20.303028207376212</v>
      </c>
      <c r="D1391" s="3">
        <v>20.663970586841096</v>
      </c>
      <c r="E1391" s="3">
        <v>20.02480089346108</v>
      </c>
      <c r="F1391" s="3">
        <v>20.054880142211914</v>
      </c>
      <c r="G1391" s="3">
        <v>218100</v>
      </c>
      <c r="H1391" s="3">
        <v>0</v>
      </c>
      <c r="I1391" s="3">
        <v>0</v>
      </c>
      <c r="J1391" s="3" t="str">
        <v>AB</v>
      </c>
      <c r="K1391" s="23">
        <v>44013</v>
      </c>
      <c r="L1391" s="22">
        <v>20.017284393310547</v>
      </c>
    </row>
    <row r="1392" spans="1:12" x14ac:dyDescent="0.25">
      <c r="A1392" s="9">
        <v>1385</v>
      </c>
      <c r="B1392" s="10">
        <v>44018</v>
      </c>
      <c r="C1392" s="3">
        <v>20.39326701613707</v>
      </c>
      <c r="D1392" s="3">
        <v>20.506061344247165</v>
      </c>
      <c r="E1392" s="3">
        <v>20.100000041941584</v>
      </c>
      <c r="F1392" s="3">
        <v>20.16767692565918</v>
      </c>
      <c r="G1392" s="3">
        <v>165700</v>
      </c>
      <c r="H1392" s="3">
        <v>0</v>
      </c>
      <c r="I1392" s="3">
        <v>0</v>
      </c>
      <c r="J1392" s="3" t="str">
        <v>AB</v>
      </c>
      <c r="K1392" s="23">
        <v>44014</v>
      </c>
      <c r="L1392" s="22">
        <v>20.054880142211914</v>
      </c>
    </row>
    <row r="1393" spans="1:12" x14ac:dyDescent="0.25">
      <c r="A1393" s="9">
        <v>1386</v>
      </c>
      <c r="B1393" s="10">
        <v>44019</v>
      </c>
      <c r="C1393" s="3">
        <v>20.115038745808153</v>
      </c>
      <c r="D1393" s="3">
        <v>20.340627391684258</v>
      </c>
      <c r="E1393" s="3">
        <v>19.799213781027028</v>
      </c>
      <c r="F1393" s="3">
        <v>19.927047729492188</v>
      </c>
      <c r="G1393" s="3">
        <v>179200</v>
      </c>
      <c r="H1393" s="3">
        <v>0</v>
      </c>
      <c r="I1393" s="3">
        <v>0</v>
      </c>
      <c r="J1393" s="3" t="str">
        <v>AB</v>
      </c>
      <c r="K1393" s="23">
        <v>44018</v>
      </c>
      <c r="L1393" s="22">
        <v>20.16767692565918</v>
      </c>
    </row>
    <row r="1394" spans="1:12" x14ac:dyDescent="0.25">
      <c r="A1394" s="9">
        <v>1387</v>
      </c>
      <c r="B1394" s="10">
        <v>44020</v>
      </c>
      <c r="C1394" s="3">
        <v>20.115034469912867</v>
      </c>
      <c r="D1394" s="3">
        <v>20.55117347768461</v>
      </c>
      <c r="E1394" s="3">
        <v>19.994720359786683</v>
      </c>
      <c r="F1394" s="3">
        <v>20.528614044189453</v>
      </c>
      <c r="G1394" s="3">
        <v>150800</v>
      </c>
      <c r="H1394" s="3">
        <v>0</v>
      </c>
      <c r="I1394" s="3">
        <v>0</v>
      </c>
      <c r="J1394" s="3" t="str">
        <v>AB</v>
      </c>
      <c r="K1394" s="23">
        <v>44019</v>
      </c>
      <c r="L1394" s="22">
        <v>19.927047729492188</v>
      </c>
    </row>
    <row r="1395" spans="1:12" x14ac:dyDescent="0.25">
      <c r="A1395" s="9">
        <v>1388</v>
      </c>
      <c r="B1395" s="10">
        <v>44021</v>
      </c>
      <c r="C1395" s="3">
        <v>20.596296233032163</v>
      </c>
      <c r="D1395" s="3">
        <v>20.60381604614053</v>
      </c>
      <c r="E1395" s="3">
        <v>19.814254315112159</v>
      </c>
      <c r="F1395" s="3">
        <v>20.16767692565918</v>
      </c>
      <c r="G1395" s="3">
        <v>108700</v>
      </c>
      <c r="H1395" s="3">
        <v>0</v>
      </c>
      <c r="I1395" s="3">
        <v>0</v>
      </c>
      <c r="J1395" s="3" t="str">
        <v>AB</v>
      </c>
      <c r="K1395" s="23">
        <v>44020</v>
      </c>
      <c r="L1395" s="22">
        <v>20.528614044189453</v>
      </c>
    </row>
    <row r="1396" spans="1:12" x14ac:dyDescent="0.25">
      <c r="A1396" s="9">
        <v>1389</v>
      </c>
      <c r="B1396" s="10">
        <v>44022</v>
      </c>
      <c r="C1396" s="3">
        <v>20.1526369613022</v>
      </c>
      <c r="D1396" s="3">
        <v>20.596295887447781</v>
      </c>
      <c r="E1396" s="3">
        <v>20.062402074031251</v>
      </c>
      <c r="F1396" s="3">
        <v>20.235353469848633</v>
      </c>
      <c r="G1396" s="3">
        <v>142400</v>
      </c>
      <c r="H1396" s="3">
        <v>0</v>
      </c>
      <c r="I1396" s="3">
        <v>0</v>
      </c>
      <c r="J1396" s="3" t="str">
        <v>AB</v>
      </c>
      <c r="K1396" s="23">
        <v>44021</v>
      </c>
      <c r="L1396" s="22">
        <v>20.16767692565918</v>
      </c>
    </row>
    <row r="1397" spans="1:12" x14ac:dyDescent="0.25">
      <c r="A1397" s="9">
        <v>1390</v>
      </c>
      <c r="B1397" s="10">
        <v>44025</v>
      </c>
      <c r="C1397" s="3">
        <v>20.776766591221044</v>
      </c>
      <c r="D1397" s="3">
        <v>20.776766591221044</v>
      </c>
      <c r="E1397" s="3">
        <v>20.333109110117235</v>
      </c>
      <c r="F1397" s="3">
        <v>20.355667114257813</v>
      </c>
      <c r="G1397" s="3">
        <v>589500</v>
      </c>
      <c r="H1397" s="3">
        <v>0</v>
      </c>
      <c r="I1397" s="3">
        <v>0</v>
      </c>
      <c r="J1397" s="3" t="str">
        <v>AB</v>
      </c>
      <c r="K1397" s="23">
        <v>44022</v>
      </c>
      <c r="L1397" s="22">
        <v>20.235353469848633</v>
      </c>
    </row>
    <row r="1398" spans="1:12" x14ac:dyDescent="0.25">
      <c r="A1398" s="9">
        <v>1391</v>
      </c>
      <c r="B1398" s="10">
        <v>44026</v>
      </c>
      <c r="C1398" s="3">
        <v>20.558697679678573</v>
      </c>
      <c r="D1398" s="3">
        <v>21.047474035738887</v>
      </c>
      <c r="E1398" s="3">
        <v>20.378226475945119</v>
      </c>
      <c r="F1398" s="3">
        <v>20.957239151000977</v>
      </c>
      <c r="G1398" s="3">
        <v>574200</v>
      </c>
      <c r="H1398" s="3">
        <v>0</v>
      </c>
      <c r="I1398" s="3">
        <v>0</v>
      </c>
      <c r="J1398" s="3" t="str">
        <v>AB</v>
      </c>
      <c r="K1398" s="23">
        <v>44025</v>
      </c>
      <c r="L1398" s="22">
        <v>20.355667114257813</v>
      </c>
    </row>
    <row r="1399" spans="1:12" x14ac:dyDescent="0.25">
      <c r="A1399" s="9">
        <v>1392</v>
      </c>
      <c r="B1399" s="10">
        <v>44027</v>
      </c>
      <c r="C1399" s="3">
        <v>21.2204298518547</v>
      </c>
      <c r="D1399" s="3">
        <v>21.649050663642949</v>
      </c>
      <c r="E1399" s="3">
        <v>21.137714762639089</v>
      </c>
      <c r="F1399" s="3">
        <v>21.5362548828125</v>
      </c>
      <c r="G1399" s="3">
        <v>615200</v>
      </c>
      <c r="H1399" s="3">
        <v>0</v>
      </c>
      <c r="I1399" s="3">
        <v>0</v>
      </c>
      <c r="J1399" s="3" t="str">
        <v>AB</v>
      </c>
      <c r="K1399" s="23">
        <v>44026</v>
      </c>
      <c r="L1399" s="22">
        <v>20.957239151000977</v>
      </c>
    </row>
    <row r="1400" spans="1:12" x14ac:dyDescent="0.25">
      <c r="A1400" s="9">
        <v>1393</v>
      </c>
      <c r="B1400" s="10">
        <v>44028</v>
      </c>
      <c r="C1400" s="3">
        <v>21.498655502703485</v>
      </c>
      <c r="D1400" s="3">
        <v>21.754323432481094</v>
      </c>
      <c r="E1400" s="3">
        <v>21.288105021046096</v>
      </c>
      <c r="F1400" s="3">
        <v>21.483615875244141</v>
      </c>
      <c r="G1400" s="3">
        <v>185300</v>
      </c>
      <c r="H1400" s="3">
        <v>0</v>
      </c>
      <c r="I1400" s="3">
        <v>0</v>
      </c>
      <c r="J1400" s="3" t="str">
        <v>AB</v>
      </c>
      <c r="K1400" s="23">
        <v>44027</v>
      </c>
      <c r="L1400" s="22">
        <v>21.5362548828125</v>
      </c>
    </row>
    <row r="1401" spans="1:12" x14ac:dyDescent="0.25">
      <c r="A1401" s="9">
        <v>1394</v>
      </c>
      <c r="B1401" s="10">
        <v>44029</v>
      </c>
      <c r="C1401" s="3">
        <v>21.453538022359083</v>
      </c>
      <c r="D1401" s="3">
        <v>21.558812545900743</v>
      </c>
      <c r="E1401" s="3">
        <v>20.987319611624368</v>
      </c>
      <c r="F1401" s="3">
        <v>21.250507354736328</v>
      </c>
      <c r="G1401" s="3">
        <v>257800</v>
      </c>
      <c r="H1401" s="3">
        <v>0</v>
      </c>
      <c r="I1401" s="3">
        <v>0</v>
      </c>
      <c r="J1401" s="3" t="str">
        <v>AB</v>
      </c>
      <c r="K1401" s="23">
        <v>44028</v>
      </c>
      <c r="L1401" s="22">
        <v>21.483615875244141</v>
      </c>
    </row>
    <row r="1402" spans="1:12" x14ac:dyDescent="0.25">
      <c r="A1402" s="9">
        <v>1395</v>
      </c>
      <c r="B1402" s="10">
        <v>44032</v>
      </c>
      <c r="C1402" s="3">
        <v>21.250505052175154</v>
      </c>
      <c r="D1402" s="3">
        <v>21.303142308242563</v>
      </c>
      <c r="E1402" s="3">
        <v>20.979797524676851</v>
      </c>
      <c r="F1402" s="3">
        <v>21.085073471069336</v>
      </c>
      <c r="G1402" s="3">
        <v>272400</v>
      </c>
      <c r="H1402" s="3">
        <v>0</v>
      </c>
      <c r="I1402" s="3">
        <v>0</v>
      </c>
      <c r="J1402" s="3" t="str">
        <v>AB</v>
      </c>
      <c r="K1402" s="23">
        <v>44029</v>
      </c>
      <c r="L1402" s="22">
        <v>21.250507354736328</v>
      </c>
    </row>
    <row r="1403" spans="1:12" x14ac:dyDescent="0.25">
      <c r="A1403" s="9">
        <v>1396</v>
      </c>
      <c r="B1403" s="10">
        <v>44033</v>
      </c>
      <c r="C1403" s="3">
        <v>21.355779862032726</v>
      </c>
      <c r="D1403" s="3">
        <v>21.837037854767594</v>
      </c>
      <c r="E1403" s="3">
        <v>21.258025161438677</v>
      </c>
      <c r="F1403" s="3">
        <v>21.694164276123047</v>
      </c>
      <c r="G1403" s="3">
        <v>232700</v>
      </c>
      <c r="H1403" s="3">
        <v>0</v>
      </c>
      <c r="I1403" s="3">
        <v>0</v>
      </c>
      <c r="J1403" s="3" t="str">
        <v>AB</v>
      </c>
      <c r="K1403" s="23">
        <v>44032</v>
      </c>
      <c r="L1403" s="22">
        <v>21.085073471069336</v>
      </c>
    </row>
    <row r="1404" spans="1:12" x14ac:dyDescent="0.25">
      <c r="A1404" s="9">
        <v>1397</v>
      </c>
      <c r="B1404" s="10">
        <v>44034</v>
      </c>
      <c r="C1404" s="3">
        <v>21.731762818596646</v>
      </c>
      <c r="D1404" s="3">
        <v>22.032548180263412</v>
      </c>
      <c r="E1404" s="3">
        <v>21.664085932939408</v>
      </c>
      <c r="F1404" s="3">
        <v>21.776880264282227</v>
      </c>
      <c r="G1404" s="3">
        <v>259500</v>
      </c>
      <c r="H1404" s="3">
        <v>0</v>
      </c>
      <c r="I1404" s="3">
        <v>0</v>
      </c>
      <c r="J1404" s="3" t="str">
        <v>AB</v>
      </c>
      <c r="K1404" s="23">
        <v>44033</v>
      </c>
      <c r="L1404" s="22">
        <v>21.694164276123047</v>
      </c>
    </row>
    <row r="1405" spans="1:12" x14ac:dyDescent="0.25">
      <c r="A1405" s="9">
        <v>1398</v>
      </c>
      <c r="B1405" s="10">
        <v>44035</v>
      </c>
      <c r="C1405" s="3">
        <v>21.054991770971878</v>
      </c>
      <c r="D1405" s="3">
        <v>21.791916138734095</v>
      </c>
      <c r="E1405" s="3">
        <v>20.942197459050313</v>
      </c>
      <c r="F1405" s="3">
        <v>21.491130828857422</v>
      </c>
      <c r="G1405" s="3">
        <v>378300</v>
      </c>
      <c r="H1405" s="3">
        <v>0</v>
      </c>
      <c r="I1405" s="3">
        <v>0</v>
      </c>
      <c r="J1405" s="3" t="str">
        <v>AB</v>
      </c>
      <c r="K1405" s="23">
        <v>44034</v>
      </c>
      <c r="L1405" s="22">
        <v>21.776880264282227</v>
      </c>
    </row>
    <row r="1406" spans="1:12" x14ac:dyDescent="0.25">
      <c r="A1406" s="9">
        <v>1399</v>
      </c>
      <c r="B1406" s="10">
        <v>44036</v>
      </c>
      <c r="C1406" s="3">
        <v>21.115154798666413</v>
      </c>
      <c r="D1406" s="3">
        <v>21.536254351468095</v>
      </c>
      <c r="E1406" s="3">
        <v>21.115154798666413</v>
      </c>
      <c r="F1406" s="3">
        <v>21.227949142456055</v>
      </c>
      <c r="G1406" s="3">
        <v>209200</v>
      </c>
      <c r="H1406" s="3">
        <v>0</v>
      </c>
      <c r="I1406" s="3">
        <v>0</v>
      </c>
      <c r="J1406" s="3" t="str">
        <v>AB</v>
      </c>
      <c r="K1406" s="23">
        <v>44035</v>
      </c>
      <c r="L1406" s="22">
        <v>21.491130828857422</v>
      </c>
    </row>
    <row r="1407" spans="1:12" x14ac:dyDescent="0.25">
      <c r="A1407" s="9">
        <v>1400</v>
      </c>
      <c r="B1407" s="10">
        <v>44039</v>
      </c>
      <c r="C1407" s="3">
        <v>21.408416909006643</v>
      </c>
      <c r="D1407" s="3">
        <v>21.679124437625653</v>
      </c>
      <c r="E1407" s="3">
        <v>21.137710814645295</v>
      </c>
      <c r="F1407" s="3">
        <v>21.513692855834961</v>
      </c>
      <c r="G1407" s="3">
        <v>210000</v>
      </c>
      <c r="H1407" s="3">
        <v>0</v>
      </c>
      <c r="I1407" s="3">
        <v>0</v>
      </c>
      <c r="J1407" s="3" t="str">
        <v>AB</v>
      </c>
      <c r="K1407" s="23">
        <v>44036</v>
      </c>
      <c r="L1407" s="22">
        <v>21.227949142456055</v>
      </c>
    </row>
    <row r="1408" spans="1:12" x14ac:dyDescent="0.25">
      <c r="A1408" s="9">
        <v>1401</v>
      </c>
      <c r="B1408" s="10">
        <v>44040</v>
      </c>
      <c r="C1408" s="3">
        <v>21.566327514890965</v>
      </c>
      <c r="D1408" s="3">
        <v>21.897192072884049</v>
      </c>
      <c r="E1408" s="3">
        <v>21.43097376688209</v>
      </c>
      <c r="F1408" s="3">
        <v>21.491130828857422</v>
      </c>
      <c r="G1408" s="3">
        <v>217100</v>
      </c>
      <c r="H1408" s="3">
        <v>0</v>
      </c>
      <c r="I1408" s="3">
        <v>0</v>
      </c>
      <c r="J1408" s="3" t="str">
        <v>AB</v>
      </c>
      <c r="K1408" s="23">
        <v>44039</v>
      </c>
      <c r="L1408" s="22">
        <v>21.513692855834961</v>
      </c>
    </row>
    <row r="1409" spans="1:12" x14ac:dyDescent="0.25">
      <c r="A1409" s="9">
        <v>1402</v>
      </c>
      <c r="B1409" s="10">
        <v>44041</v>
      </c>
      <c r="C1409" s="3">
        <v>21.709205323398606</v>
      </c>
      <c r="D1409" s="3">
        <v>22.040068511883792</v>
      </c>
      <c r="E1409" s="3">
        <v>21.634008622649148</v>
      </c>
      <c r="F1409" s="3">
        <v>22.009990692138672</v>
      </c>
      <c r="G1409" s="3">
        <v>298900</v>
      </c>
      <c r="H1409" s="3">
        <v>0</v>
      </c>
      <c r="I1409" s="3">
        <v>0</v>
      </c>
      <c r="J1409" s="3" t="str">
        <v>AB</v>
      </c>
      <c r="K1409" s="23">
        <v>44040</v>
      </c>
      <c r="L1409" s="22">
        <v>21.491130828857422</v>
      </c>
    </row>
    <row r="1410" spans="1:12" x14ac:dyDescent="0.25">
      <c r="A1410" s="9">
        <v>1403</v>
      </c>
      <c r="B1410" s="10">
        <v>44042</v>
      </c>
      <c r="C1410" s="3">
        <v>21.912232308240586</v>
      </c>
      <c r="D1410" s="3">
        <v>22.100223323745073</v>
      </c>
      <c r="E1410" s="3">
        <v>21.626486595747121</v>
      </c>
      <c r="F1410" s="3">
        <v>21.91975212097168</v>
      </c>
      <c r="G1410" s="3">
        <v>257700</v>
      </c>
      <c r="H1410" s="3">
        <v>0</v>
      </c>
      <c r="I1410" s="3">
        <v>0</v>
      </c>
      <c r="J1410" s="3" t="str">
        <v>AB</v>
      </c>
      <c r="K1410" s="23">
        <v>44041</v>
      </c>
      <c r="L1410" s="22">
        <v>22.009990692138672</v>
      </c>
    </row>
    <row r="1411" spans="1:12" x14ac:dyDescent="0.25">
      <c r="A1411" s="9">
        <v>1404</v>
      </c>
      <c r="B1411" s="10">
        <v>44043</v>
      </c>
      <c r="C1411" s="3">
        <v>22.011917190481984</v>
      </c>
      <c r="D1411" s="3">
        <v>22.119441788809493</v>
      </c>
      <c r="E1411" s="3">
        <v>21.343726522428494</v>
      </c>
      <c r="F1411" s="3">
        <v>21.819908142089844</v>
      </c>
      <c r="G1411" s="3">
        <v>320100</v>
      </c>
      <c r="H1411" s="3">
        <v>0.61</v>
      </c>
      <c r="I1411" s="3">
        <v>0</v>
      </c>
      <c r="J1411" s="3" t="str">
        <v>AB</v>
      </c>
      <c r="K1411" s="23">
        <v>44042</v>
      </c>
      <c r="L1411" s="22">
        <v>21.91975212097168</v>
      </c>
    </row>
    <row r="1412" spans="1:12" x14ac:dyDescent="0.25">
      <c r="A1412" s="9">
        <v>1405</v>
      </c>
      <c r="B1412" s="10">
        <v>44046</v>
      </c>
      <c r="C1412" s="3">
        <v>21.666300530233631</v>
      </c>
      <c r="D1412" s="3">
        <v>21.796866743019319</v>
      </c>
      <c r="E1412" s="3">
        <v>21.359086342771075</v>
      </c>
      <c r="F1412" s="3">
        <v>21.681661605834961</v>
      </c>
      <c r="G1412" s="3">
        <v>378600</v>
      </c>
      <c r="H1412" s="3">
        <v>0</v>
      </c>
      <c r="I1412" s="3">
        <v>0</v>
      </c>
      <c r="J1412" s="3" t="str">
        <v>AB</v>
      </c>
      <c r="K1412" s="23">
        <v>44043</v>
      </c>
      <c r="L1412" s="22">
        <v>21.819908142089844</v>
      </c>
    </row>
    <row r="1413" spans="1:12" x14ac:dyDescent="0.25">
      <c r="A1413" s="9">
        <v>1406</v>
      </c>
      <c r="B1413" s="10">
        <v>44047</v>
      </c>
      <c r="C1413" s="3">
        <v>21.681660263061097</v>
      </c>
      <c r="D1413" s="3">
        <v>21.819907005085646</v>
      </c>
      <c r="E1413" s="3">
        <v>21.120994222550621</v>
      </c>
      <c r="F1413" s="3">
        <v>21.205478668212891</v>
      </c>
      <c r="G1413" s="3">
        <v>286500</v>
      </c>
      <c r="H1413" s="3">
        <v>0</v>
      </c>
      <c r="I1413" s="3">
        <v>0</v>
      </c>
      <c r="J1413" s="3" t="str">
        <v>AB</v>
      </c>
      <c r="K1413" s="23">
        <v>44046</v>
      </c>
      <c r="L1413" s="22">
        <v>21.681661605834961</v>
      </c>
    </row>
    <row r="1414" spans="1:12" x14ac:dyDescent="0.25">
      <c r="A1414" s="9">
        <v>1407</v>
      </c>
      <c r="B1414" s="10">
        <v>44048</v>
      </c>
      <c r="C1414" s="3">
        <v>21.351404901001175</v>
      </c>
      <c r="D1414" s="3">
        <v>21.458930960745263</v>
      </c>
      <c r="E1414" s="3">
        <v>21.059551801496333</v>
      </c>
      <c r="F1414" s="3">
        <v>21.366765975952148</v>
      </c>
      <c r="G1414" s="3">
        <v>301500</v>
      </c>
      <c r="H1414" s="3">
        <v>0</v>
      </c>
      <c r="I1414" s="3">
        <v>0</v>
      </c>
      <c r="J1414" s="3" t="str">
        <v>AB</v>
      </c>
      <c r="K1414" s="23">
        <v>44047</v>
      </c>
      <c r="L1414" s="22">
        <v>21.205478668212891</v>
      </c>
    </row>
    <row r="1415" spans="1:12" x14ac:dyDescent="0.25">
      <c r="A1415" s="9">
        <v>1408</v>
      </c>
      <c r="B1415" s="10">
        <v>44049</v>
      </c>
      <c r="C1415" s="3">
        <v>21.359086442312254</v>
      </c>
      <c r="D1415" s="3">
        <v>21.466612507109861</v>
      </c>
      <c r="E1415" s="3">
        <v>20.975068339966196</v>
      </c>
      <c r="F1415" s="3">
        <v>21.051872253417969</v>
      </c>
      <c r="G1415" s="3">
        <v>229500</v>
      </c>
      <c r="H1415" s="3">
        <v>0</v>
      </c>
      <c r="I1415" s="3">
        <v>0</v>
      </c>
      <c r="J1415" s="3" t="str">
        <v>AB</v>
      </c>
      <c r="K1415" s="23">
        <v>44048</v>
      </c>
      <c r="L1415" s="22">
        <v>21.366765975952148</v>
      </c>
    </row>
    <row r="1416" spans="1:12" x14ac:dyDescent="0.25">
      <c r="A1416" s="9">
        <v>1409</v>
      </c>
      <c r="B1416" s="10">
        <v>44050</v>
      </c>
      <c r="C1416" s="3">
        <v>20.967387094260832</v>
      </c>
      <c r="D1416" s="3">
        <v>21.566455841064453</v>
      </c>
      <c r="E1416" s="3">
        <v>20.936666408864951</v>
      </c>
      <c r="F1416" s="3">
        <v>21.566455841064453</v>
      </c>
      <c r="G1416" s="3">
        <v>220000</v>
      </c>
      <c r="H1416" s="3">
        <v>0</v>
      </c>
      <c r="I1416" s="3">
        <v>0</v>
      </c>
      <c r="J1416" s="3" t="str">
        <v>AB</v>
      </c>
      <c r="K1416" s="23">
        <v>44049</v>
      </c>
      <c r="L1416" s="22">
        <v>21.051872253417969</v>
      </c>
    </row>
    <row r="1417" spans="1:12" x14ac:dyDescent="0.25">
      <c r="A1417" s="9">
        <v>1410</v>
      </c>
      <c r="B1417" s="10">
        <v>44053</v>
      </c>
      <c r="C1417" s="3">
        <v>21.735421152369266</v>
      </c>
      <c r="D1417" s="3">
        <v>21.850627739873566</v>
      </c>
      <c r="E1417" s="3">
        <v>21.589495347379014</v>
      </c>
      <c r="F1417" s="3">
        <v>21.704700469970703</v>
      </c>
      <c r="G1417" s="3">
        <v>135300</v>
      </c>
      <c r="H1417" s="3">
        <v>0</v>
      </c>
      <c r="I1417" s="3">
        <v>0</v>
      </c>
      <c r="J1417" s="3" t="str">
        <v>AB</v>
      </c>
      <c r="K1417" s="23">
        <v>44050</v>
      </c>
      <c r="L1417" s="22">
        <v>21.566455841064453</v>
      </c>
    </row>
    <row r="1418" spans="1:12" x14ac:dyDescent="0.25">
      <c r="A1418" s="9">
        <v>1411</v>
      </c>
      <c r="B1418" s="10">
        <v>44054</v>
      </c>
      <c r="C1418" s="3">
        <v>21.896710509421812</v>
      </c>
      <c r="D1418" s="3">
        <v>22.142481839636357</v>
      </c>
      <c r="E1418" s="3">
        <v>21.835267676868177</v>
      </c>
      <c r="F1418" s="3">
        <v>21.91975212097168</v>
      </c>
      <c r="G1418" s="3">
        <v>239200</v>
      </c>
      <c r="H1418" s="3">
        <v>0</v>
      </c>
      <c r="I1418" s="3">
        <v>0</v>
      </c>
      <c r="J1418" s="3" t="str">
        <v>AB</v>
      </c>
      <c r="K1418" s="23">
        <v>44053</v>
      </c>
      <c r="L1418" s="22">
        <v>21.704700469970703</v>
      </c>
    </row>
    <row r="1419" spans="1:12" x14ac:dyDescent="0.25">
      <c r="A1419" s="9">
        <v>1412</v>
      </c>
      <c r="B1419" s="10">
        <v>44055</v>
      </c>
      <c r="C1419" s="3">
        <v>21.973516869564445</v>
      </c>
      <c r="D1419" s="3">
        <v>22.27305052859062</v>
      </c>
      <c r="E1419" s="3">
        <v>21.673981745625422</v>
      </c>
      <c r="F1419" s="3">
        <v>22.226968765258789</v>
      </c>
      <c r="G1419" s="3">
        <v>328500</v>
      </c>
      <c r="H1419" s="3">
        <v>0</v>
      </c>
      <c r="I1419" s="3">
        <v>0</v>
      </c>
      <c r="J1419" s="3" t="str">
        <v>AB</v>
      </c>
      <c r="K1419" s="23">
        <v>44054</v>
      </c>
      <c r="L1419" s="22">
        <v>21.91975212097168</v>
      </c>
    </row>
    <row r="1420" spans="1:12" x14ac:dyDescent="0.25">
      <c r="A1420" s="9">
        <v>1413</v>
      </c>
      <c r="B1420" s="10">
        <v>44056</v>
      </c>
      <c r="C1420" s="3">
        <v>22.273046956007668</v>
      </c>
      <c r="D1420" s="3">
        <v>22.89515578839649</v>
      </c>
      <c r="E1420" s="3">
        <v>22.211604126449668</v>
      </c>
      <c r="F1420" s="3">
        <v>22.618663787841797</v>
      </c>
      <c r="G1420" s="3">
        <v>408200</v>
      </c>
      <c r="H1420" s="3">
        <v>0</v>
      </c>
      <c r="I1420" s="3">
        <v>0</v>
      </c>
      <c r="J1420" s="3" t="str">
        <v>AB</v>
      </c>
      <c r="K1420" s="23">
        <v>44055</v>
      </c>
      <c r="L1420" s="22">
        <v>22.226968765258789</v>
      </c>
    </row>
    <row r="1421" spans="1:12" x14ac:dyDescent="0.25">
      <c r="A1421" s="9">
        <v>1414</v>
      </c>
      <c r="B1421" s="10">
        <v>44057</v>
      </c>
      <c r="C1421" s="3">
        <v>22.365215434196905</v>
      </c>
      <c r="D1421" s="3">
        <v>22.657068554060444</v>
      </c>
      <c r="E1421" s="3">
        <v>22.288411518997183</v>
      </c>
      <c r="F1421" s="3">
        <v>22.326812744140625</v>
      </c>
      <c r="G1421" s="3">
        <v>318800</v>
      </c>
      <c r="H1421" s="3">
        <v>0</v>
      </c>
      <c r="I1421" s="3">
        <v>0</v>
      </c>
      <c r="J1421" s="3" t="str">
        <v>AB</v>
      </c>
      <c r="K1421" s="23">
        <v>44056</v>
      </c>
      <c r="L1421" s="22">
        <v>22.618663787841797</v>
      </c>
    </row>
    <row r="1422" spans="1:12" x14ac:dyDescent="0.25">
      <c r="A1422" s="9">
        <v>1415</v>
      </c>
      <c r="B1422" s="10">
        <v>44060</v>
      </c>
      <c r="C1422" s="3">
        <v>22.403615393122386</v>
      </c>
      <c r="D1422" s="3">
        <v>22.472738766404103</v>
      </c>
      <c r="E1422" s="3">
        <v>21.965835005613336</v>
      </c>
      <c r="F1422" s="3">
        <v>22.096401214599609</v>
      </c>
      <c r="G1422" s="3">
        <v>194700</v>
      </c>
      <c r="H1422" s="3">
        <v>0</v>
      </c>
      <c r="I1422" s="3">
        <v>0</v>
      </c>
      <c r="J1422" s="3" t="str">
        <v>AB</v>
      </c>
      <c r="K1422" s="23">
        <v>44057</v>
      </c>
      <c r="L1422" s="22">
        <v>22.326812744140625</v>
      </c>
    </row>
    <row r="1423" spans="1:12" x14ac:dyDescent="0.25">
      <c r="A1423" s="9">
        <v>1416</v>
      </c>
      <c r="B1423" s="10">
        <v>44061</v>
      </c>
      <c r="C1423" s="3">
        <v>22.004235100162504</v>
      </c>
      <c r="D1423" s="3">
        <v>22.242325893193758</v>
      </c>
      <c r="E1423" s="3">
        <v>21.658619716390557</v>
      </c>
      <c r="F1423" s="3">
        <v>21.91975212097168</v>
      </c>
      <c r="G1423" s="3">
        <v>260000</v>
      </c>
      <c r="H1423" s="3">
        <v>0</v>
      </c>
      <c r="I1423" s="3">
        <v>0</v>
      </c>
      <c r="J1423" s="3" t="str">
        <v>AB</v>
      </c>
      <c r="K1423" s="23">
        <v>44060</v>
      </c>
      <c r="L1423" s="22">
        <v>22.096401214599609</v>
      </c>
    </row>
    <row r="1424" spans="1:12" x14ac:dyDescent="0.25">
      <c r="A1424" s="9">
        <v>1417</v>
      </c>
      <c r="B1424" s="10">
        <v>44062</v>
      </c>
      <c r="C1424" s="3">
        <v>21.958154322926799</v>
      </c>
      <c r="D1424" s="3">
        <v>22.188564589068037</v>
      </c>
      <c r="E1424" s="3">
        <v>21.819907577276958</v>
      </c>
      <c r="F1424" s="3">
        <v>21.950473785400391</v>
      </c>
      <c r="G1424" s="3">
        <v>204300</v>
      </c>
      <c r="H1424" s="3">
        <v>0</v>
      </c>
      <c r="I1424" s="3">
        <v>0</v>
      </c>
      <c r="J1424" s="3" t="str">
        <v>AB</v>
      </c>
      <c r="K1424" s="23">
        <v>44061</v>
      </c>
      <c r="L1424" s="22">
        <v>21.91975212097168</v>
      </c>
    </row>
    <row r="1425" spans="1:12" x14ac:dyDescent="0.25">
      <c r="A1425" s="9">
        <v>1418</v>
      </c>
      <c r="B1425" s="10">
        <v>44063</v>
      </c>
      <c r="C1425" s="3">
        <v>21.973516404950875</v>
      </c>
      <c r="D1425" s="3">
        <v>21.988876015794823</v>
      </c>
      <c r="E1425" s="3">
        <v>21.512694386637754</v>
      </c>
      <c r="F1425" s="3">
        <v>21.635580062866211</v>
      </c>
      <c r="G1425" s="3">
        <v>277500</v>
      </c>
      <c r="H1425" s="3">
        <v>0</v>
      </c>
      <c r="I1425" s="3">
        <v>0</v>
      </c>
      <c r="J1425" s="3" t="str">
        <v>AB</v>
      </c>
      <c r="K1425" s="23">
        <v>44062</v>
      </c>
      <c r="L1425" s="22">
        <v>21.950473785400391</v>
      </c>
    </row>
    <row r="1426" spans="1:12" x14ac:dyDescent="0.25">
      <c r="A1426" s="9">
        <v>1419</v>
      </c>
      <c r="B1426" s="10">
        <v>44064</v>
      </c>
      <c r="C1426" s="3">
        <v>21.689339625264367</v>
      </c>
      <c r="D1426" s="3">
        <v>22.257686172306997</v>
      </c>
      <c r="E1426" s="3">
        <v>21.635577331814911</v>
      </c>
      <c r="F1426" s="3">
        <v>22.004234313964844</v>
      </c>
      <c r="G1426" s="3">
        <v>247000</v>
      </c>
      <c r="H1426" s="3">
        <v>0</v>
      </c>
      <c r="I1426" s="3">
        <v>0</v>
      </c>
      <c r="J1426" s="3" t="str">
        <v>AB</v>
      </c>
      <c r="K1426" s="23">
        <v>44063</v>
      </c>
      <c r="L1426" s="22">
        <v>21.635580062866211</v>
      </c>
    </row>
    <row r="1427" spans="1:12" x14ac:dyDescent="0.25">
      <c r="A1427" s="9">
        <v>1420</v>
      </c>
      <c r="B1427" s="10">
        <v>44067</v>
      </c>
      <c r="C1427" s="3">
        <v>22.196245554854919</v>
      </c>
      <c r="D1427" s="3">
        <v>22.44201690079095</v>
      </c>
      <c r="E1427" s="3">
        <v>22.011917045402893</v>
      </c>
      <c r="F1427" s="3">
        <v>22.296091079711914</v>
      </c>
      <c r="G1427" s="3">
        <v>217100</v>
      </c>
      <c r="H1427" s="3">
        <v>0</v>
      </c>
      <c r="I1427" s="3">
        <v>0</v>
      </c>
      <c r="J1427" s="3" t="str">
        <v>AB</v>
      </c>
      <c r="K1427" s="23">
        <v>44064</v>
      </c>
      <c r="L1427" s="22">
        <v>22.004234313964844</v>
      </c>
    </row>
    <row r="1428" spans="1:12" x14ac:dyDescent="0.25">
      <c r="A1428" s="9">
        <v>1421</v>
      </c>
      <c r="B1428" s="10">
        <v>44068</v>
      </c>
      <c r="C1428" s="3">
        <v>22.280727225064229</v>
      </c>
      <c r="D1428" s="3">
        <v>22.334489517167327</v>
      </c>
      <c r="E1428" s="3">
        <v>21.79686366631114</v>
      </c>
      <c r="F1428" s="3">
        <v>22.134799957275391</v>
      </c>
      <c r="G1428" s="3">
        <v>208600</v>
      </c>
      <c r="H1428" s="3">
        <v>0</v>
      </c>
      <c r="I1428" s="3">
        <v>0</v>
      </c>
      <c r="J1428" s="3" t="str">
        <v>AB</v>
      </c>
      <c r="K1428" s="23">
        <v>44067</v>
      </c>
      <c r="L1428" s="22">
        <v>22.296091079711914</v>
      </c>
    </row>
    <row r="1429" spans="1:12" x14ac:dyDescent="0.25">
      <c r="A1429" s="9">
        <v>1422</v>
      </c>
      <c r="B1429" s="10">
        <v>44069</v>
      </c>
      <c r="C1429" s="3">
        <v>22.150163939710371</v>
      </c>
      <c r="D1429" s="3">
        <v>22.188565163423686</v>
      </c>
      <c r="E1429" s="3">
        <v>21.735423692025211</v>
      </c>
      <c r="F1429" s="3">
        <v>21.819908142089844</v>
      </c>
      <c r="G1429" s="3">
        <v>227500</v>
      </c>
      <c r="H1429" s="3">
        <v>0</v>
      </c>
      <c r="I1429" s="3">
        <v>0</v>
      </c>
      <c r="J1429" s="3" t="str">
        <v>AB</v>
      </c>
      <c r="K1429" s="23">
        <v>44068</v>
      </c>
      <c r="L1429" s="22">
        <v>22.134799957275391</v>
      </c>
    </row>
    <row r="1430" spans="1:12" x14ac:dyDescent="0.25">
      <c r="A1430" s="9">
        <v>1423</v>
      </c>
      <c r="B1430" s="10">
        <v>44070</v>
      </c>
      <c r="C1430" s="3">
        <v>21.773824844314539</v>
      </c>
      <c r="D1430" s="3">
        <v>22.134801302453067</v>
      </c>
      <c r="E1430" s="3">
        <v>21.720062548944195</v>
      </c>
      <c r="F1430" s="3">
        <v>21.91975212097168</v>
      </c>
      <c r="G1430" s="3">
        <v>265900</v>
      </c>
      <c r="H1430" s="3">
        <v>0</v>
      </c>
      <c r="I1430" s="3">
        <v>0</v>
      </c>
      <c r="J1430" s="3" t="str">
        <v>AB</v>
      </c>
      <c r="K1430" s="23">
        <v>44069</v>
      </c>
      <c r="L1430" s="22">
        <v>21.819908142089844</v>
      </c>
    </row>
    <row r="1431" spans="1:12" x14ac:dyDescent="0.25">
      <c r="A1431" s="9">
        <v>1424</v>
      </c>
      <c r="B1431" s="10">
        <v>44071</v>
      </c>
      <c r="C1431" s="3">
        <v>22.019600785839071</v>
      </c>
      <c r="D1431" s="3">
        <v>22.250011089939196</v>
      </c>
      <c r="E1431" s="3">
        <v>21.681664403567627</v>
      </c>
      <c r="F1431" s="3">
        <v>22.242330551147461</v>
      </c>
      <c r="G1431" s="3">
        <v>207300</v>
      </c>
      <c r="H1431" s="3">
        <v>0</v>
      </c>
      <c r="I1431" s="3">
        <v>0</v>
      </c>
      <c r="J1431" s="3" t="str">
        <v>AB</v>
      </c>
      <c r="K1431" s="23">
        <v>44070</v>
      </c>
      <c r="L1431" s="22">
        <v>21.91975212097168</v>
      </c>
    </row>
    <row r="1432" spans="1:12" x14ac:dyDescent="0.25">
      <c r="A1432" s="9">
        <v>1425</v>
      </c>
      <c r="B1432" s="10">
        <v>44074</v>
      </c>
      <c r="C1432" s="3">
        <v>22.273048172771375</v>
      </c>
      <c r="D1432" s="3">
        <v>22.273048172771375</v>
      </c>
      <c r="E1432" s="3">
        <v>21.827587267912456</v>
      </c>
      <c r="F1432" s="3">
        <v>21.881349563598633</v>
      </c>
      <c r="G1432" s="3">
        <v>203300</v>
      </c>
      <c r="H1432" s="3">
        <v>0</v>
      </c>
      <c r="I1432" s="3">
        <v>0</v>
      </c>
      <c r="J1432" s="3" t="str">
        <v>AB</v>
      </c>
      <c r="K1432" s="23">
        <v>44071</v>
      </c>
      <c r="L1432" s="22">
        <v>22.242330551147461</v>
      </c>
    </row>
    <row r="1433" spans="1:12" x14ac:dyDescent="0.25">
      <c r="A1433" s="9">
        <v>1426</v>
      </c>
      <c r="B1433" s="10">
        <v>44075</v>
      </c>
      <c r="C1433" s="3">
        <v>21.812229770118254</v>
      </c>
      <c r="D1433" s="3">
        <v>22.073362219052637</v>
      </c>
      <c r="E1433" s="3">
        <v>21.650942856612687</v>
      </c>
      <c r="F1433" s="3">
        <v>22.019599914550781</v>
      </c>
      <c r="G1433" s="3">
        <v>213900</v>
      </c>
      <c r="H1433" s="3">
        <v>0</v>
      </c>
      <c r="I1433" s="3">
        <v>0</v>
      </c>
      <c r="J1433" s="3" t="str">
        <v>AB</v>
      </c>
      <c r="K1433" s="23">
        <v>44074</v>
      </c>
      <c r="L1433" s="22">
        <v>21.881349563598633</v>
      </c>
    </row>
    <row r="1434" spans="1:12" x14ac:dyDescent="0.25">
      <c r="A1434" s="9">
        <v>1427</v>
      </c>
      <c r="B1434" s="10">
        <v>44076</v>
      </c>
      <c r="C1434" s="3">
        <v>22.042641083535749</v>
      </c>
      <c r="D1434" s="3">
        <v>22.273051373851814</v>
      </c>
      <c r="E1434" s="3">
        <v>21.835270943303549</v>
      </c>
      <c r="F1434" s="3">
        <v>22.203927993774414</v>
      </c>
      <c r="G1434" s="3">
        <v>222400</v>
      </c>
      <c r="H1434" s="3">
        <v>0</v>
      </c>
      <c r="I1434" s="3">
        <v>0</v>
      </c>
      <c r="J1434" s="3" t="str">
        <v>AB</v>
      </c>
      <c r="K1434" s="23">
        <v>44075</v>
      </c>
      <c r="L1434" s="22">
        <v>22.019599914550781</v>
      </c>
    </row>
    <row r="1435" spans="1:12" x14ac:dyDescent="0.25">
      <c r="A1435" s="9">
        <v>1428</v>
      </c>
      <c r="B1435" s="10">
        <v>44077</v>
      </c>
      <c r="C1435" s="3">
        <v>22.11943971153287</v>
      </c>
      <c r="D1435" s="3">
        <v>22.250005910774327</v>
      </c>
      <c r="E1435" s="3">
        <v>21.635577599586668</v>
      </c>
      <c r="F1435" s="3">
        <v>21.766143798828125</v>
      </c>
      <c r="G1435" s="3">
        <v>356900</v>
      </c>
      <c r="H1435" s="3">
        <v>0</v>
      </c>
      <c r="I1435" s="3">
        <v>0</v>
      </c>
      <c r="J1435" s="3" t="str">
        <v>AB</v>
      </c>
      <c r="K1435" s="23">
        <v>44076</v>
      </c>
      <c r="L1435" s="22">
        <v>22.203927993774414</v>
      </c>
    </row>
    <row r="1436" spans="1:12" x14ac:dyDescent="0.25">
      <c r="A1436" s="9">
        <v>1429</v>
      </c>
      <c r="B1436" s="10">
        <v>44078</v>
      </c>
      <c r="C1436" s="3">
        <v>21.889031815592922</v>
      </c>
      <c r="D1436" s="3">
        <v>22.034959104539126</v>
      </c>
      <c r="E1436" s="3">
        <v>21.044191698148879</v>
      </c>
      <c r="F1436" s="3">
        <v>21.581817626953125</v>
      </c>
      <c r="G1436" s="3">
        <v>325700</v>
      </c>
      <c r="H1436" s="3">
        <v>0</v>
      </c>
      <c r="I1436" s="3">
        <v>0</v>
      </c>
      <c r="J1436" s="3" t="str">
        <v>AB</v>
      </c>
      <c r="K1436" s="23">
        <v>44077</v>
      </c>
      <c r="L1436" s="22">
        <v>21.766143798828125</v>
      </c>
    </row>
    <row r="1437" spans="1:12" x14ac:dyDescent="0.25">
      <c r="A1437" s="9">
        <v>1430</v>
      </c>
      <c r="B1437" s="10">
        <v>44082</v>
      </c>
      <c r="C1437" s="3">
        <v>21.305320522478254</v>
      </c>
      <c r="D1437" s="3">
        <v>21.305320522478254</v>
      </c>
      <c r="E1437" s="3">
        <v>20.629449421745058</v>
      </c>
      <c r="F1437" s="3">
        <v>20.721612930297852</v>
      </c>
      <c r="G1437" s="3">
        <v>371700</v>
      </c>
      <c r="H1437" s="3">
        <v>0</v>
      </c>
      <c r="I1437" s="3">
        <v>0</v>
      </c>
      <c r="J1437" s="3" t="str">
        <v>AB</v>
      </c>
      <c r="K1437" s="23">
        <v>44078</v>
      </c>
      <c r="L1437" s="22">
        <v>21.581817626953125</v>
      </c>
    </row>
    <row r="1438" spans="1:12" x14ac:dyDescent="0.25">
      <c r="A1438" s="9">
        <v>1431</v>
      </c>
      <c r="B1438" s="10">
        <v>44083</v>
      </c>
      <c r="C1438" s="3">
        <v>21.036511973063575</v>
      </c>
      <c r="D1438" s="3">
        <v>21.036511973063575</v>
      </c>
      <c r="E1438" s="3">
        <v>20.637134244858302</v>
      </c>
      <c r="F1438" s="3">
        <v>20.875225067138672</v>
      </c>
      <c r="G1438" s="3">
        <v>418900</v>
      </c>
      <c r="H1438" s="3">
        <v>0</v>
      </c>
      <c r="I1438" s="3">
        <v>0</v>
      </c>
      <c r="J1438" s="3" t="str">
        <v>AB</v>
      </c>
      <c r="K1438" s="23">
        <v>44082</v>
      </c>
      <c r="L1438" s="22">
        <v>20.721612930297852</v>
      </c>
    </row>
    <row r="1439" spans="1:12" x14ac:dyDescent="0.25">
      <c r="A1439" s="9">
        <v>1432</v>
      </c>
      <c r="B1439" s="10">
        <v>44084</v>
      </c>
      <c r="C1439" s="3">
        <v>21.082592476606624</v>
      </c>
      <c r="D1439" s="3">
        <v>21.082592476606624</v>
      </c>
      <c r="E1439" s="3">
        <v>20.452801615831309</v>
      </c>
      <c r="F1439" s="3">
        <v>20.614089965820313</v>
      </c>
      <c r="G1439" s="3">
        <v>438000</v>
      </c>
      <c r="H1439" s="3">
        <v>0</v>
      </c>
      <c r="I1439" s="3">
        <v>0</v>
      </c>
      <c r="J1439" s="3" t="str">
        <v>AB</v>
      </c>
      <c r="K1439" s="23">
        <v>44083</v>
      </c>
      <c r="L1439" s="22">
        <v>20.875225067138672</v>
      </c>
    </row>
    <row r="1440" spans="1:12" x14ac:dyDescent="0.25">
      <c r="A1440" s="9">
        <v>1433</v>
      </c>
      <c r="B1440" s="10">
        <v>44085</v>
      </c>
      <c r="C1440" s="3">
        <v>20.698581479280197</v>
      </c>
      <c r="D1440" s="3">
        <v>21.074919137914527</v>
      </c>
      <c r="E1440" s="3">
        <v>20.422087907665929</v>
      </c>
      <c r="F1440" s="3">
        <v>20.898269653320313</v>
      </c>
      <c r="G1440" s="3">
        <v>481000</v>
      </c>
      <c r="H1440" s="3">
        <v>0</v>
      </c>
      <c r="I1440" s="3">
        <v>0</v>
      </c>
      <c r="J1440" s="3" t="str">
        <v>AB</v>
      </c>
      <c r="K1440" s="23">
        <v>44084</v>
      </c>
      <c r="L1440" s="22">
        <v>20.614089965820313</v>
      </c>
    </row>
    <row r="1441" spans="1:12" x14ac:dyDescent="0.25">
      <c r="A1441" s="9">
        <v>1434</v>
      </c>
      <c r="B1441" s="10">
        <v>44088</v>
      </c>
      <c r="C1441" s="3">
        <v>21.128674598495159</v>
      </c>
      <c r="D1441" s="3">
        <v>21.213159043512139</v>
      </c>
      <c r="E1441" s="3">
        <v>20.813779895138946</v>
      </c>
      <c r="F1441" s="3">
        <v>20.967386245727539</v>
      </c>
      <c r="G1441" s="3">
        <v>339900</v>
      </c>
      <c r="H1441" s="3">
        <v>0</v>
      </c>
      <c r="I1441" s="3">
        <v>0</v>
      </c>
      <c r="J1441" s="3" t="str">
        <v>AB</v>
      </c>
      <c r="K1441" s="23">
        <v>44085</v>
      </c>
      <c r="L1441" s="22">
        <v>20.898269653320313</v>
      </c>
    </row>
    <row r="1442" spans="1:12" x14ac:dyDescent="0.25">
      <c r="A1442" s="9">
        <v>1435</v>
      </c>
      <c r="B1442" s="10">
        <v>44089</v>
      </c>
      <c r="C1442" s="3">
        <v>21.013469405019816</v>
      </c>
      <c r="D1442" s="3">
        <v>21.228518588168285</v>
      </c>
      <c r="E1442" s="3">
        <v>20.867542127231431</v>
      </c>
      <c r="F1442" s="3">
        <v>21.159395217895508</v>
      </c>
      <c r="G1442" s="3">
        <v>262400</v>
      </c>
      <c r="H1442" s="3">
        <v>0</v>
      </c>
      <c r="I1442" s="3">
        <v>0</v>
      </c>
      <c r="J1442" s="3" t="str">
        <v>AB</v>
      </c>
      <c r="K1442" s="23">
        <v>44088</v>
      </c>
      <c r="L1442" s="22">
        <v>20.967386245727539</v>
      </c>
    </row>
    <row r="1443" spans="1:12" x14ac:dyDescent="0.25">
      <c r="A1443" s="9">
        <v>1436</v>
      </c>
      <c r="B1443" s="10">
        <v>44090</v>
      </c>
      <c r="C1443" s="3">
        <v>21.090271095393099</v>
      </c>
      <c r="D1443" s="3">
        <v>21.743102088622113</v>
      </c>
      <c r="E1443" s="3">
        <v>21.067230949399079</v>
      </c>
      <c r="F1443" s="3">
        <v>21.428207397460938</v>
      </c>
      <c r="G1443" s="3">
        <v>476000</v>
      </c>
      <c r="H1443" s="3">
        <v>0</v>
      </c>
      <c r="I1443" s="3">
        <v>0</v>
      </c>
      <c r="J1443" s="3" t="str">
        <v>AB</v>
      </c>
      <c r="K1443" s="23">
        <v>44089</v>
      </c>
      <c r="L1443" s="22">
        <v>21.159395217895508</v>
      </c>
    </row>
    <row r="1444" spans="1:12" x14ac:dyDescent="0.25">
      <c r="A1444" s="9">
        <v>1437</v>
      </c>
      <c r="B1444" s="10">
        <v>44091</v>
      </c>
      <c r="C1444" s="3">
        <v>21.305324689034581</v>
      </c>
      <c r="D1444" s="3">
        <v>21.558776584489685</v>
      </c>
      <c r="E1444" s="3">
        <v>21.097954556867808</v>
      </c>
      <c r="F1444" s="3">
        <v>21.359086990356445</v>
      </c>
      <c r="G1444" s="3">
        <v>318000</v>
      </c>
      <c r="H1444" s="3">
        <v>0</v>
      </c>
      <c r="I1444" s="3">
        <v>0</v>
      </c>
      <c r="J1444" s="3" t="str">
        <v>AB</v>
      </c>
      <c r="K1444" s="23">
        <v>44090</v>
      </c>
      <c r="L1444" s="22">
        <v>21.428207397460938</v>
      </c>
    </row>
    <row r="1445" spans="1:12" x14ac:dyDescent="0.25">
      <c r="A1445" s="9">
        <v>1438</v>
      </c>
      <c r="B1445" s="10">
        <v>44092</v>
      </c>
      <c r="C1445" s="3">
        <v>21.420531968114194</v>
      </c>
      <c r="D1445" s="3">
        <v>21.581820353093978</v>
      </c>
      <c r="E1445" s="3">
        <v>21.243883970446845</v>
      </c>
      <c r="F1445" s="3">
        <v>21.313007354736328</v>
      </c>
      <c r="G1445" s="3">
        <v>799200</v>
      </c>
      <c r="H1445" s="3">
        <v>0</v>
      </c>
      <c r="I1445" s="3">
        <v>0</v>
      </c>
      <c r="J1445" s="3" t="str">
        <v>AB</v>
      </c>
      <c r="K1445" s="23">
        <v>44091</v>
      </c>
      <c r="L1445" s="22">
        <v>21.359086990356445</v>
      </c>
    </row>
    <row r="1446" spans="1:12" x14ac:dyDescent="0.25">
      <c r="A1446" s="9">
        <v>1439</v>
      </c>
      <c r="B1446" s="10">
        <v>44095</v>
      </c>
      <c r="C1446" s="3">
        <v>21.574134479576326</v>
      </c>
      <c r="D1446" s="3">
        <v>21.581815016477407</v>
      </c>
      <c r="E1446" s="3">
        <v>20.53728543653266</v>
      </c>
      <c r="F1446" s="3">
        <v>20.844499588012695</v>
      </c>
      <c r="G1446" s="3">
        <v>514700</v>
      </c>
      <c r="H1446" s="3">
        <v>0</v>
      </c>
      <c r="I1446" s="3">
        <v>0</v>
      </c>
      <c r="J1446" s="3" t="str">
        <v>AB</v>
      </c>
      <c r="K1446" s="23">
        <v>44092</v>
      </c>
      <c r="L1446" s="22">
        <v>21.313007354736328</v>
      </c>
    </row>
    <row r="1447" spans="1:12" x14ac:dyDescent="0.25">
      <c r="A1447" s="9">
        <v>1440</v>
      </c>
      <c r="B1447" s="10">
        <v>44096</v>
      </c>
      <c r="C1447" s="3">
        <v>20.836820619315716</v>
      </c>
      <c r="D1447" s="3">
        <v>21.120994646392418</v>
      </c>
      <c r="E1447" s="3">
        <v>20.690894801950538</v>
      </c>
      <c r="F1447" s="3">
        <v>21.021150588989258</v>
      </c>
      <c r="G1447" s="3">
        <v>370500</v>
      </c>
      <c r="H1447" s="3">
        <v>0</v>
      </c>
      <c r="I1447" s="3">
        <v>0</v>
      </c>
      <c r="J1447" s="3" t="str">
        <v>AB</v>
      </c>
      <c r="K1447" s="23">
        <v>44095</v>
      </c>
      <c r="L1447" s="22">
        <v>20.844499588012695</v>
      </c>
    </row>
    <row r="1448" spans="1:12" x14ac:dyDescent="0.25">
      <c r="A1448" s="9">
        <v>1441</v>
      </c>
      <c r="B1448" s="10">
        <v>44097</v>
      </c>
      <c r="C1448" s="3">
        <v>20.967387248201348</v>
      </c>
      <c r="D1448" s="3">
        <v>21.174757369568873</v>
      </c>
      <c r="E1448" s="3">
        <v>20.660173067423219</v>
      </c>
      <c r="F1448" s="3">
        <v>20.744657516479492</v>
      </c>
      <c r="G1448" s="3">
        <v>236600</v>
      </c>
      <c r="H1448" s="3">
        <v>0</v>
      </c>
      <c r="I1448" s="3">
        <v>0</v>
      </c>
      <c r="J1448" s="3" t="str">
        <v>AB</v>
      </c>
      <c r="K1448" s="23">
        <v>44096</v>
      </c>
      <c r="L1448" s="22">
        <v>21.021150588989258</v>
      </c>
    </row>
    <row r="1449" spans="1:12" x14ac:dyDescent="0.25">
      <c r="A1449" s="9">
        <v>1442</v>
      </c>
      <c r="B1449" s="10">
        <v>44098</v>
      </c>
      <c r="C1449" s="3">
        <v>20.629451396031186</v>
      </c>
      <c r="D1449" s="3">
        <v>20.752337062470392</v>
      </c>
      <c r="E1449" s="3">
        <v>20.222391710380883</v>
      </c>
      <c r="F1449" s="3">
        <v>20.621770858764648</v>
      </c>
      <c r="G1449" s="3">
        <v>467700</v>
      </c>
      <c r="H1449" s="3">
        <v>0</v>
      </c>
      <c r="I1449" s="3">
        <v>0</v>
      </c>
      <c r="J1449" s="3" t="str">
        <v>AB</v>
      </c>
      <c r="K1449" s="23">
        <v>44097</v>
      </c>
      <c r="L1449" s="22">
        <v>20.744657516479492</v>
      </c>
    </row>
    <row r="1450" spans="1:12" x14ac:dyDescent="0.25">
      <c r="A1450" s="9">
        <v>1443</v>
      </c>
      <c r="B1450" s="10">
        <v>44099</v>
      </c>
      <c r="C1450" s="3">
        <v>20.429760449805872</v>
      </c>
      <c r="D1450" s="3">
        <v>21.159393862173431</v>
      </c>
      <c r="E1450" s="3">
        <v>20.368317620712681</v>
      </c>
      <c r="F1450" s="3">
        <v>21.028827667236328</v>
      </c>
      <c r="G1450" s="3">
        <v>314200</v>
      </c>
      <c r="H1450" s="3">
        <v>0</v>
      </c>
      <c r="I1450" s="3">
        <v>0</v>
      </c>
      <c r="J1450" s="3" t="str">
        <v>AB</v>
      </c>
      <c r="K1450" s="23">
        <v>44098</v>
      </c>
      <c r="L1450" s="22">
        <v>20.621770858764648</v>
      </c>
    </row>
    <row r="1451" spans="1:12" x14ac:dyDescent="0.25">
      <c r="A1451" s="9">
        <v>1444</v>
      </c>
      <c r="B1451" s="10">
        <v>44102</v>
      </c>
      <c r="C1451" s="3">
        <v>21.105635975344203</v>
      </c>
      <c r="D1451" s="3">
        <v>21.35140734301838</v>
      </c>
      <c r="E1451" s="3">
        <v>20.62177377834978</v>
      </c>
      <c r="F1451" s="3">
        <v>21.082595825195313</v>
      </c>
      <c r="G1451" s="3">
        <v>521200</v>
      </c>
      <c r="H1451" s="3">
        <v>0</v>
      </c>
      <c r="I1451" s="3">
        <v>0</v>
      </c>
      <c r="J1451" s="3" t="str">
        <v>AB</v>
      </c>
      <c r="K1451" s="23">
        <v>44099</v>
      </c>
      <c r="L1451" s="22">
        <v>21.028827667236328</v>
      </c>
    </row>
    <row r="1452" spans="1:12" x14ac:dyDescent="0.25">
      <c r="A1452" s="9">
        <v>1445</v>
      </c>
      <c r="B1452" s="10">
        <v>44103</v>
      </c>
      <c r="C1452" s="3">
        <v>21.082594569455235</v>
      </c>
      <c r="D1452" s="3">
        <v>21.082594569455235</v>
      </c>
      <c r="E1452" s="3">
        <v>20.544968636005844</v>
      </c>
      <c r="F1452" s="3">
        <v>20.760019302368164</v>
      </c>
      <c r="G1452" s="3">
        <v>305900</v>
      </c>
      <c r="H1452" s="3">
        <v>0</v>
      </c>
      <c r="I1452" s="3">
        <v>0</v>
      </c>
      <c r="J1452" s="3" t="str">
        <v>AB</v>
      </c>
      <c r="K1452" s="23">
        <v>44102</v>
      </c>
      <c r="L1452" s="22">
        <v>21.082595825195313</v>
      </c>
    </row>
    <row r="1453" spans="1:12" x14ac:dyDescent="0.25">
      <c r="A1453" s="9">
        <v>1446</v>
      </c>
      <c r="B1453" s="10">
        <v>44104</v>
      </c>
      <c r="C1453" s="3">
        <v>20.690896279947705</v>
      </c>
      <c r="D1453" s="3">
        <v>21.174758456394088</v>
      </c>
      <c r="E1453" s="3">
        <v>20.690896279947705</v>
      </c>
      <c r="F1453" s="3">
        <v>20.7677001953125</v>
      </c>
      <c r="G1453" s="3">
        <v>372300</v>
      </c>
      <c r="H1453" s="3">
        <v>0</v>
      </c>
      <c r="I1453" s="3">
        <v>0</v>
      </c>
      <c r="J1453" s="3" t="str">
        <v>AB</v>
      </c>
      <c r="K1453" s="23">
        <v>44103</v>
      </c>
      <c r="L1453" s="22">
        <v>20.760019302368164</v>
      </c>
    </row>
    <row r="1454" spans="1:12" x14ac:dyDescent="0.25">
      <c r="A1454" s="9">
        <v>1447</v>
      </c>
      <c r="B1454" s="10">
        <v>44105</v>
      </c>
      <c r="C1454" s="3">
        <v>20.767702830200474</v>
      </c>
      <c r="D1454" s="3">
        <v>20.859866368401143</v>
      </c>
      <c r="E1454" s="3">
        <v>20.368323591562845</v>
      </c>
      <c r="F1454" s="3">
        <v>20.598733901977539</v>
      </c>
      <c r="G1454" s="3">
        <v>469800</v>
      </c>
      <c r="H1454" s="3">
        <v>0</v>
      </c>
      <c r="I1454" s="3">
        <v>0</v>
      </c>
      <c r="J1454" s="3" t="str">
        <v>AB</v>
      </c>
      <c r="K1454" s="23">
        <v>44104</v>
      </c>
      <c r="L1454" s="22">
        <v>20.7677001953125</v>
      </c>
    </row>
    <row r="1455" spans="1:12" x14ac:dyDescent="0.25">
      <c r="A1455" s="9">
        <v>1448</v>
      </c>
      <c r="B1455" s="10">
        <v>44106</v>
      </c>
      <c r="C1455" s="3">
        <v>20.352960890013048</v>
      </c>
      <c r="D1455" s="3">
        <v>20.928988085013419</v>
      </c>
      <c r="E1455" s="3">
        <v>20.352960890013048</v>
      </c>
      <c r="F1455" s="3">
        <v>20.706256866455078</v>
      </c>
      <c r="G1455" s="3">
        <v>269600</v>
      </c>
      <c r="H1455" s="3">
        <v>0</v>
      </c>
      <c r="I1455" s="3">
        <v>0</v>
      </c>
      <c r="J1455" s="3" t="str">
        <v>AB</v>
      </c>
      <c r="K1455" s="23">
        <v>44105</v>
      </c>
      <c r="L1455" s="22">
        <v>20.598733901977539</v>
      </c>
    </row>
    <row r="1456" spans="1:12" x14ac:dyDescent="0.25">
      <c r="A1456" s="9">
        <v>1449</v>
      </c>
      <c r="B1456" s="10">
        <v>44109</v>
      </c>
      <c r="C1456" s="3">
        <v>20.729296854620745</v>
      </c>
      <c r="D1456" s="3">
        <v>21.059552654885874</v>
      </c>
      <c r="E1456" s="3">
        <v>20.698576168386648</v>
      </c>
      <c r="F1456" s="3">
        <v>20.998109817504883</v>
      </c>
      <c r="G1456" s="3">
        <v>371500</v>
      </c>
      <c r="H1456" s="3">
        <v>0</v>
      </c>
      <c r="I1456" s="3">
        <v>0</v>
      </c>
      <c r="J1456" s="3" t="str">
        <v>AB</v>
      </c>
      <c r="K1456" s="23">
        <v>44106</v>
      </c>
      <c r="L1456" s="22">
        <v>20.706256866455078</v>
      </c>
    </row>
    <row r="1457" spans="1:12" x14ac:dyDescent="0.25">
      <c r="A1457" s="9">
        <v>1450</v>
      </c>
      <c r="B1457" s="10">
        <v>44110</v>
      </c>
      <c r="C1457" s="3">
        <v>21.04419066700008</v>
      </c>
      <c r="D1457" s="3">
        <v>21.812226833422802</v>
      </c>
      <c r="E1457" s="3">
        <v>20.944346609926725</v>
      </c>
      <c r="F1457" s="3">
        <v>21.213159561157227</v>
      </c>
      <c r="G1457" s="3">
        <v>516600</v>
      </c>
      <c r="H1457" s="3">
        <v>0</v>
      </c>
      <c r="I1457" s="3">
        <v>0</v>
      </c>
      <c r="J1457" s="3" t="str">
        <v>AB</v>
      </c>
      <c r="K1457" s="23">
        <v>44109</v>
      </c>
      <c r="L1457" s="22">
        <v>20.998109817504883</v>
      </c>
    </row>
    <row r="1458" spans="1:12" x14ac:dyDescent="0.25">
      <c r="A1458" s="9">
        <v>1451</v>
      </c>
      <c r="B1458" s="10">
        <v>44111</v>
      </c>
      <c r="C1458" s="3">
        <v>21.474291562244595</v>
      </c>
      <c r="D1458" s="3">
        <v>21.750785064476812</v>
      </c>
      <c r="E1458" s="3">
        <v>21.25924236265314</v>
      </c>
      <c r="F1458" s="3">
        <v>21.581817626953125</v>
      </c>
      <c r="G1458" s="3">
        <v>323700</v>
      </c>
      <c r="H1458" s="3">
        <v>0</v>
      </c>
      <c r="I1458" s="3">
        <v>0</v>
      </c>
      <c r="J1458" s="3" t="str">
        <v>AB</v>
      </c>
      <c r="K1458" s="23">
        <v>44110</v>
      </c>
      <c r="L1458" s="22">
        <v>21.213159561157227</v>
      </c>
    </row>
    <row r="1459" spans="1:12" x14ac:dyDescent="0.25">
      <c r="A1459" s="9">
        <v>1452</v>
      </c>
      <c r="B1459" s="10">
        <v>44112</v>
      </c>
      <c r="C1459" s="3">
        <v>22.04264128900336</v>
      </c>
      <c r="D1459" s="3">
        <v>22.918202158261316</v>
      </c>
      <c r="E1459" s="3">
        <v>21.889033450752212</v>
      </c>
      <c r="F1459" s="3">
        <v>22.841398239135742</v>
      </c>
      <c r="G1459" s="3">
        <v>981300</v>
      </c>
      <c r="H1459" s="3">
        <v>0</v>
      </c>
      <c r="I1459" s="3">
        <v>0</v>
      </c>
      <c r="J1459" s="3" t="str">
        <v>AB</v>
      </c>
      <c r="K1459" s="23">
        <v>44111</v>
      </c>
      <c r="L1459" s="22">
        <v>21.581817626953125</v>
      </c>
    </row>
    <row r="1460" spans="1:12" x14ac:dyDescent="0.25">
      <c r="A1460" s="9">
        <v>1453</v>
      </c>
      <c r="B1460" s="10">
        <v>44113</v>
      </c>
      <c r="C1460" s="3">
        <v>22.887478641048119</v>
      </c>
      <c r="D1460" s="3">
        <v>23.325260514507697</v>
      </c>
      <c r="E1460" s="3">
        <v>22.603306061600815</v>
      </c>
      <c r="F1460" s="3">
        <v>23.240776062011719</v>
      </c>
      <c r="G1460" s="3">
        <v>513500</v>
      </c>
      <c r="H1460" s="3">
        <v>0</v>
      </c>
      <c r="I1460" s="3">
        <v>0</v>
      </c>
      <c r="J1460" s="3" t="str">
        <v>AB</v>
      </c>
      <c r="K1460" s="23">
        <v>44112</v>
      </c>
      <c r="L1460" s="22">
        <v>22.841398239135742</v>
      </c>
    </row>
    <row r="1461" spans="1:12" x14ac:dyDescent="0.25">
      <c r="A1461" s="9">
        <v>1454</v>
      </c>
      <c r="B1461" s="10">
        <v>44116</v>
      </c>
      <c r="C1461" s="3">
        <v>25.329833677453937</v>
      </c>
      <c r="D1461" s="3">
        <v>25.729212855445901</v>
      </c>
      <c r="E1461" s="3">
        <v>23.862884643784227</v>
      </c>
      <c r="F1461" s="3">
        <v>24.53875732421875</v>
      </c>
      <c r="G1461" s="3">
        <v>1658000</v>
      </c>
      <c r="H1461" s="3">
        <v>0</v>
      </c>
      <c r="I1461" s="3">
        <v>0</v>
      </c>
      <c r="J1461" s="3" t="str">
        <v>AB</v>
      </c>
      <c r="K1461" s="23">
        <v>44113</v>
      </c>
      <c r="L1461" s="22">
        <v>23.240776062011719</v>
      </c>
    </row>
    <row r="1462" spans="1:12" x14ac:dyDescent="0.25">
      <c r="A1462" s="9">
        <v>1455</v>
      </c>
      <c r="B1462" s="10">
        <v>44117</v>
      </c>
      <c r="C1462" s="3">
        <v>24.861330032348633</v>
      </c>
      <c r="D1462" s="3">
        <v>24.938135407335981</v>
      </c>
      <c r="E1462" s="3">
        <v>24.277623831572189</v>
      </c>
      <c r="F1462" s="3">
        <v>24.861330032348633</v>
      </c>
      <c r="G1462" s="3">
        <v>736500</v>
      </c>
      <c r="H1462" s="3">
        <v>0</v>
      </c>
      <c r="I1462" s="3">
        <v>0</v>
      </c>
      <c r="J1462" s="3" t="str">
        <v>AB</v>
      </c>
      <c r="K1462" s="23">
        <v>44116</v>
      </c>
      <c r="L1462" s="22">
        <v>24.53875732421875</v>
      </c>
    </row>
    <row r="1463" spans="1:12" x14ac:dyDescent="0.25">
      <c r="A1463" s="9">
        <v>1456</v>
      </c>
      <c r="B1463" s="10">
        <v>44118</v>
      </c>
      <c r="C1463" s="3">
        <v>24.884376377600713</v>
      </c>
      <c r="D1463" s="3">
        <v>25.529526963088905</v>
      </c>
      <c r="E1463" s="3">
        <v>24.884376377600713</v>
      </c>
      <c r="F1463" s="3">
        <v>25.329835891723633</v>
      </c>
      <c r="G1463" s="3">
        <v>640300</v>
      </c>
      <c r="H1463" s="3">
        <v>0</v>
      </c>
      <c r="I1463" s="3">
        <v>0</v>
      </c>
      <c r="J1463" s="3" t="str">
        <v>AB</v>
      </c>
      <c r="K1463" s="23">
        <v>44117</v>
      </c>
      <c r="L1463" s="22">
        <v>24.861330032348633</v>
      </c>
    </row>
    <row r="1464" spans="1:12" x14ac:dyDescent="0.25">
      <c r="A1464" s="9">
        <v>1457</v>
      </c>
      <c r="B1464" s="10">
        <v>44119</v>
      </c>
      <c r="C1464" s="3">
        <v>25.122461674287418</v>
      </c>
      <c r="D1464" s="3">
        <v>25.690809712395904</v>
      </c>
      <c r="E1464" s="3">
        <v>24.907412490593856</v>
      </c>
      <c r="F1464" s="3">
        <v>25.475757598876953</v>
      </c>
      <c r="G1464" s="3">
        <v>469900</v>
      </c>
      <c r="H1464" s="3">
        <v>0</v>
      </c>
      <c r="I1464" s="3">
        <v>0</v>
      </c>
      <c r="J1464" s="3" t="str">
        <v>AB</v>
      </c>
      <c r="K1464" s="23">
        <v>44118</v>
      </c>
      <c r="L1464" s="22">
        <v>25.329835891723633</v>
      </c>
    </row>
    <row r="1465" spans="1:12" x14ac:dyDescent="0.25">
      <c r="A1465" s="9">
        <v>1458</v>
      </c>
      <c r="B1465" s="10">
        <v>44120</v>
      </c>
      <c r="C1465" s="3">
        <v>25.614005844751897</v>
      </c>
      <c r="D1465" s="3">
        <v>25.721533372741966</v>
      </c>
      <c r="E1465" s="3">
        <v>25.253030826603279</v>
      </c>
      <c r="F1465" s="3">
        <v>25.314472198486328</v>
      </c>
      <c r="G1465" s="3">
        <v>353300</v>
      </c>
      <c r="H1465" s="3">
        <v>0</v>
      </c>
      <c r="I1465" s="3">
        <v>0</v>
      </c>
      <c r="J1465" s="3" t="str">
        <v>AB</v>
      </c>
      <c r="K1465" s="23">
        <v>44119</v>
      </c>
      <c r="L1465" s="22">
        <v>25.475757598876953</v>
      </c>
    </row>
    <row r="1466" spans="1:12" x14ac:dyDescent="0.25">
      <c r="A1466" s="9">
        <v>1459</v>
      </c>
      <c r="B1466" s="10">
        <v>44123</v>
      </c>
      <c r="C1466" s="3">
        <v>25.222307270435103</v>
      </c>
      <c r="D1466" s="3">
        <v>25.598646272867921</v>
      </c>
      <c r="E1466" s="3">
        <v>24.88437241934318</v>
      </c>
      <c r="F1466" s="3">
        <v>25.030298233032227</v>
      </c>
      <c r="G1466" s="3">
        <v>431000</v>
      </c>
      <c r="H1466" s="3">
        <v>0</v>
      </c>
      <c r="I1466" s="3">
        <v>0</v>
      </c>
      <c r="J1466" s="3" t="str">
        <v>AB</v>
      </c>
      <c r="K1466" s="23">
        <v>44120</v>
      </c>
      <c r="L1466" s="22">
        <v>25.314472198486328</v>
      </c>
    </row>
    <row r="1467" spans="1:12" x14ac:dyDescent="0.25">
      <c r="A1467" s="9">
        <v>1460</v>
      </c>
      <c r="B1467" s="10">
        <v>44124</v>
      </c>
      <c r="C1467" s="3">
        <v>25.076382853929367</v>
      </c>
      <c r="D1467" s="3">
        <v>25.375916500194936</v>
      </c>
      <c r="E1467" s="3">
        <v>24.991898403992806</v>
      </c>
      <c r="F1467" s="3">
        <v>25.314472198486328</v>
      </c>
      <c r="G1467" s="3">
        <v>344500</v>
      </c>
      <c r="H1467" s="3">
        <v>0</v>
      </c>
      <c r="I1467" s="3">
        <v>0</v>
      </c>
      <c r="J1467" s="3" t="str">
        <v>AB</v>
      </c>
      <c r="K1467" s="23">
        <v>44123</v>
      </c>
      <c r="L1467" s="22">
        <v>25.030298233032227</v>
      </c>
    </row>
    <row r="1468" spans="1:12" x14ac:dyDescent="0.25">
      <c r="A1468" s="9">
        <v>1461</v>
      </c>
      <c r="B1468" s="10">
        <v>44125</v>
      </c>
      <c r="C1468" s="3">
        <v>25.406641294195236</v>
      </c>
      <c r="D1468" s="3">
        <v>25.491122823095154</v>
      </c>
      <c r="E1468" s="3">
        <v>24.807571009515051</v>
      </c>
      <c r="F1468" s="3">
        <v>24.83061408996582</v>
      </c>
      <c r="G1468" s="3">
        <v>393400</v>
      </c>
      <c r="H1468" s="3">
        <v>0</v>
      </c>
      <c r="I1468" s="3">
        <v>0</v>
      </c>
      <c r="J1468" s="3" t="str">
        <v>AB</v>
      </c>
      <c r="K1468" s="23">
        <v>44124</v>
      </c>
      <c r="L1468" s="22">
        <v>25.314472198486328</v>
      </c>
    </row>
    <row r="1469" spans="1:12" x14ac:dyDescent="0.25">
      <c r="A1469" s="9">
        <v>1462</v>
      </c>
      <c r="B1469" s="10">
        <v>44126</v>
      </c>
      <c r="C1469" s="3">
        <v>24.57715515866045</v>
      </c>
      <c r="D1469" s="3">
        <v>25.114781013721188</v>
      </c>
      <c r="E1469" s="3">
        <v>24.385146133983415</v>
      </c>
      <c r="F1469" s="3">
        <v>24.700040817260742</v>
      </c>
      <c r="G1469" s="3">
        <v>514200</v>
      </c>
      <c r="H1469" s="3">
        <v>0</v>
      </c>
      <c r="I1469" s="3">
        <v>0</v>
      </c>
      <c r="J1469" s="3" t="str">
        <v>AB</v>
      </c>
      <c r="K1469" s="23">
        <v>44125</v>
      </c>
      <c r="L1469" s="22">
        <v>24.83061408996582</v>
      </c>
    </row>
    <row r="1470" spans="1:12" x14ac:dyDescent="0.25">
      <c r="A1470" s="9">
        <v>1463</v>
      </c>
      <c r="B1470" s="10">
        <v>44127</v>
      </c>
      <c r="C1470" s="3">
        <v>25.014937928221148</v>
      </c>
      <c r="D1470" s="3">
        <v>25.045660078309087</v>
      </c>
      <c r="E1470" s="3">
        <v>23.86288366835284</v>
      </c>
      <c r="F1470" s="3">
        <v>24.231540679931641</v>
      </c>
      <c r="G1470" s="3">
        <v>715500</v>
      </c>
      <c r="H1470" s="3">
        <v>0</v>
      </c>
      <c r="I1470" s="3">
        <v>0</v>
      </c>
      <c r="J1470" s="3" t="str">
        <v>AB</v>
      </c>
      <c r="K1470" s="23">
        <v>44126</v>
      </c>
      <c r="L1470" s="22">
        <v>24.700040817260742</v>
      </c>
    </row>
    <row r="1471" spans="1:12" x14ac:dyDescent="0.25">
      <c r="A1471" s="9">
        <v>1464</v>
      </c>
      <c r="B1471" s="10">
        <v>44130</v>
      </c>
      <c r="C1471" s="3">
        <v>23.88592679392087</v>
      </c>
      <c r="D1471" s="3">
        <v>24.00113193422257</v>
      </c>
      <c r="E1471" s="3">
        <v>23.217734636310464</v>
      </c>
      <c r="F1471" s="3">
        <v>23.632474899291992</v>
      </c>
      <c r="G1471" s="3">
        <v>867700</v>
      </c>
      <c r="H1471" s="3">
        <v>0</v>
      </c>
      <c r="I1471" s="3">
        <v>0</v>
      </c>
      <c r="J1471" s="3" t="str">
        <v>AB</v>
      </c>
      <c r="K1471" s="23">
        <v>44127</v>
      </c>
      <c r="L1471" s="22">
        <v>24.231540679931641</v>
      </c>
    </row>
    <row r="1472" spans="1:12" x14ac:dyDescent="0.25">
      <c r="A1472" s="9">
        <v>1465</v>
      </c>
      <c r="B1472" s="10">
        <v>44131</v>
      </c>
      <c r="C1472" s="3">
        <v>23.763041063321907</v>
      </c>
      <c r="D1472" s="3">
        <v>23.786081212383845</v>
      </c>
      <c r="E1472" s="3">
        <v>22.979643767133606</v>
      </c>
      <c r="F1472" s="3">
        <v>23.386703491210938</v>
      </c>
      <c r="G1472" s="3">
        <v>623400</v>
      </c>
      <c r="H1472" s="3">
        <v>0</v>
      </c>
      <c r="I1472" s="3">
        <v>0</v>
      </c>
      <c r="J1472" s="3" t="str">
        <v>AB</v>
      </c>
      <c r="K1472" s="23">
        <v>44130</v>
      </c>
      <c r="L1472" s="22">
        <v>23.632474899291992</v>
      </c>
    </row>
    <row r="1473" spans="1:12" x14ac:dyDescent="0.25">
      <c r="A1473" s="9">
        <v>1466</v>
      </c>
      <c r="B1473" s="10">
        <v>44132</v>
      </c>
      <c r="C1473" s="3">
        <v>23.041085282011068</v>
      </c>
      <c r="D1473" s="3">
        <v>23.202372175827023</v>
      </c>
      <c r="E1473" s="3">
        <v>22.703148954366</v>
      </c>
      <c r="F1473" s="3">
        <v>22.726190567016602</v>
      </c>
      <c r="G1473" s="3">
        <v>682900</v>
      </c>
      <c r="H1473" s="3">
        <v>0</v>
      </c>
      <c r="I1473" s="3">
        <v>0</v>
      </c>
      <c r="J1473" s="3" t="str">
        <v>AB</v>
      </c>
      <c r="K1473" s="23">
        <v>44131</v>
      </c>
      <c r="L1473" s="22">
        <v>23.386703491210938</v>
      </c>
    </row>
    <row r="1474" spans="1:12" x14ac:dyDescent="0.25">
      <c r="A1474" s="9">
        <v>1467</v>
      </c>
      <c r="B1474" s="10">
        <v>44133</v>
      </c>
      <c r="C1474" s="3">
        <v>22.971961263878018</v>
      </c>
      <c r="D1474" s="3">
        <v>23.056445709644997</v>
      </c>
      <c r="E1474" s="3">
        <v>22.449696444432533</v>
      </c>
      <c r="F1474" s="3">
        <v>22.956600189208984</v>
      </c>
      <c r="G1474" s="3">
        <v>792400</v>
      </c>
      <c r="H1474" s="3">
        <v>0</v>
      </c>
      <c r="I1474" s="3">
        <v>0</v>
      </c>
      <c r="J1474" s="3" t="str">
        <v>AB</v>
      </c>
      <c r="K1474" s="23">
        <v>44132</v>
      </c>
      <c r="L1474" s="22">
        <v>22.726190567016602</v>
      </c>
    </row>
    <row r="1475" spans="1:12" x14ac:dyDescent="0.25">
      <c r="A1475" s="9">
        <v>1468</v>
      </c>
      <c r="B1475" s="10">
        <v>44134</v>
      </c>
      <c r="C1475" s="3">
        <v>23.145287788592668</v>
      </c>
      <c r="D1475" s="3">
        <v>23.145287788592668</v>
      </c>
      <c r="E1475" s="3">
        <v>22.492754271262637</v>
      </c>
      <c r="F1475" s="3">
        <v>22.846536636352539</v>
      </c>
      <c r="G1475" s="3">
        <v>581300</v>
      </c>
      <c r="H1475" s="3">
        <v>0.69</v>
      </c>
      <c r="I1475" s="3">
        <v>0</v>
      </c>
      <c r="J1475" s="3" t="str">
        <v>AB</v>
      </c>
      <c r="K1475" s="23">
        <v>44133</v>
      </c>
      <c r="L1475" s="22">
        <v>22.956600189208984</v>
      </c>
    </row>
    <row r="1476" spans="1:12" x14ac:dyDescent="0.25">
      <c r="A1476" s="9">
        <v>1469</v>
      </c>
      <c r="B1476" s="10">
        <v>44137</v>
      </c>
      <c r="C1476" s="3">
        <v>23.098112214744976</v>
      </c>
      <c r="D1476" s="3">
        <v>23.247487768927591</v>
      </c>
      <c r="E1476" s="3">
        <v>22.697159226433243</v>
      </c>
      <c r="F1476" s="3">
        <v>22.956600189208984</v>
      </c>
      <c r="G1476" s="3">
        <v>466700</v>
      </c>
      <c r="H1476" s="3">
        <v>0</v>
      </c>
      <c r="I1476" s="3">
        <v>0</v>
      </c>
      <c r="J1476" s="3" t="str">
        <v>AB</v>
      </c>
      <c r="K1476" s="23">
        <v>44134</v>
      </c>
      <c r="L1476" s="22">
        <v>22.846536636352539</v>
      </c>
    </row>
    <row r="1477" spans="1:12" x14ac:dyDescent="0.25">
      <c r="A1477" s="9">
        <v>1470</v>
      </c>
      <c r="B1477" s="10">
        <v>44138</v>
      </c>
      <c r="C1477" s="3">
        <v>23.184593912077847</v>
      </c>
      <c r="D1477" s="3">
        <v>23.687751798416958</v>
      </c>
      <c r="E1477" s="3">
        <v>23.027357822361267</v>
      </c>
      <c r="F1477" s="3">
        <v>23.483345031738281</v>
      </c>
      <c r="G1477" s="3">
        <v>472200</v>
      </c>
      <c r="H1477" s="3">
        <v>0</v>
      </c>
      <c r="I1477" s="3">
        <v>0</v>
      </c>
      <c r="J1477" s="3" t="str">
        <v>AB</v>
      </c>
      <c r="K1477" s="23">
        <v>44137</v>
      </c>
      <c r="L1477" s="22">
        <v>22.956600189208984</v>
      </c>
    </row>
    <row r="1478" spans="1:12" x14ac:dyDescent="0.25">
      <c r="A1478" s="9">
        <v>1471</v>
      </c>
      <c r="B1478" s="10">
        <v>44139</v>
      </c>
      <c r="C1478" s="3">
        <v>23.750644994632605</v>
      </c>
      <c r="D1478" s="3">
        <v>23.868573928686569</v>
      </c>
      <c r="E1478" s="3">
        <v>23.105973619667648</v>
      </c>
      <c r="F1478" s="3">
        <v>23.789955139160156</v>
      </c>
      <c r="G1478" s="3">
        <v>434400</v>
      </c>
      <c r="H1478" s="3">
        <v>0</v>
      </c>
      <c r="I1478" s="3">
        <v>0</v>
      </c>
      <c r="J1478" s="3" t="str">
        <v>AB</v>
      </c>
      <c r="K1478" s="23">
        <v>44138</v>
      </c>
      <c r="L1478" s="22">
        <v>23.483345031738281</v>
      </c>
    </row>
    <row r="1479" spans="1:12" x14ac:dyDescent="0.25">
      <c r="A1479" s="9">
        <v>1472</v>
      </c>
      <c r="B1479" s="10">
        <v>44140</v>
      </c>
      <c r="C1479" s="3">
        <v>23.978642023434112</v>
      </c>
      <c r="D1479" s="3">
        <v>24.528972112308075</v>
      </c>
      <c r="E1479" s="3">
        <v>23.947193904285268</v>
      </c>
      <c r="F1479" s="3">
        <v>24.253807067871094</v>
      </c>
      <c r="G1479" s="3">
        <v>679800</v>
      </c>
      <c r="H1479" s="3">
        <v>0</v>
      </c>
      <c r="I1479" s="3">
        <v>0</v>
      </c>
      <c r="J1479" s="3" t="str">
        <v>AB</v>
      </c>
      <c r="K1479" s="23">
        <v>44139</v>
      </c>
      <c r="L1479" s="22">
        <v>23.789955139160156</v>
      </c>
    </row>
    <row r="1480" spans="1:12" x14ac:dyDescent="0.25">
      <c r="A1480" s="9">
        <v>1473</v>
      </c>
      <c r="B1480" s="10">
        <v>44141</v>
      </c>
      <c r="C1480" s="3">
        <v>24.175189043069935</v>
      </c>
      <c r="D1480" s="3">
        <v>24.175189043069935</v>
      </c>
      <c r="E1480" s="3">
        <v>23.609136376038215</v>
      </c>
      <c r="F1480" s="3">
        <v>23.687753677368164</v>
      </c>
      <c r="G1480" s="3">
        <v>399000</v>
      </c>
      <c r="H1480" s="3">
        <v>0</v>
      </c>
      <c r="I1480" s="3">
        <v>0</v>
      </c>
      <c r="J1480" s="3" t="str">
        <v>AB</v>
      </c>
      <c r="K1480" s="23">
        <v>44140</v>
      </c>
      <c r="L1480" s="22">
        <v>24.253807067871094</v>
      </c>
    </row>
    <row r="1481" spans="1:12" x14ac:dyDescent="0.25">
      <c r="A1481" s="9">
        <v>1474</v>
      </c>
      <c r="B1481" s="10">
        <v>44144</v>
      </c>
      <c r="C1481" s="3">
        <v>24.387458575195978</v>
      </c>
      <c r="D1481" s="3">
        <v>24.898478515133888</v>
      </c>
      <c r="E1481" s="3">
        <v>24.049398791990161</v>
      </c>
      <c r="F1481" s="3">
        <v>24.253807067871094</v>
      </c>
      <c r="G1481" s="3">
        <v>756600</v>
      </c>
      <c r="H1481" s="3">
        <v>0</v>
      </c>
      <c r="I1481" s="3">
        <v>0</v>
      </c>
      <c r="J1481" s="3" t="str">
        <v>AB</v>
      </c>
      <c r="K1481" s="23">
        <v>44141</v>
      </c>
      <c r="L1481" s="22">
        <v>23.687753677368164</v>
      </c>
    </row>
    <row r="1482" spans="1:12" x14ac:dyDescent="0.25">
      <c r="A1482" s="9">
        <v>1475</v>
      </c>
      <c r="B1482" s="10">
        <v>44145</v>
      </c>
      <c r="C1482" s="3">
        <v>24.371739207041923</v>
      </c>
      <c r="D1482" s="3">
        <v>25.220820593157814</v>
      </c>
      <c r="E1482" s="3">
        <v>24.356015144440708</v>
      </c>
      <c r="F1482" s="3">
        <v>25.063581466674805</v>
      </c>
      <c r="G1482" s="3">
        <v>373800</v>
      </c>
      <c r="H1482" s="3">
        <v>0</v>
      </c>
      <c r="I1482" s="3">
        <v>0</v>
      </c>
      <c r="J1482" s="3" t="str">
        <v>AB</v>
      </c>
      <c r="K1482" s="23">
        <v>44144</v>
      </c>
      <c r="L1482" s="22">
        <v>24.253807067871094</v>
      </c>
    </row>
    <row r="1483" spans="1:12" x14ac:dyDescent="0.25">
      <c r="A1483" s="9">
        <v>1476</v>
      </c>
      <c r="B1483" s="10">
        <v>44146</v>
      </c>
      <c r="C1483" s="3">
        <v>25.016408890928862</v>
      </c>
      <c r="D1483" s="3">
        <v>25.079303637059212</v>
      </c>
      <c r="E1483" s="3">
        <v>24.576145668016412</v>
      </c>
      <c r="F1483" s="3">
        <v>24.906343460083008</v>
      </c>
      <c r="G1483" s="3">
        <v>317900</v>
      </c>
      <c r="H1483" s="3">
        <v>0</v>
      </c>
      <c r="I1483" s="3">
        <v>0</v>
      </c>
      <c r="J1483" s="3" t="str">
        <v>AB</v>
      </c>
      <c r="K1483" s="23">
        <v>44145</v>
      </c>
      <c r="L1483" s="22">
        <v>25.063581466674805</v>
      </c>
    </row>
    <row r="1484" spans="1:12" x14ac:dyDescent="0.25">
      <c r="A1484" s="9">
        <v>1477</v>
      </c>
      <c r="B1484" s="10">
        <v>44147</v>
      </c>
      <c r="C1484" s="3">
        <v>24.961373713344759</v>
      </c>
      <c r="D1484" s="3">
        <v>25.118611312925413</v>
      </c>
      <c r="E1484" s="3">
        <v>24.285254134488383</v>
      </c>
      <c r="F1484" s="3">
        <v>24.678346633911133</v>
      </c>
      <c r="G1484" s="3">
        <v>392200</v>
      </c>
      <c r="H1484" s="3">
        <v>0</v>
      </c>
      <c r="I1484" s="3">
        <v>0</v>
      </c>
      <c r="J1484" s="3" t="str">
        <v>AB</v>
      </c>
      <c r="K1484" s="23">
        <v>44146</v>
      </c>
      <c r="L1484" s="22">
        <v>24.906343460083008</v>
      </c>
    </row>
    <row r="1485" spans="1:12" x14ac:dyDescent="0.25">
      <c r="A1485" s="9">
        <v>1478</v>
      </c>
      <c r="B1485" s="10">
        <v>44148</v>
      </c>
      <c r="C1485" s="3">
        <v>24.764829666047603</v>
      </c>
      <c r="D1485" s="3">
        <v>25.02427067875837</v>
      </c>
      <c r="E1485" s="3">
        <v>24.694072889896574</v>
      </c>
      <c r="F1485" s="3">
        <v>24.874895095825195</v>
      </c>
      <c r="G1485" s="3">
        <v>311800</v>
      </c>
      <c r="H1485" s="3">
        <v>0</v>
      </c>
      <c r="I1485" s="3">
        <v>0</v>
      </c>
      <c r="J1485" s="3" t="str">
        <v>AB</v>
      </c>
      <c r="K1485" s="23">
        <v>44147</v>
      </c>
      <c r="L1485" s="22">
        <v>24.678346633911133</v>
      </c>
    </row>
    <row r="1486" spans="1:12" x14ac:dyDescent="0.25">
      <c r="A1486" s="9">
        <v>1479</v>
      </c>
      <c r="B1486" s="10">
        <v>44151</v>
      </c>
      <c r="C1486" s="3">
        <v>25.28370997304075</v>
      </c>
      <c r="D1486" s="3">
        <v>25.393775395337656</v>
      </c>
      <c r="E1486" s="3">
        <v>24.95351220662112</v>
      </c>
      <c r="F1486" s="3">
        <v>25.165781021118164</v>
      </c>
      <c r="G1486" s="3">
        <v>347500</v>
      </c>
      <c r="H1486" s="3">
        <v>0</v>
      </c>
      <c r="I1486" s="3">
        <v>0</v>
      </c>
      <c r="J1486" s="3" t="str">
        <v>AB</v>
      </c>
      <c r="K1486" s="23">
        <v>44148</v>
      </c>
      <c r="L1486" s="22">
        <v>24.874895095825195</v>
      </c>
    </row>
    <row r="1487" spans="1:12" x14ac:dyDescent="0.25">
      <c r="A1487" s="9">
        <v>1480</v>
      </c>
      <c r="B1487" s="10">
        <v>44152</v>
      </c>
      <c r="C1487" s="3">
        <v>24.961371546206681</v>
      </c>
      <c r="D1487" s="3">
        <v>25.063574927390626</v>
      </c>
      <c r="E1487" s="3">
        <v>24.418903524232093</v>
      </c>
      <c r="F1487" s="3">
        <v>24.544692993164063</v>
      </c>
      <c r="G1487" s="3">
        <v>490800</v>
      </c>
      <c r="H1487" s="3">
        <v>0</v>
      </c>
      <c r="I1487" s="3">
        <v>0</v>
      </c>
      <c r="J1487" s="3" t="str">
        <v>AB</v>
      </c>
      <c r="K1487" s="23">
        <v>44151</v>
      </c>
      <c r="L1487" s="22">
        <v>25.165781021118164</v>
      </c>
    </row>
    <row r="1488" spans="1:12" x14ac:dyDescent="0.25">
      <c r="A1488" s="9">
        <v>1481</v>
      </c>
      <c r="B1488" s="10">
        <v>44153</v>
      </c>
      <c r="C1488" s="3">
        <v>24.749103403769539</v>
      </c>
      <c r="D1488" s="3">
        <v>25.299433502772946</v>
      </c>
      <c r="E1488" s="3">
        <v>24.639037983780412</v>
      </c>
      <c r="F1488" s="3">
        <v>24.678346633911133</v>
      </c>
      <c r="G1488" s="3">
        <v>291400</v>
      </c>
      <c r="H1488" s="3">
        <v>0</v>
      </c>
      <c r="I1488" s="3">
        <v>0</v>
      </c>
      <c r="J1488" s="3" t="str">
        <v>AB</v>
      </c>
      <c r="K1488" s="23">
        <v>44152</v>
      </c>
      <c r="L1488" s="22">
        <v>24.544692993164063</v>
      </c>
    </row>
    <row r="1489" spans="1:12" x14ac:dyDescent="0.25">
      <c r="A1489" s="9">
        <v>1482</v>
      </c>
      <c r="B1489" s="10">
        <v>44154</v>
      </c>
      <c r="C1489" s="3">
        <v>24.678347238648243</v>
      </c>
      <c r="D1489" s="3">
        <v>24.9535122948928</v>
      </c>
      <c r="E1489" s="3">
        <v>24.45821639327573</v>
      </c>
      <c r="F1489" s="3">
        <v>24.914203643798828</v>
      </c>
      <c r="G1489" s="3">
        <v>182500</v>
      </c>
      <c r="H1489" s="3">
        <v>0</v>
      </c>
      <c r="I1489" s="3">
        <v>0</v>
      </c>
      <c r="J1489" s="3" t="str">
        <v>AB</v>
      </c>
      <c r="K1489" s="23">
        <v>44153</v>
      </c>
      <c r="L1489" s="22">
        <v>24.678346633911133</v>
      </c>
    </row>
    <row r="1490" spans="1:12" x14ac:dyDescent="0.25">
      <c r="A1490" s="9">
        <v>1483</v>
      </c>
      <c r="B1490" s="10">
        <v>44155</v>
      </c>
      <c r="C1490" s="3">
        <v>24.709797190984535</v>
      </c>
      <c r="D1490" s="3">
        <v>24.984962267628202</v>
      </c>
      <c r="E1490" s="3">
        <v>24.607592291317072</v>
      </c>
      <c r="F1490" s="3">
        <v>24.906343460083008</v>
      </c>
      <c r="G1490" s="3">
        <v>183600</v>
      </c>
      <c r="H1490" s="3">
        <v>0</v>
      </c>
      <c r="I1490" s="3">
        <v>0</v>
      </c>
      <c r="J1490" s="3" t="str">
        <v>AB</v>
      </c>
      <c r="K1490" s="23">
        <v>44154</v>
      </c>
      <c r="L1490" s="22">
        <v>24.914203643798828</v>
      </c>
    </row>
    <row r="1491" spans="1:12" x14ac:dyDescent="0.25">
      <c r="A1491" s="9">
        <v>1484</v>
      </c>
      <c r="B1491" s="10">
        <v>44158</v>
      </c>
      <c r="C1491" s="3">
        <v>25.110748037938659</v>
      </c>
      <c r="D1491" s="3">
        <v>25.354464955628575</v>
      </c>
      <c r="E1491" s="3">
        <v>24.890615709346243</v>
      </c>
      <c r="F1491" s="3">
        <v>24.922063827514648</v>
      </c>
      <c r="G1491" s="3">
        <v>270300</v>
      </c>
      <c r="H1491" s="3">
        <v>0</v>
      </c>
      <c r="I1491" s="3">
        <v>0</v>
      </c>
      <c r="J1491" s="3" t="str">
        <v>AB</v>
      </c>
      <c r="K1491" s="23">
        <v>44155</v>
      </c>
      <c r="L1491" s="22">
        <v>24.906343460083008</v>
      </c>
    </row>
    <row r="1492" spans="1:12" x14ac:dyDescent="0.25">
      <c r="A1492" s="9">
        <v>1485</v>
      </c>
      <c r="B1492" s="10">
        <v>44159</v>
      </c>
      <c r="C1492" s="3">
        <v>25.173643501203951</v>
      </c>
      <c r="D1492" s="3">
        <v>25.362326217544133</v>
      </c>
      <c r="E1492" s="3">
        <v>24.851307778319914</v>
      </c>
      <c r="F1492" s="3">
        <v>25.275848388671875</v>
      </c>
      <c r="G1492" s="3">
        <v>318900</v>
      </c>
      <c r="H1492" s="3">
        <v>0</v>
      </c>
      <c r="I1492" s="3">
        <v>0</v>
      </c>
      <c r="J1492" s="3" t="str">
        <v>AB</v>
      </c>
      <c r="K1492" s="23">
        <v>44158</v>
      </c>
      <c r="L1492" s="22">
        <v>24.922063827514648</v>
      </c>
    </row>
    <row r="1493" spans="1:12" x14ac:dyDescent="0.25">
      <c r="A1493" s="9">
        <v>1486</v>
      </c>
      <c r="B1493" s="10">
        <v>44160</v>
      </c>
      <c r="C1493" s="3">
        <v>25.157920574867354</v>
      </c>
      <c r="D1493" s="3">
        <v>25.409499540691399</v>
      </c>
      <c r="E1493" s="3">
        <v>24.835584837464179</v>
      </c>
      <c r="F1493" s="3">
        <v>25.071439743041992</v>
      </c>
      <c r="G1493" s="3">
        <v>305900</v>
      </c>
      <c r="H1493" s="3">
        <v>0</v>
      </c>
      <c r="I1493" s="3">
        <v>0</v>
      </c>
      <c r="J1493" s="3" t="str">
        <v>AB</v>
      </c>
      <c r="K1493" s="23">
        <v>44159</v>
      </c>
      <c r="L1493" s="22">
        <v>25.275848388671875</v>
      </c>
    </row>
    <row r="1494" spans="1:12" x14ac:dyDescent="0.25">
      <c r="A1494" s="9">
        <v>1487</v>
      </c>
      <c r="B1494" s="10">
        <v>44162</v>
      </c>
      <c r="C1494" s="3">
        <v>25.118612738470407</v>
      </c>
      <c r="D1494" s="3">
        <v>25.480257138689712</v>
      </c>
      <c r="E1494" s="3">
        <v>25.118612738470407</v>
      </c>
      <c r="F1494" s="3">
        <v>25.440948486328125</v>
      </c>
      <c r="G1494" s="3">
        <v>105100</v>
      </c>
      <c r="H1494" s="3">
        <v>0</v>
      </c>
      <c r="I1494" s="3">
        <v>0</v>
      </c>
      <c r="J1494" s="3" t="str">
        <v>AB</v>
      </c>
      <c r="K1494" s="23">
        <v>44160</v>
      </c>
      <c r="L1494" s="22">
        <v>25.071439743041992</v>
      </c>
    </row>
    <row r="1495" spans="1:12" x14ac:dyDescent="0.25">
      <c r="A1495" s="9">
        <v>1488</v>
      </c>
      <c r="B1495" s="10">
        <v>44165</v>
      </c>
      <c r="C1495" s="3">
        <v>25.456673949813862</v>
      </c>
      <c r="D1495" s="3">
        <v>25.543154789209439</v>
      </c>
      <c r="E1495" s="3">
        <v>24.961376505403447</v>
      </c>
      <c r="F1495" s="3">
        <v>25.055719375610352</v>
      </c>
      <c r="G1495" s="3">
        <v>252000</v>
      </c>
      <c r="H1495" s="3">
        <v>0</v>
      </c>
      <c r="I1495" s="3">
        <v>0</v>
      </c>
      <c r="J1495" s="3" t="str">
        <v>AB</v>
      </c>
      <c r="K1495" s="23">
        <v>44162</v>
      </c>
      <c r="L1495" s="22">
        <v>25.440948486328125</v>
      </c>
    </row>
    <row r="1496" spans="1:12" x14ac:dyDescent="0.25">
      <c r="A1496" s="9">
        <v>1489</v>
      </c>
      <c r="B1496" s="10">
        <v>44166</v>
      </c>
      <c r="C1496" s="3">
        <v>25.275846412540442</v>
      </c>
      <c r="D1496" s="3">
        <v>25.786864811811913</v>
      </c>
      <c r="E1496" s="3">
        <v>25.157917474754544</v>
      </c>
      <c r="F1496" s="3">
        <v>25.629627227783203</v>
      </c>
      <c r="G1496" s="3">
        <v>265400</v>
      </c>
      <c r="H1496" s="3">
        <v>0</v>
      </c>
      <c r="I1496" s="3">
        <v>0</v>
      </c>
      <c r="J1496" s="3" t="str">
        <v>AB</v>
      </c>
      <c r="K1496" s="23">
        <v>44165</v>
      </c>
      <c r="L1496" s="22">
        <v>25.055719375610352</v>
      </c>
    </row>
    <row r="1497" spans="1:12" x14ac:dyDescent="0.25">
      <c r="A1497" s="9">
        <v>1490</v>
      </c>
      <c r="B1497" s="10">
        <v>44167</v>
      </c>
      <c r="C1497" s="3">
        <v>25.684660694248045</v>
      </c>
      <c r="D1497" s="3">
        <v>26.203545636652304</v>
      </c>
      <c r="E1497" s="3">
        <v>25.551010693246383</v>
      </c>
      <c r="F1497" s="3">
        <v>26.038444519042969</v>
      </c>
      <c r="G1497" s="3">
        <v>273800</v>
      </c>
      <c r="H1497" s="3">
        <v>0</v>
      </c>
      <c r="I1497" s="3">
        <v>0</v>
      </c>
      <c r="J1497" s="3" t="str">
        <v>AB</v>
      </c>
      <c r="K1497" s="23">
        <v>44166</v>
      </c>
      <c r="L1497" s="22">
        <v>25.629627227783203</v>
      </c>
    </row>
    <row r="1498" spans="1:12" x14ac:dyDescent="0.25">
      <c r="A1498" s="9">
        <v>1491</v>
      </c>
      <c r="B1498" s="10">
        <v>44168</v>
      </c>
      <c r="C1498" s="3">
        <v>26.172100656936955</v>
      </c>
      <c r="D1498" s="3">
        <v>26.966146226403279</v>
      </c>
      <c r="E1498" s="3">
        <v>26.172100656936955</v>
      </c>
      <c r="F1498" s="3">
        <v>26.565193176269531</v>
      </c>
      <c r="G1498" s="3">
        <v>666100</v>
      </c>
      <c r="H1498" s="3">
        <v>0</v>
      </c>
      <c r="I1498" s="3">
        <v>0</v>
      </c>
      <c r="J1498" s="3" t="str">
        <v>AB</v>
      </c>
      <c r="K1498" s="23">
        <v>44167</v>
      </c>
      <c r="L1498" s="22">
        <v>26.038444519042969</v>
      </c>
    </row>
    <row r="1499" spans="1:12" x14ac:dyDescent="0.25">
      <c r="A1499" s="9">
        <v>1492</v>
      </c>
      <c r="B1499" s="10">
        <v>44169</v>
      </c>
      <c r="C1499" s="3">
        <v>26.392230828198606</v>
      </c>
      <c r="D1499" s="3">
        <v>26.573053022546649</v>
      </c>
      <c r="E1499" s="3">
        <v>26.101343211122003</v>
      </c>
      <c r="F1499" s="3">
        <v>26.266441345214844</v>
      </c>
      <c r="G1499" s="3">
        <v>325800</v>
      </c>
      <c r="H1499" s="3">
        <v>0</v>
      </c>
      <c r="I1499" s="3">
        <v>0</v>
      </c>
      <c r="J1499" s="3" t="str">
        <v>AB</v>
      </c>
      <c r="K1499" s="23">
        <v>44168</v>
      </c>
      <c r="L1499" s="22">
        <v>26.565193176269531</v>
      </c>
    </row>
    <row r="1500" spans="1:12" x14ac:dyDescent="0.25">
      <c r="A1500" s="9">
        <v>1493</v>
      </c>
      <c r="B1500" s="10">
        <v>44172</v>
      </c>
      <c r="C1500" s="3">
        <v>26.085618154572217</v>
      </c>
      <c r="D1500" s="3">
        <v>26.140650863834619</v>
      </c>
      <c r="E1500" s="3">
        <v>25.645353481415274</v>
      </c>
      <c r="F1500" s="3">
        <v>25.771142959594727</v>
      </c>
      <c r="G1500" s="3">
        <v>420000</v>
      </c>
      <c r="H1500" s="3">
        <v>0</v>
      </c>
      <c r="I1500" s="3">
        <v>0</v>
      </c>
      <c r="J1500" s="3" t="str">
        <v>AB</v>
      </c>
      <c r="K1500" s="23">
        <v>44169</v>
      </c>
      <c r="L1500" s="22">
        <v>26.266441345214844</v>
      </c>
    </row>
    <row r="1501" spans="1:12" x14ac:dyDescent="0.25">
      <c r="A1501" s="9">
        <v>1494</v>
      </c>
      <c r="B1501" s="10">
        <v>44173</v>
      </c>
      <c r="C1501" s="3">
        <v>25.543150623814757</v>
      </c>
      <c r="D1501" s="3">
        <v>26.486570174863381</v>
      </c>
      <c r="E1501" s="3">
        <v>25.40163709134594</v>
      </c>
      <c r="F1501" s="3">
        <v>26.046308517456055</v>
      </c>
      <c r="G1501" s="3">
        <v>338900</v>
      </c>
      <c r="H1501" s="3">
        <v>0</v>
      </c>
      <c r="I1501" s="3">
        <v>0</v>
      </c>
      <c r="J1501" s="3" t="str">
        <v>AB</v>
      </c>
      <c r="K1501" s="23">
        <v>44172</v>
      </c>
      <c r="L1501" s="22">
        <v>25.771142959594727</v>
      </c>
    </row>
    <row r="1502" spans="1:12" x14ac:dyDescent="0.25">
      <c r="A1502" s="9">
        <v>1495</v>
      </c>
      <c r="B1502" s="10">
        <v>44174</v>
      </c>
      <c r="C1502" s="3">
        <v>25.69252623606419</v>
      </c>
      <c r="D1502" s="3">
        <v>25.841900307543732</v>
      </c>
      <c r="E1502" s="3">
        <v>24.544695347546504</v>
      </c>
      <c r="F1502" s="3">
        <v>24.654762268066406</v>
      </c>
      <c r="G1502" s="3">
        <v>1326800</v>
      </c>
      <c r="H1502" s="3">
        <v>0</v>
      </c>
      <c r="I1502" s="3">
        <v>0</v>
      </c>
      <c r="J1502" s="3" t="str">
        <v>AB</v>
      </c>
      <c r="K1502" s="23">
        <v>44173</v>
      </c>
      <c r="L1502" s="22">
        <v>26.046308517456055</v>
      </c>
    </row>
    <row r="1503" spans="1:12" x14ac:dyDescent="0.25">
      <c r="A1503" s="9">
        <v>1496</v>
      </c>
      <c r="B1503" s="10">
        <v>44175</v>
      </c>
      <c r="C1503" s="3">
        <v>24.544695757614512</v>
      </c>
      <c r="D1503" s="3">
        <v>25.668942074433414</v>
      </c>
      <c r="E1503" s="3">
        <v>24.513249136604088</v>
      </c>
      <c r="F1503" s="3">
        <v>25.18150520324707</v>
      </c>
      <c r="G1503" s="3">
        <v>680300</v>
      </c>
      <c r="H1503" s="3">
        <v>0</v>
      </c>
      <c r="I1503" s="3">
        <v>0</v>
      </c>
      <c r="J1503" s="3" t="str">
        <v>AB</v>
      </c>
      <c r="K1503" s="23">
        <v>44174</v>
      </c>
      <c r="L1503" s="22">
        <v>24.654762268066406</v>
      </c>
    </row>
    <row r="1504" spans="1:12" x14ac:dyDescent="0.25">
      <c r="A1504" s="9">
        <v>1497</v>
      </c>
      <c r="B1504" s="10">
        <v>44176</v>
      </c>
      <c r="C1504" s="3">
        <v>25.047857101177705</v>
      </c>
      <c r="D1504" s="3">
        <v>25.849766241785169</v>
      </c>
      <c r="E1504" s="3">
        <v>24.969238293358121</v>
      </c>
      <c r="F1504" s="3">
        <v>25.236539840698242</v>
      </c>
      <c r="G1504" s="3">
        <v>454500</v>
      </c>
      <c r="H1504" s="3">
        <v>0</v>
      </c>
      <c r="I1504" s="3">
        <v>0</v>
      </c>
      <c r="J1504" s="3" t="str">
        <v>AB</v>
      </c>
      <c r="K1504" s="23">
        <v>44175</v>
      </c>
      <c r="L1504" s="22">
        <v>25.18150520324707</v>
      </c>
    </row>
    <row r="1505" spans="1:12" x14ac:dyDescent="0.25">
      <c r="A1505" s="9">
        <v>1498</v>
      </c>
      <c r="B1505" s="10">
        <v>44179</v>
      </c>
      <c r="C1505" s="3">
        <v>25.236534686551025</v>
      </c>
      <c r="D1505" s="3">
        <v>25.495977149227496</v>
      </c>
      <c r="E1505" s="3">
        <v>25.039989956436656</v>
      </c>
      <c r="F1505" s="3">
        <v>25.205089569091797</v>
      </c>
      <c r="G1505" s="3">
        <v>396700</v>
      </c>
      <c r="H1505" s="3">
        <v>0</v>
      </c>
      <c r="I1505" s="3">
        <v>0</v>
      </c>
      <c r="J1505" s="3" t="str">
        <v>AB</v>
      </c>
      <c r="K1505" s="23">
        <v>44176</v>
      </c>
      <c r="L1505" s="22">
        <v>25.236539840698242</v>
      </c>
    </row>
    <row r="1506" spans="1:12" x14ac:dyDescent="0.25">
      <c r="A1506" s="9">
        <v>1499</v>
      </c>
      <c r="B1506" s="10">
        <v>44180</v>
      </c>
      <c r="C1506" s="3">
        <v>25.433086649237634</v>
      </c>
      <c r="D1506" s="3">
        <v>25.629632923185557</v>
      </c>
      <c r="E1506" s="3">
        <v>25.157923065333801</v>
      </c>
      <c r="F1506" s="3">
        <v>25.519567489624023</v>
      </c>
      <c r="G1506" s="3">
        <v>312600</v>
      </c>
      <c r="H1506" s="3">
        <v>0</v>
      </c>
      <c r="I1506" s="3">
        <v>0</v>
      </c>
      <c r="J1506" s="3" t="str">
        <v>AB</v>
      </c>
      <c r="K1506" s="23">
        <v>44179</v>
      </c>
      <c r="L1506" s="22">
        <v>25.205089569091797</v>
      </c>
    </row>
    <row r="1507" spans="1:12" x14ac:dyDescent="0.25">
      <c r="A1507" s="9">
        <v>1500</v>
      </c>
      <c r="B1507" s="10">
        <v>44181</v>
      </c>
      <c r="C1507" s="3">
        <v>25.661076666978794</v>
      </c>
      <c r="D1507" s="3">
        <v>26.187822150764944</v>
      </c>
      <c r="E1507" s="3">
        <v>25.558871782233847</v>
      </c>
      <c r="F1507" s="3">
        <v>26.006999969482422</v>
      </c>
      <c r="G1507" s="3">
        <v>562100</v>
      </c>
      <c r="H1507" s="3">
        <v>0</v>
      </c>
      <c r="I1507" s="3">
        <v>0</v>
      </c>
      <c r="J1507" s="3" t="str">
        <v>AB</v>
      </c>
      <c r="K1507" s="23">
        <v>44180</v>
      </c>
      <c r="L1507" s="22">
        <v>25.519567489624023</v>
      </c>
    </row>
    <row r="1508" spans="1:12" x14ac:dyDescent="0.25">
      <c r="A1508" s="9">
        <v>1501</v>
      </c>
      <c r="B1508" s="10">
        <v>44182</v>
      </c>
      <c r="C1508" s="3">
        <v>26.007001802550157</v>
      </c>
      <c r="D1508" s="3">
        <v>26.557328915217482</v>
      </c>
      <c r="E1508" s="3">
        <v>25.983414212680245</v>
      </c>
      <c r="F1508" s="3">
        <v>26.470848083496094</v>
      </c>
      <c r="G1508" s="3">
        <v>392800</v>
      </c>
      <c r="H1508" s="3">
        <v>0</v>
      </c>
      <c r="I1508" s="3">
        <v>0</v>
      </c>
      <c r="J1508" s="3" t="str">
        <v>AB</v>
      </c>
      <c r="K1508" s="23">
        <v>44181</v>
      </c>
      <c r="L1508" s="22">
        <v>26.006999969482422</v>
      </c>
    </row>
    <row r="1509" spans="1:12" x14ac:dyDescent="0.25">
      <c r="A1509" s="9">
        <v>1502</v>
      </c>
      <c r="B1509" s="10">
        <v>44183</v>
      </c>
      <c r="C1509" s="3">
        <v>26.415813915249146</v>
      </c>
      <c r="D1509" s="3">
        <v>26.573051509792062</v>
      </c>
      <c r="E1509" s="3">
        <v>26.069893606500866</v>
      </c>
      <c r="F1509" s="3">
        <v>26.423677444458008</v>
      </c>
      <c r="G1509" s="3">
        <v>343800</v>
      </c>
      <c r="H1509" s="3">
        <v>0</v>
      </c>
      <c r="I1509" s="3">
        <v>0</v>
      </c>
      <c r="J1509" s="3" t="str">
        <v>AB</v>
      </c>
      <c r="K1509" s="23">
        <v>44182</v>
      </c>
      <c r="L1509" s="22">
        <v>26.470848083496094</v>
      </c>
    </row>
    <row r="1510" spans="1:12" x14ac:dyDescent="0.25">
      <c r="A1510" s="9">
        <v>1503</v>
      </c>
      <c r="B1510" s="10">
        <v>44186</v>
      </c>
      <c r="C1510" s="3">
        <v>26.290022392335153</v>
      </c>
      <c r="D1510" s="3">
        <v>26.423675386959832</v>
      </c>
      <c r="E1510" s="3">
        <v>25.959826168657894</v>
      </c>
      <c r="F1510" s="3">
        <v>26.35291862487793</v>
      </c>
      <c r="G1510" s="3">
        <v>189900</v>
      </c>
      <c r="H1510" s="3">
        <v>0</v>
      </c>
      <c r="I1510" s="3">
        <v>0</v>
      </c>
      <c r="J1510" s="3" t="str">
        <v>AB</v>
      </c>
      <c r="K1510" s="23">
        <v>44183</v>
      </c>
      <c r="L1510" s="22">
        <v>26.423677444458008</v>
      </c>
    </row>
    <row r="1511" spans="1:12" x14ac:dyDescent="0.25">
      <c r="A1511" s="9">
        <v>1504</v>
      </c>
      <c r="B1511" s="10">
        <v>44187</v>
      </c>
      <c r="C1511" s="3">
        <v>26.27429972149443</v>
      </c>
      <c r="D1511" s="3">
        <v>26.462985430028006</v>
      </c>
      <c r="E1511" s="3">
        <v>26.054168894086583</v>
      </c>
      <c r="F1511" s="3">
        <v>26.234991073608398</v>
      </c>
      <c r="G1511" s="3">
        <v>250000</v>
      </c>
      <c r="H1511" s="3">
        <v>0</v>
      </c>
      <c r="I1511" s="3">
        <v>0</v>
      </c>
      <c r="J1511" s="3" t="str">
        <v>AB</v>
      </c>
      <c r="K1511" s="23">
        <v>44186</v>
      </c>
      <c r="L1511" s="22">
        <v>26.35291862487793</v>
      </c>
    </row>
    <row r="1512" spans="1:12" x14ac:dyDescent="0.25">
      <c r="A1512" s="9">
        <v>1505</v>
      </c>
      <c r="B1512" s="10">
        <v>44188</v>
      </c>
      <c r="C1512" s="3">
        <v>26.219267483621884</v>
      </c>
      <c r="D1512" s="3">
        <v>26.557327259792231</v>
      </c>
      <c r="E1512" s="3">
        <v>26.093478008702053</v>
      </c>
      <c r="F1512" s="3">
        <v>26.242855072021484</v>
      </c>
      <c r="G1512" s="3">
        <v>253700</v>
      </c>
      <c r="H1512" s="3">
        <v>0</v>
      </c>
      <c r="I1512" s="3">
        <v>0</v>
      </c>
      <c r="J1512" s="3" t="str">
        <v>AB</v>
      </c>
      <c r="K1512" s="23">
        <v>44187</v>
      </c>
      <c r="L1512" s="22">
        <v>26.234991073608398</v>
      </c>
    </row>
    <row r="1513" spans="1:12" x14ac:dyDescent="0.25">
      <c r="A1513" s="9">
        <v>1506</v>
      </c>
      <c r="B1513" s="10">
        <v>44189</v>
      </c>
      <c r="C1513" s="3">
        <v>26.140649718870407</v>
      </c>
      <c r="D1513" s="3">
        <v>26.360780546278253</v>
      </c>
      <c r="E1513" s="3">
        <v>25.975551598314521</v>
      </c>
      <c r="F1513" s="3">
        <v>26.234991073608398</v>
      </c>
      <c r="G1513" s="3">
        <v>66700</v>
      </c>
      <c r="H1513" s="3">
        <v>0</v>
      </c>
      <c r="I1513" s="3">
        <v>0</v>
      </c>
      <c r="J1513" s="3" t="str">
        <v>AB</v>
      </c>
      <c r="K1513" s="23">
        <v>44188</v>
      </c>
      <c r="L1513" s="22">
        <v>26.242855072021484</v>
      </c>
    </row>
    <row r="1514" spans="1:12" x14ac:dyDescent="0.25">
      <c r="A1514" s="9">
        <v>1507</v>
      </c>
      <c r="B1514" s="10">
        <v>44193</v>
      </c>
      <c r="C1514" s="3">
        <v>26.266439346159718</v>
      </c>
      <c r="D1514" s="3">
        <v>26.439400996745519</v>
      </c>
      <c r="E1514" s="3">
        <v>26.014860399339067</v>
      </c>
      <c r="F1514" s="3">
        <v>26.046308517456055</v>
      </c>
      <c r="G1514" s="3">
        <v>293600</v>
      </c>
      <c r="H1514" s="3">
        <v>0</v>
      </c>
      <c r="I1514" s="3">
        <v>0</v>
      </c>
      <c r="J1514" s="3" t="str">
        <v>AB</v>
      </c>
      <c r="K1514" s="23">
        <v>44189</v>
      </c>
      <c r="L1514" s="22">
        <v>26.234991073608398</v>
      </c>
    </row>
    <row r="1515" spans="1:12" x14ac:dyDescent="0.25">
      <c r="A1515" s="9">
        <v>1508</v>
      </c>
      <c r="B1515" s="10">
        <v>44194</v>
      </c>
      <c r="C1515" s="3">
        <v>26.266442426366176</v>
      </c>
      <c r="D1515" s="3">
        <v>26.266442426366176</v>
      </c>
      <c r="E1515" s="3">
        <v>25.747560412818263</v>
      </c>
      <c r="F1515" s="3">
        <v>25.841901779174805</v>
      </c>
      <c r="G1515" s="3">
        <v>213300</v>
      </c>
      <c r="H1515" s="3">
        <v>0</v>
      </c>
      <c r="I1515" s="3">
        <v>0</v>
      </c>
      <c r="J1515" s="3" t="str">
        <v>AB</v>
      </c>
      <c r="K1515" s="23">
        <v>44193</v>
      </c>
      <c r="L1515" s="22">
        <v>26.046308517456055</v>
      </c>
    </row>
    <row r="1516" spans="1:12" x14ac:dyDescent="0.25">
      <c r="A1516" s="9">
        <v>1509</v>
      </c>
      <c r="B1516" s="10">
        <v>44195</v>
      </c>
      <c r="C1516" s="3">
        <v>25.98341208201942</v>
      </c>
      <c r="D1516" s="3">
        <v>26.234991026911331</v>
      </c>
      <c r="E1516" s="3">
        <v>25.94410343420336</v>
      </c>
      <c r="F1516" s="3">
        <v>26.12492561340332</v>
      </c>
      <c r="G1516" s="3">
        <v>190500</v>
      </c>
      <c r="H1516" s="3">
        <v>0</v>
      </c>
      <c r="I1516" s="3">
        <v>0</v>
      </c>
      <c r="J1516" s="3" t="str">
        <v>AB</v>
      </c>
      <c r="K1516" s="23">
        <v>44194</v>
      </c>
      <c r="L1516" s="22">
        <v>25.841901779174805</v>
      </c>
    </row>
    <row r="1517" spans="1:12" x14ac:dyDescent="0.25">
      <c r="A1517" s="9">
        <v>1510</v>
      </c>
      <c r="B1517" s="10">
        <v>44196</v>
      </c>
      <c r="C1517" s="3">
        <v>26.203546775874191</v>
      </c>
      <c r="D1517" s="3">
        <v>26.604499795368511</v>
      </c>
      <c r="E1517" s="3">
        <v>25.983412942510419</v>
      </c>
      <c r="F1517" s="3">
        <v>26.549467086791992</v>
      </c>
      <c r="G1517" s="3">
        <v>265500</v>
      </c>
      <c r="H1517" s="3">
        <v>0</v>
      </c>
      <c r="I1517" s="3">
        <v>0</v>
      </c>
      <c r="J1517" s="3" t="str">
        <v>AB</v>
      </c>
      <c r="K1517" s="23">
        <v>44195</v>
      </c>
      <c r="L1517" s="22">
        <v>26.12492561340332</v>
      </c>
    </row>
    <row r="1518" spans="1:12" x14ac:dyDescent="0.25">
      <c r="A1518" s="9">
        <v>1511</v>
      </c>
      <c r="B1518" s="10">
        <v>44200</v>
      </c>
      <c r="C1518" s="3">
        <v>26.730290463096217</v>
      </c>
      <c r="D1518" s="3">
        <v>26.730290463096217</v>
      </c>
      <c r="E1518" s="3">
        <v>25.818315967258776</v>
      </c>
      <c r="F1518" s="3">
        <v>26.140651702880859</v>
      </c>
      <c r="G1518" s="3">
        <v>341300</v>
      </c>
      <c r="H1518" s="3">
        <v>0</v>
      </c>
      <c r="I1518" s="3">
        <v>0</v>
      </c>
      <c r="J1518" s="3" t="str">
        <v>AB</v>
      </c>
      <c r="K1518" s="23">
        <v>44196</v>
      </c>
      <c r="L1518" s="22">
        <v>26.549467086791992</v>
      </c>
    </row>
    <row r="1519" spans="1:12" x14ac:dyDescent="0.25">
      <c r="A1519" s="9">
        <v>1512</v>
      </c>
      <c r="B1519" s="10">
        <v>44201</v>
      </c>
      <c r="C1519" s="3">
        <v>26.23499269688601</v>
      </c>
      <c r="D1519" s="3">
        <v>26.470847597853197</v>
      </c>
      <c r="E1519" s="3">
        <v>26.022722386298209</v>
      </c>
      <c r="F1519" s="3">
        <v>26.093479156494141</v>
      </c>
      <c r="G1519" s="3">
        <v>164900</v>
      </c>
      <c r="H1519" s="3">
        <v>0</v>
      </c>
      <c r="I1519" s="3">
        <v>0</v>
      </c>
      <c r="J1519" s="3" t="str">
        <v>AB</v>
      </c>
      <c r="K1519" s="23">
        <v>44200</v>
      </c>
      <c r="L1519" s="22">
        <v>26.140651702880859</v>
      </c>
    </row>
    <row r="1520" spans="1:12" x14ac:dyDescent="0.25">
      <c r="A1520" s="9">
        <v>1513</v>
      </c>
      <c r="B1520" s="10">
        <v>44202</v>
      </c>
      <c r="C1520" s="3">
        <v>26.227131988593108</v>
      </c>
      <c r="D1520" s="3">
        <v>27.516474904257656</v>
      </c>
      <c r="E1520" s="3">
        <v>26.227131988593108</v>
      </c>
      <c r="F1520" s="3">
        <v>26.997592926025391</v>
      </c>
      <c r="G1520" s="3">
        <v>609800</v>
      </c>
      <c r="H1520" s="3">
        <v>0</v>
      </c>
      <c r="I1520" s="3">
        <v>0</v>
      </c>
      <c r="J1520" s="3" t="str">
        <v>AB</v>
      </c>
      <c r="K1520" s="23">
        <v>44201</v>
      </c>
      <c r="L1520" s="22">
        <v>26.093479156494141</v>
      </c>
    </row>
    <row r="1521" spans="1:12" x14ac:dyDescent="0.25">
      <c r="A1521" s="9">
        <v>1514</v>
      </c>
      <c r="B1521" s="10">
        <v>44203</v>
      </c>
      <c r="C1521" s="3">
        <v>27.319927750923515</v>
      </c>
      <c r="D1521" s="3">
        <v>28.074664603549287</v>
      </c>
      <c r="E1521" s="3">
        <v>26.856078497923946</v>
      </c>
      <c r="F1521" s="3">
        <v>27.492889404296875</v>
      </c>
      <c r="G1521" s="3">
        <v>410700</v>
      </c>
      <c r="H1521" s="3">
        <v>0</v>
      </c>
      <c r="I1521" s="3">
        <v>0</v>
      </c>
      <c r="J1521" s="3" t="str">
        <v>AB</v>
      </c>
      <c r="K1521" s="23">
        <v>44202</v>
      </c>
      <c r="L1521" s="22">
        <v>26.997592926025391</v>
      </c>
    </row>
    <row r="1522" spans="1:12" x14ac:dyDescent="0.25">
      <c r="A1522" s="9">
        <v>1515</v>
      </c>
      <c r="B1522" s="10">
        <v>44204</v>
      </c>
      <c r="C1522" s="3">
        <v>27.665849486869302</v>
      </c>
      <c r="D1522" s="3">
        <v>27.760193847611323</v>
      </c>
      <c r="E1522" s="3">
        <v>27.225587799637808</v>
      </c>
      <c r="F1522" s="3">
        <v>27.429994583129883</v>
      </c>
      <c r="G1522" s="3">
        <v>405600</v>
      </c>
      <c r="H1522" s="3">
        <v>0</v>
      </c>
      <c r="I1522" s="3">
        <v>0</v>
      </c>
      <c r="J1522" s="3" t="str">
        <v>AB</v>
      </c>
      <c r="K1522" s="23">
        <v>44203</v>
      </c>
      <c r="L1522" s="22">
        <v>27.492889404296875</v>
      </c>
    </row>
    <row r="1523" spans="1:12" x14ac:dyDescent="0.25">
      <c r="A1523" s="9">
        <v>1516</v>
      </c>
      <c r="B1523" s="10">
        <v>44207</v>
      </c>
      <c r="C1523" s="3">
        <v>27.209865900548291</v>
      </c>
      <c r="D1523" s="3">
        <v>27.681575745490782</v>
      </c>
      <c r="E1523" s="3">
        <v>27.123385062528619</v>
      </c>
      <c r="F1523" s="3">
        <v>27.571510314941406</v>
      </c>
      <c r="G1523" s="3">
        <v>197800</v>
      </c>
      <c r="H1523" s="3">
        <v>0</v>
      </c>
      <c r="I1523" s="3">
        <v>0</v>
      </c>
      <c r="J1523" s="3" t="str">
        <v>AB</v>
      </c>
      <c r="K1523" s="23">
        <v>44204</v>
      </c>
      <c r="L1523" s="22">
        <v>27.429994583129883</v>
      </c>
    </row>
    <row r="1524" spans="1:12" x14ac:dyDescent="0.25">
      <c r="A1524" s="9">
        <v>1517</v>
      </c>
      <c r="B1524" s="10">
        <v>44208</v>
      </c>
      <c r="C1524" s="3">
        <v>28.137560160511597</v>
      </c>
      <c r="D1524" s="3">
        <v>28.3576909874409</v>
      </c>
      <c r="E1524" s="3">
        <v>27.909565804587622</v>
      </c>
      <c r="F1524" s="3">
        <v>28.224040985107422</v>
      </c>
      <c r="G1524" s="3">
        <v>344700</v>
      </c>
      <c r="H1524" s="3">
        <v>0</v>
      </c>
      <c r="I1524" s="3">
        <v>0</v>
      </c>
      <c r="J1524" s="3" t="str">
        <v>AB</v>
      </c>
      <c r="K1524" s="23">
        <v>44207</v>
      </c>
      <c r="L1524" s="22">
        <v>27.571510314941406</v>
      </c>
    </row>
    <row r="1525" spans="1:12" x14ac:dyDescent="0.25">
      <c r="A1525" s="9">
        <v>1518</v>
      </c>
      <c r="B1525" s="10">
        <v>44209</v>
      </c>
      <c r="C1525" s="3">
        <v>28.326242645932592</v>
      </c>
      <c r="D1525" s="3">
        <v>28.452032117335847</v>
      </c>
      <c r="E1525" s="3">
        <v>28.176868585846719</v>
      </c>
      <c r="F1525" s="3">
        <v>28.247625350952148</v>
      </c>
      <c r="G1525" s="3">
        <v>252400</v>
      </c>
      <c r="H1525" s="3">
        <v>0</v>
      </c>
      <c r="I1525" s="3">
        <v>0</v>
      </c>
      <c r="J1525" s="3" t="str">
        <v>AB</v>
      </c>
      <c r="K1525" s="23">
        <v>44208</v>
      </c>
      <c r="L1525" s="22">
        <v>28.224040985107422</v>
      </c>
    </row>
    <row r="1526" spans="1:12" x14ac:dyDescent="0.25">
      <c r="A1526" s="9">
        <v>1519</v>
      </c>
      <c r="B1526" s="10">
        <v>44210</v>
      </c>
      <c r="C1526" s="3">
        <v>28.255488999814528</v>
      </c>
      <c r="D1526" s="3">
        <v>28.577824743307552</v>
      </c>
      <c r="E1526" s="3">
        <v>27.885984073749484</v>
      </c>
      <c r="F1526" s="3">
        <v>27.893844604492188</v>
      </c>
      <c r="G1526" s="3">
        <v>356200</v>
      </c>
      <c r="H1526" s="3">
        <v>0</v>
      </c>
      <c r="I1526" s="3">
        <v>0</v>
      </c>
      <c r="J1526" s="3" t="str">
        <v>AB</v>
      </c>
      <c r="K1526" s="23">
        <v>44209</v>
      </c>
      <c r="L1526" s="22">
        <v>28.247625350952148</v>
      </c>
    </row>
    <row r="1527" spans="1:12" x14ac:dyDescent="0.25">
      <c r="A1527" s="9">
        <v>1520</v>
      </c>
      <c r="B1527" s="10">
        <v>44211</v>
      </c>
      <c r="C1527" s="3">
        <v>27.618682513882508</v>
      </c>
      <c r="D1527" s="3">
        <v>27.807365252337554</v>
      </c>
      <c r="E1527" s="3">
        <v>26.981871523716102</v>
      </c>
      <c r="F1527" s="3">
        <v>27.626543045043945</v>
      </c>
      <c r="G1527" s="3">
        <v>298700</v>
      </c>
      <c r="H1527" s="3">
        <v>0</v>
      </c>
      <c r="I1527" s="3">
        <v>0</v>
      </c>
      <c r="J1527" s="3" t="str">
        <v>AB</v>
      </c>
      <c r="K1527" s="23">
        <v>44210</v>
      </c>
      <c r="L1527" s="22">
        <v>27.893844604492188</v>
      </c>
    </row>
    <row r="1528" spans="1:12" x14ac:dyDescent="0.25">
      <c r="A1528" s="9">
        <v>1521</v>
      </c>
      <c r="B1528" s="10">
        <v>44215</v>
      </c>
      <c r="C1528" s="3">
        <v>27.862393333379046</v>
      </c>
      <c r="D1528" s="3">
        <v>28.452032041329943</v>
      </c>
      <c r="E1528" s="3">
        <v>27.838808744759429</v>
      </c>
      <c r="F1528" s="3">
        <v>28.34196662902832</v>
      </c>
      <c r="G1528" s="3">
        <v>308600</v>
      </c>
      <c r="H1528" s="3">
        <v>0</v>
      </c>
      <c r="I1528" s="3">
        <v>0</v>
      </c>
      <c r="J1528" s="3" t="str">
        <v>AB</v>
      </c>
      <c r="K1528" s="23">
        <v>44211</v>
      </c>
      <c r="L1528" s="22">
        <v>27.626543045043945</v>
      </c>
    </row>
    <row r="1529" spans="1:12" x14ac:dyDescent="0.25">
      <c r="A1529" s="9">
        <v>1522</v>
      </c>
      <c r="B1529" s="10">
        <v>44216</v>
      </c>
      <c r="C1529" s="3">
        <v>28.475623737200412</v>
      </c>
      <c r="D1529" s="3">
        <v>28.577825635335181</v>
      </c>
      <c r="E1529" s="3">
        <v>28.169012044680123</v>
      </c>
      <c r="F1529" s="3">
        <v>28.483484268188477</v>
      </c>
      <c r="G1529" s="3">
        <v>249700</v>
      </c>
      <c r="H1529" s="3">
        <v>0</v>
      </c>
      <c r="I1529" s="3">
        <v>0</v>
      </c>
      <c r="J1529" s="3" t="str">
        <v>AB</v>
      </c>
      <c r="K1529" s="23">
        <v>44215</v>
      </c>
      <c r="L1529" s="22">
        <v>28.34196662902832</v>
      </c>
    </row>
    <row r="1530" spans="1:12" x14ac:dyDescent="0.25">
      <c r="A1530" s="9">
        <v>1523</v>
      </c>
      <c r="B1530" s="10">
        <v>44217</v>
      </c>
      <c r="C1530" s="3">
        <v>28.483479887137502</v>
      </c>
      <c r="D1530" s="3">
        <v>28.656441532851517</v>
      </c>
      <c r="E1530" s="3">
        <v>27.972461477889549</v>
      </c>
      <c r="F1530" s="3">
        <v>27.99604606628418</v>
      </c>
      <c r="G1530" s="3">
        <v>275000</v>
      </c>
      <c r="H1530" s="3">
        <v>0</v>
      </c>
      <c r="I1530" s="3">
        <v>0</v>
      </c>
      <c r="J1530" s="3" t="str">
        <v>AB</v>
      </c>
      <c r="K1530" s="23">
        <v>44216</v>
      </c>
      <c r="L1530" s="22">
        <v>28.483484268188477</v>
      </c>
    </row>
    <row r="1531" spans="1:12" x14ac:dyDescent="0.25">
      <c r="A1531" s="9">
        <v>1524</v>
      </c>
      <c r="B1531" s="10">
        <v>44218</v>
      </c>
      <c r="C1531" s="3">
        <v>27.846671028395271</v>
      </c>
      <c r="D1531" s="3">
        <v>28.412725183376612</v>
      </c>
      <c r="E1531" s="3">
        <v>27.830949967697119</v>
      </c>
      <c r="F1531" s="3">
        <v>28.326244354248047</v>
      </c>
      <c r="G1531" s="3">
        <v>288700</v>
      </c>
      <c r="H1531" s="3">
        <v>0</v>
      </c>
      <c r="I1531" s="3">
        <v>0</v>
      </c>
      <c r="J1531" s="3" t="str">
        <v>AB</v>
      </c>
      <c r="K1531" s="23">
        <v>44217</v>
      </c>
      <c r="L1531" s="22">
        <v>27.99604606628418</v>
      </c>
    </row>
    <row r="1532" spans="1:12" x14ac:dyDescent="0.25">
      <c r="A1532" s="9">
        <v>1525</v>
      </c>
      <c r="B1532" s="10">
        <v>44221</v>
      </c>
      <c r="C1532" s="3">
        <v>28.750783697072428</v>
      </c>
      <c r="D1532" s="3">
        <v>29.08884346920674</v>
      </c>
      <c r="E1532" s="3">
        <v>28.30265851057953</v>
      </c>
      <c r="F1532" s="3">
        <v>28.774368286132813</v>
      </c>
      <c r="G1532" s="3">
        <v>588700</v>
      </c>
      <c r="H1532" s="3">
        <v>0</v>
      </c>
      <c r="I1532" s="3">
        <v>0</v>
      </c>
      <c r="J1532" s="3" t="str">
        <v>AB</v>
      </c>
      <c r="K1532" s="23">
        <v>44218</v>
      </c>
      <c r="L1532" s="22">
        <v>28.326244354248047</v>
      </c>
    </row>
    <row r="1533" spans="1:12" x14ac:dyDescent="0.25">
      <c r="A1533" s="9">
        <v>1526</v>
      </c>
      <c r="B1533" s="10">
        <v>44222</v>
      </c>
      <c r="C1533" s="3">
        <v>29.39545093495358</v>
      </c>
      <c r="D1533" s="3">
        <v>29.922196341692995</v>
      </c>
      <c r="E1533" s="3">
        <v>29.128147967143391</v>
      </c>
      <c r="F1533" s="3">
        <v>29.591997146606445</v>
      </c>
      <c r="G1533" s="3">
        <v>679200</v>
      </c>
      <c r="H1533" s="3">
        <v>0</v>
      </c>
      <c r="I1533" s="3">
        <v>0</v>
      </c>
      <c r="J1533" s="3" t="str">
        <v>AB</v>
      </c>
      <c r="K1533" s="23">
        <v>44221</v>
      </c>
      <c r="L1533" s="22">
        <v>28.774368286132813</v>
      </c>
    </row>
    <row r="1534" spans="1:12" x14ac:dyDescent="0.25">
      <c r="A1534" s="9">
        <v>1527</v>
      </c>
      <c r="B1534" s="10">
        <v>44223</v>
      </c>
      <c r="C1534" s="3">
        <v>29.442627300400506</v>
      </c>
      <c r="D1534" s="3">
        <v>29.733514895356443</v>
      </c>
      <c r="E1534" s="3">
        <v>28.30265851057953</v>
      </c>
      <c r="F1534" s="3">
        <v>28.774368286132813</v>
      </c>
      <c r="G1534" s="3">
        <v>901200</v>
      </c>
      <c r="H1534" s="3">
        <v>0</v>
      </c>
      <c r="I1534" s="3">
        <v>0</v>
      </c>
      <c r="J1534" s="3" t="str">
        <v>AB</v>
      </c>
      <c r="K1534" s="23">
        <v>44222</v>
      </c>
      <c r="L1534" s="22">
        <v>29.591997146606445</v>
      </c>
    </row>
    <row r="1535" spans="1:12" x14ac:dyDescent="0.25">
      <c r="A1535" s="9">
        <v>1528</v>
      </c>
      <c r="B1535" s="10">
        <v>44224</v>
      </c>
      <c r="C1535" s="3">
        <v>28.703615731046053</v>
      </c>
      <c r="D1535" s="3">
        <v>29.434768089762464</v>
      </c>
      <c r="E1535" s="3">
        <v>28.389143500893027</v>
      </c>
      <c r="F1535" s="3">
        <v>28.986642837524414</v>
      </c>
      <c r="G1535" s="3">
        <v>672000</v>
      </c>
      <c r="H1535" s="3">
        <v>0</v>
      </c>
      <c r="I1535" s="3">
        <v>0</v>
      </c>
      <c r="J1535" s="3" t="str">
        <v>AB</v>
      </c>
      <c r="K1535" s="23">
        <v>44223</v>
      </c>
      <c r="L1535" s="22">
        <v>28.774368286132813</v>
      </c>
    </row>
    <row r="1536" spans="1:12" x14ac:dyDescent="0.25">
      <c r="A1536" s="9">
        <v>1529</v>
      </c>
      <c r="B1536" s="10">
        <v>44225</v>
      </c>
      <c r="C1536" s="3">
        <v>28.986642910688648</v>
      </c>
      <c r="D1536" s="3">
        <v>29.018091033500745</v>
      </c>
      <c r="E1536" s="3">
        <v>27.587234435189064</v>
      </c>
      <c r="F1536" s="3">
        <v>27.791641235351563</v>
      </c>
      <c r="G1536" s="3">
        <v>710700</v>
      </c>
      <c r="H1536" s="3">
        <v>0</v>
      </c>
      <c r="I1536" s="3">
        <v>0</v>
      </c>
      <c r="J1536" s="3" t="str">
        <v>AB</v>
      </c>
      <c r="K1536" s="23">
        <v>44224</v>
      </c>
      <c r="L1536" s="22">
        <v>28.986642837524414</v>
      </c>
    </row>
    <row r="1537" spans="1:12" x14ac:dyDescent="0.25">
      <c r="A1537" s="9">
        <v>1530</v>
      </c>
      <c r="B1537" s="10">
        <v>44228</v>
      </c>
      <c r="C1537" s="3">
        <v>28.003908767777723</v>
      </c>
      <c r="D1537" s="3">
        <v>28.593547515830373</v>
      </c>
      <c r="E1537" s="3">
        <v>27.838810638096845</v>
      </c>
      <c r="F1537" s="3">
        <v>28.397001266479492</v>
      </c>
      <c r="G1537" s="3">
        <v>645300</v>
      </c>
      <c r="H1537" s="3">
        <v>0</v>
      </c>
      <c r="I1537" s="3">
        <v>0</v>
      </c>
      <c r="J1537" s="3" t="str">
        <v>AB</v>
      </c>
      <c r="K1537" s="23">
        <v>44225</v>
      </c>
      <c r="L1537" s="22">
        <v>27.791641235351563</v>
      </c>
    </row>
    <row r="1538" spans="1:12" x14ac:dyDescent="0.25">
      <c r="A1538" s="9">
        <v>1531</v>
      </c>
      <c r="B1538" s="10">
        <v>44229</v>
      </c>
      <c r="C1538" s="3">
        <v>29.442627869964905</v>
      </c>
      <c r="D1538" s="3">
        <v>29.662758702940494</v>
      </c>
      <c r="E1538" s="3">
        <v>28.562101539004878</v>
      </c>
      <c r="F1538" s="3">
        <v>29.002363204956055</v>
      </c>
      <c r="G1538" s="3">
        <v>696000</v>
      </c>
      <c r="H1538" s="3">
        <v>0</v>
      </c>
      <c r="I1538" s="3">
        <v>0</v>
      </c>
      <c r="J1538" s="3" t="str">
        <v>AB</v>
      </c>
      <c r="K1538" s="23">
        <v>44228</v>
      </c>
      <c r="L1538" s="22">
        <v>28.397001266479492</v>
      </c>
    </row>
    <row r="1539" spans="1:12" x14ac:dyDescent="0.25">
      <c r="A1539" s="9">
        <v>1532</v>
      </c>
      <c r="B1539" s="10">
        <v>44230</v>
      </c>
      <c r="C1539" s="3">
        <v>29.568417742188807</v>
      </c>
      <c r="D1539" s="3">
        <v>29.60772639159601</v>
      </c>
      <c r="E1539" s="3">
        <v>29.002363593740419</v>
      </c>
      <c r="F1539" s="3">
        <v>29.104568481445313</v>
      </c>
      <c r="G1539" s="3">
        <v>677600</v>
      </c>
      <c r="H1539" s="3">
        <v>0</v>
      </c>
      <c r="I1539" s="3">
        <v>0</v>
      </c>
      <c r="J1539" s="3" t="str">
        <v>AB</v>
      </c>
      <c r="K1539" s="23">
        <v>44229</v>
      </c>
      <c r="L1539" s="22">
        <v>29.002363204956055</v>
      </c>
    </row>
    <row r="1540" spans="1:12" x14ac:dyDescent="0.25">
      <c r="A1540" s="9">
        <v>1533</v>
      </c>
      <c r="B1540" s="10">
        <v>44231</v>
      </c>
      <c r="C1540" s="3">
        <v>29.474081219859389</v>
      </c>
      <c r="D1540" s="3">
        <v>29.867173776544824</v>
      </c>
      <c r="E1540" s="3">
        <v>29.332567659527978</v>
      </c>
      <c r="F1540" s="3">
        <v>29.764968872070313</v>
      </c>
      <c r="G1540" s="3">
        <v>398400</v>
      </c>
      <c r="H1540" s="3">
        <v>0</v>
      </c>
      <c r="I1540" s="3">
        <v>0</v>
      </c>
      <c r="J1540" s="3" t="str">
        <v>AB</v>
      </c>
      <c r="K1540" s="23">
        <v>44230</v>
      </c>
      <c r="L1540" s="22">
        <v>29.104568481445313</v>
      </c>
    </row>
    <row r="1541" spans="1:12" x14ac:dyDescent="0.25">
      <c r="A1541" s="9">
        <v>1534</v>
      </c>
      <c r="B1541" s="10">
        <v>44232</v>
      </c>
      <c r="C1541" s="3">
        <v>30.205229514731279</v>
      </c>
      <c r="D1541" s="3">
        <v>30.488256625073557</v>
      </c>
      <c r="E1541" s="3">
        <v>29.953650527551048</v>
      </c>
      <c r="F1541" s="3">
        <v>30.244541168212891</v>
      </c>
      <c r="G1541" s="3">
        <v>499700</v>
      </c>
      <c r="H1541" s="3">
        <v>0</v>
      </c>
      <c r="I1541" s="3">
        <v>0</v>
      </c>
      <c r="J1541" s="3" t="str">
        <v>AB</v>
      </c>
      <c r="K1541" s="23">
        <v>44231</v>
      </c>
      <c r="L1541" s="22">
        <v>29.764968872070313</v>
      </c>
    </row>
    <row r="1542" spans="1:12" x14ac:dyDescent="0.25">
      <c r="A1542" s="9">
        <v>1535</v>
      </c>
      <c r="B1542" s="10">
        <v>44235</v>
      </c>
      <c r="C1542" s="3">
        <v>30.692663552299585</v>
      </c>
      <c r="D1542" s="3">
        <v>31.070031997730588</v>
      </c>
      <c r="E1542" s="3">
        <v>30.511841359638343</v>
      </c>
      <c r="F1542" s="3">
        <v>31.05430793762207</v>
      </c>
      <c r="G1542" s="3">
        <v>456500</v>
      </c>
      <c r="H1542" s="3">
        <v>0</v>
      </c>
      <c r="I1542" s="3">
        <v>0</v>
      </c>
      <c r="J1542" s="3" t="str">
        <v>AB</v>
      </c>
      <c r="K1542" s="23">
        <v>44232</v>
      </c>
      <c r="L1542" s="22">
        <v>30.244541168212891</v>
      </c>
    </row>
    <row r="1543" spans="1:12" x14ac:dyDescent="0.25">
      <c r="A1543" s="9">
        <v>1536</v>
      </c>
      <c r="B1543" s="10">
        <v>44236</v>
      </c>
      <c r="C1543" s="3">
        <v>30.881339780242609</v>
      </c>
      <c r="D1543" s="3">
        <v>31.172230332480737</v>
      </c>
      <c r="E1543" s="3">
        <v>30.401766544503339</v>
      </c>
      <c r="F1543" s="3">
        <v>30.441078186035156</v>
      </c>
      <c r="G1543" s="3">
        <v>429000</v>
      </c>
      <c r="H1543" s="3">
        <v>0</v>
      </c>
      <c r="I1543" s="3">
        <v>0</v>
      </c>
      <c r="J1543" s="3" t="str">
        <v>AB</v>
      </c>
      <c r="K1543" s="23">
        <v>44235</v>
      </c>
      <c r="L1543" s="22">
        <v>31.05430793762207</v>
      </c>
    </row>
    <row r="1544" spans="1:12" x14ac:dyDescent="0.25">
      <c r="A1544" s="9">
        <v>1537</v>
      </c>
      <c r="B1544" s="10">
        <v>44237</v>
      </c>
      <c r="C1544" s="3">
        <v>30.621907766392489</v>
      </c>
      <c r="D1544" s="3">
        <v>30.747697252249246</v>
      </c>
      <c r="E1544" s="3">
        <v>29.065261754268391</v>
      </c>
      <c r="F1544" s="3">
        <v>29.159603118896484</v>
      </c>
      <c r="G1544" s="3">
        <v>890500</v>
      </c>
      <c r="H1544" s="3">
        <v>0</v>
      </c>
      <c r="I1544" s="3">
        <v>0</v>
      </c>
      <c r="J1544" s="3" t="str">
        <v>AB</v>
      </c>
      <c r="K1544" s="23">
        <v>44236</v>
      </c>
      <c r="L1544" s="22">
        <v>30.441078186035156</v>
      </c>
    </row>
    <row r="1545" spans="1:12" x14ac:dyDescent="0.25">
      <c r="A1545" s="9">
        <v>1538</v>
      </c>
      <c r="B1545" s="10">
        <v>44238</v>
      </c>
      <c r="C1545" s="3">
        <v>30.268122128072694</v>
      </c>
      <c r="D1545" s="3">
        <v>30.433220256270143</v>
      </c>
      <c r="E1545" s="3">
        <v>29.104568702257087</v>
      </c>
      <c r="F1545" s="3">
        <v>30.425359725952148</v>
      </c>
      <c r="G1545" s="3">
        <v>623500</v>
      </c>
      <c r="H1545" s="3">
        <v>0</v>
      </c>
      <c r="I1545" s="3">
        <v>0</v>
      </c>
      <c r="J1545" s="3" t="str">
        <v>AB</v>
      </c>
      <c r="K1545" s="23">
        <v>44237</v>
      </c>
      <c r="L1545" s="22">
        <v>29.159603118896484</v>
      </c>
    </row>
    <row r="1546" spans="1:12" x14ac:dyDescent="0.25">
      <c r="A1546" s="9">
        <v>1539</v>
      </c>
      <c r="B1546" s="10">
        <v>44239</v>
      </c>
      <c r="C1546" s="3">
        <v>29.717790556755872</v>
      </c>
      <c r="D1546" s="3">
        <v>30.189503326929589</v>
      </c>
      <c r="E1546" s="3">
        <v>29.308974022228355</v>
      </c>
      <c r="F1546" s="3">
        <v>29.607725143432617</v>
      </c>
      <c r="G1546" s="3">
        <v>597000</v>
      </c>
      <c r="H1546" s="3">
        <v>0</v>
      </c>
      <c r="I1546" s="3">
        <v>0</v>
      </c>
      <c r="J1546" s="3" t="str">
        <v>AB</v>
      </c>
      <c r="K1546" s="23">
        <v>44238</v>
      </c>
      <c r="L1546" s="22">
        <v>30.425359725952148</v>
      </c>
    </row>
    <row r="1547" spans="1:12" x14ac:dyDescent="0.25">
      <c r="A1547" s="9">
        <v>1540</v>
      </c>
      <c r="B1547" s="10">
        <v>44243</v>
      </c>
      <c r="C1547" s="3">
        <v>30.181642410492362</v>
      </c>
      <c r="D1547" s="3">
        <v>30.614043571287407</v>
      </c>
      <c r="E1547" s="3">
        <v>29.992959685336416</v>
      </c>
      <c r="F1547" s="3">
        <v>30.165918350219727</v>
      </c>
      <c r="G1547" s="3">
        <v>657700</v>
      </c>
      <c r="H1547" s="3">
        <v>0</v>
      </c>
      <c r="I1547" s="3">
        <v>0</v>
      </c>
      <c r="J1547" s="3" t="str">
        <v>AB</v>
      </c>
      <c r="K1547" s="23">
        <v>44239</v>
      </c>
      <c r="L1547" s="22">
        <v>29.607725143432617</v>
      </c>
    </row>
    <row r="1548" spans="1:12" x14ac:dyDescent="0.25">
      <c r="A1548" s="9">
        <v>1541</v>
      </c>
      <c r="B1548" s="10">
        <v>44244</v>
      </c>
      <c r="C1548" s="3">
        <v>30.519702718753344</v>
      </c>
      <c r="D1548" s="3">
        <v>30.716248976859202</v>
      </c>
      <c r="E1548" s="3">
        <v>30.110886142006205</v>
      </c>
      <c r="F1548" s="3">
        <v>30.283847808837891</v>
      </c>
      <c r="G1548" s="3">
        <v>721800</v>
      </c>
      <c r="H1548" s="3">
        <v>0</v>
      </c>
      <c r="I1548" s="3">
        <v>0</v>
      </c>
      <c r="J1548" s="3" t="str">
        <v>AB</v>
      </c>
      <c r="K1548" s="23">
        <v>44243</v>
      </c>
      <c r="L1548" s="22">
        <v>30.165918350219727</v>
      </c>
    </row>
    <row r="1549" spans="1:12" x14ac:dyDescent="0.25">
      <c r="A1549" s="9">
        <v>1542</v>
      </c>
      <c r="B1549" s="10">
        <v>44245</v>
      </c>
      <c r="C1549" s="3">
        <v>29.953647554846491</v>
      </c>
      <c r="D1549" s="3">
        <v>30.189505456096427</v>
      </c>
      <c r="E1549" s="3">
        <v>29.403320449417432</v>
      </c>
      <c r="F1549" s="3">
        <v>29.788549423217773</v>
      </c>
      <c r="G1549" s="3">
        <v>934600</v>
      </c>
      <c r="H1549" s="3">
        <v>0</v>
      </c>
      <c r="I1549" s="3">
        <v>0</v>
      </c>
      <c r="J1549" s="3" t="str">
        <v>AB</v>
      </c>
      <c r="K1549" s="23">
        <v>44244</v>
      </c>
      <c r="L1549" s="22">
        <v>30.283847808837891</v>
      </c>
    </row>
    <row r="1550" spans="1:12" x14ac:dyDescent="0.25">
      <c r="A1550" s="9">
        <v>1543</v>
      </c>
      <c r="B1550" s="10">
        <v>44246</v>
      </c>
      <c r="C1550" s="3">
        <v>30.474366398046715</v>
      </c>
      <c r="D1550" s="3">
        <v>30.474366398046715</v>
      </c>
      <c r="E1550" s="3">
        <v>29.635251529898238</v>
      </c>
      <c r="F1550" s="3">
        <v>29.893440246582031</v>
      </c>
      <c r="G1550" s="3">
        <v>487700</v>
      </c>
      <c r="H1550" s="3">
        <v>0.97</v>
      </c>
      <c r="I1550" s="3">
        <v>0</v>
      </c>
      <c r="J1550" s="3" t="str">
        <v>AB</v>
      </c>
      <c r="K1550" s="23">
        <v>44245</v>
      </c>
      <c r="L1550" s="22">
        <v>29.788549423217773</v>
      </c>
    </row>
    <row r="1551" spans="1:12" x14ac:dyDescent="0.25">
      <c r="A1551" s="9">
        <v>1544</v>
      </c>
      <c r="B1551" s="10">
        <v>44249</v>
      </c>
      <c r="C1551" s="3">
        <v>29.853100120159855</v>
      </c>
      <c r="D1551" s="3">
        <v>30.0628773072897</v>
      </c>
      <c r="E1551" s="3">
        <v>28.901028032261699</v>
      </c>
      <c r="F1551" s="3">
        <v>29.707868576049805</v>
      </c>
      <c r="G1551" s="3">
        <v>352000</v>
      </c>
      <c r="H1551" s="3">
        <v>0</v>
      </c>
      <c r="I1551" s="3">
        <v>0</v>
      </c>
      <c r="J1551" s="3" t="str">
        <v>AB</v>
      </c>
      <c r="K1551" s="23">
        <v>44246</v>
      </c>
      <c r="L1551" s="22">
        <v>29.893440246582031</v>
      </c>
    </row>
    <row r="1552" spans="1:12" x14ac:dyDescent="0.25">
      <c r="A1552" s="9">
        <v>1545</v>
      </c>
      <c r="B1552" s="10">
        <v>44250</v>
      </c>
      <c r="C1552" s="3">
        <v>29.506156600025815</v>
      </c>
      <c r="D1552" s="3">
        <v>29.611046725975736</v>
      </c>
      <c r="E1552" s="3">
        <v>28.602496109136322</v>
      </c>
      <c r="F1552" s="3">
        <v>29.199556350708008</v>
      </c>
      <c r="G1552" s="3">
        <v>613900</v>
      </c>
      <c r="H1552" s="3">
        <v>0</v>
      </c>
      <c r="I1552" s="3">
        <v>0</v>
      </c>
      <c r="J1552" s="3" t="str">
        <v>AB</v>
      </c>
      <c r="K1552" s="23">
        <v>44249</v>
      </c>
      <c r="L1552" s="22">
        <v>29.707868576049805</v>
      </c>
    </row>
    <row r="1553" spans="1:12" x14ac:dyDescent="0.25">
      <c r="A1553" s="9">
        <v>1546</v>
      </c>
      <c r="B1553" s="10">
        <v>44251</v>
      </c>
      <c r="C1553" s="3">
        <v>29.046256203707546</v>
      </c>
      <c r="D1553" s="3">
        <v>29.990258052959057</v>
      </c>
      <c r="E1553" s="3">
        <v>29.046256203707546</v>
      </c>
      <c r="F1553" s="3">
        <v>29.506155014038086</v>
      </c>
      <c r="G1553" s="3">
        <v>409400</v>
      </c>
      <c r="H1553" s="3">
        <v>0</v>
      </c>
      <c r="I1553" s="3">
        <v>0</v>
      </c>
      <c r="J1553" s="3" t="str">
        <v>AB</v>
      </c>
      <c r="K1553" s="23">
        <v>44250</v>
      </c>
      <c r="L1553" s="22">
        <v>29.199556350708008</v>
      </c>
    </row>
    <row r="1554" spans="1:12" x14ac:dyDescent="0.25">
      <c r="A1554" s="9">
        <v>1547</v>
      </c>
      <c r="B1554" s="10">
        <v>44252</v>
      </c>
      <c r="C1554" s="3">
        <v>29.506162723867558</v>
      </c>
      <c r="D1554" s="3">
        <v>29.917653184537865</v>
      </c>
      <c r="E1554" s="3">
        <v>29.34479397611161</v>
      </c>
      <c r="F1554" s="3">
        <v>29.425479888916016</v>
      </c>
      <c r="G1554" s="3">
        <v>495600</v>
      </c>
      <c r="H1554" s="3">
        <v>0</v>
      </c>
      <c r="I1554" s="3">
        <v>0</v>
      </c>
      <c r="J1554" s="3" t="str">
        <v>AB</v>
      </c>
      <c r="K1554" s="23">
        <v>44251</v>
      </c>
      <c r="L1554" s="22">
        <v>29.506155014038086</v>
      </c>
    </row>
    <row r="1555" spans="1:12" x14ac:dyDescent="0.25">
      <c r="A1555" s="9">
        <v>1548</v>
      </c>
      <c r="B1555" s="10">
        <v>44253</v>
      </c>
      <c r="C1555" s="3">
        <v>29.586834877237305</v>
      </c>
      <c r="D1555" s="3">
        <v>29.764340743470111</v>
      </c>
      <c r="E1555" s="3">
        <v>28.901021794186153</v>
      </c>
      <c r="F1555" s="3">
        <v>29.498085021972656</v>
      </c>
      <c r="G1555" s="3">
        <v>364800</v>
      </c>
      <c r="H1555" s="3">
        <v>0</v>
      </c>
      <c r="I1555" s="3">
        <v>0</v>
      </c>
      <c r="J1555" s="3" t="str">
        <v>AB</v>
      </c>
      <c r="K1555" s="23">
        <v>44252</v>
      </c>
      <c r="L1555" s="22">
        <v>29.425479888916016</v>
      </c>
    </row>
    <row r="1556" spans="1:12" x14ac:dyDescent="0.25">
      <c r="A1556" s="9">
        <v>1549</v>
      </c>
      <c r="B1556" s="10">
        <v>44256</v>
      </c>
      <c r="C1556" s="3">
        <v>30.046741533787124</v>
      </c>
      <c r="D1556" s="3">
        <v>30.546981781314756</v>
      </c>
      <c r="E1556" s="3">
        <v>29.853098459792939</v>
      </c>
      <c r="F1556" s="3">
        <v>30.095149993896484</v>
      </c>
      <c r="G1556" s="3">
        <v>697600</v>
      </c>
      <c r="H1556" s="3">
        <v>0</v>
      </c>
      <c r="I1556" s="3">
        <v>0</v>
      </c>
      <c r="J1556" s="3" t="str">
        <v>AB</v>
      </c>
      <c r="K1556" s="23">
        <v>44253</v>
      </c>
      <c r="L1556" s="22">
        <v>29.498085021972656</v>
      </c>
    </row>
    <row r="1557" spans="1:12" x14ac:dyDescent="0.25">
      <c r="A1557" s="9">
        <v>1550</v>
      </c>
      <c r="B1557" s="10">
        <v>44257</v>
      </c>
      <c r="C1557" s="3">
        <v>30.175836520781452</v>
      </c>
      <c r="D1557" s="3">
        <v>30.458229470158553</v>
      </c>
      <c r="E1557" s="3">
        <v>30.014467802057833</v>
      </c>
      <c r="F1557" s="3">
        <v>30.280723571777344</v>
      </c>
      <c r="G1557" s="3">
        <v>328500</v>
      </c>
      <c r="H1557" s="3">
        <v>0</v>
      </c>
      <c r="I1557" s="3">
        <v>0</v>
      </c>
      <c r="J1557" s="3" t="str">
        <v>AB</v>
      </c>
      <c r="K1557" s="23">
        <v>44256</v>
      </c>
      <c r="L1557" s="22">
        <v>30.095149993896484</v>
      </c>
    </row>
    <row r="1558" spans="1:12" x14ac:dyDescent="0.25">
      <c r="A1558" s="9">
        <v>1551</v>
      </c>
      <c r="B1558" s="10">
        <v>44258</v>
      </c>
      <c r="C1558" s="3">
        <v>30.434024722241901</v>
      </c>
      <c r="D1558" s="3">
        <v>30.732554846201801</v>
      </c>
      <c r="E1558" s="3">
        <v>30.167765879196292</v>
      </c>
      <c r="F1558" s="3">
        <v>30.490503311157227</v>
      </c>
      <c r="G1558" s="3">
        <v>436700</v>
      </c>
      <c r="H1558" s="3">
        <v>0</v>
      </c>
      <c r="I1558" s="3">
        <v>0</v>
      </c>
      <c r="J1558" s="3" t="str">
        <v>AB</v>
      </c>
      <c r="K1558" s="23">
        <v>44257</v>
      </c>
      <c r="L1558" s="22">
        <v>30.280723571777344</v>
      </c>
    </row>
    <row r="1559" spans="1:12" x14ac:dyDescent="0.25">
      <c r="A1559" s="9">
        <v>1552</v>
      </c>
      <c r="B1559" s="10">
        <v>44259</v>
      </c>
      <c r="C1559" s="3">
        <v>30.676080452876448</v>
      </c>
      <c r="D1559" s="3">
        <v>30.789037646156338</v>
      </c>
      <c r="E1559" s="3">
        <v>29.094673591252651</v>
      </c>
      <c r="F1559" s="3">
        <v>29.417407989501953</v>
      </c>
      <c r="G1559" s="3">
        <v>956700</v>
      </c>
      <c r="H1559" s="3">
        <v>0</v>
      </c>
      <c r="I1559" s="3">
        <v>0</v>
      </c>
      <c r="J1559" s="3" t="str">
        <v>AB</v>
      </c>
      <c r="K1559" s="23">
        <v>44258</v>
      </c>
      <c r="L1559" s="22">
        <v>30.490503311157227</v>
      </c>
    </row>
    <row r="1560" spans="1:12" x14ac:dyDescent="0.25">
      <c r="A1560" s="9">
        <v>1553</v>
      </c>
      <c r="B1560" s="10">
        <v>44260</v>
      </c>
      <c r="C1560" s="3">
        <v>29.845024661759485</v>
      </c>
      <c r="D1560" s="3">
        <v>30.288786220266701</v>
      </c>
      <c r="E1560" s="3">
        <v>29.126934194675098</v>
      </c>
      <c r="F1560" s="3">
        <v>30.167758941650391</v>
      </c>
      <c r="G1560" s="3">
        <v>502100</v>
      </c>
      <c r="H1560" s="3">
        <v>0</v>
      </c>
      <c r="I1560" s="3">
        <v>0</v>
      </c>
      <c r="J1560" s="3" t="str">
        <v>AB</v>
      </c>
      <c r="K1560" s="23">
        <v>44259</v>
      </c>
      <c r="L1560" s="22">
        <v>29.417407989501953</v>
      </c>
    </row>
    <row r="1561" spans="1:12" x14ac:dyDescent="0.25">
      <c r="A1561" s="9">
        <v>1554</v>
      </c>
      <c r="B1561" s="10">
        <v>44263</v>
      </c>
      <c r="C1561" s="3">
        <v>30.498570450659646</v>
      </c>
      <c r="D1561" s="3">
        <v>30.780966473910173</v>
      </c>
      <c r="E1561" s="3">
        <v>30.240381735480589</v>
      </c>
      <c r="F1561" s="3">
        <v>30.434024810791016</v>
      </c>
      <c r="G1561" s="3">
        <v>525700</v>
      </c>
      <c r="H1561" s="3">
        <v>0</v>
      </c>
      <c r="I1561" s="3">
        <v>0</v>
      </c>
      <c r="J1561" s="3" t="str">
        <v>AB</v>
      </c>
      <c r="K1561" s="23">
        <v>44260</v>
      </c>
      <c r="L1561" s="22">
        <v>30.167758941650391</v>
      </c>
    </row>
    <row r="1562" spans="1:12" x14ac:dyDescent="0.25">
      <c r="A1562" s="9">
        <v>1555</v>
      </c>
      <c r="B1562" s="10">
        <v>44264</v>
      </c>
      <c r="C1562" s="3">
        <v>30.651872928808853</v>
      </c>
      <c r="D1562" s="3">
        <v>30.942332932695308</v>
      </c>
      <c r="E1562" s="3">
        <v>30.337202538356919</v>
      </c>
      <c r="F1562" s="3">
        <v>30.506641387939453</v>
      </c>
      <c r="G1562" s="3">
        <v>429800</v>
      </c>
      <c r="H1562" s="3">
        <v>0</v>
      </c>
      <c r="I1562" s="3">
        <v>0</v>
      </c>
      <c r="J1562" s="3" t="str">
        <v>AB</v>
      </c>
      <c r="K1562" s="23">
        <v>44263</v>
      </c>
      <c r="L1562" s="22">
        <v>30.434024810791016</v>
      </c>
    </row>
    <row r="1563" spans="1:12" x14ac:dyDescent="0.25">
      <c r="A1563" s="9">
        <v>1556</v>
      </c>
      <c r="B1563" s="10">
        <v>44265</v>
      </c>
      <c r="C1563" s="3">
        <v>30.555042898580737</v>
      </c>
      <c r="D1563" s="3">
        <v>31.305404663085938</v>
      </c>
      <c r="E1563" s="3">
        <v>30.555042898580737</v>
      </c>
      <c r="F1563" s="3">
        <v>31.305404663085938</v>
      </c>
      <c r="G1563" s="3">
        <v>432800</v>
      </c>
      <c r="H1563" s="3">
        <v>0</v>
      </c>
      <c r="I1563" s="3">
        <v>0</v>
      </c>
      <c r="J1563" s="3" t="str">
        <v>AB</v>
      </c>
      <c r="K1563" s="23">
        <v>44264</v>
      </c>
      <c r="L1563" s="22">
        <v>30.506641387939453</v>
      </c>
    </row>
    <row r="1564" spans="1:12" x14ac:dyDescent="0.25">
      <c r="A1564" s="9">
        <v>1557</v>
      </c>
      <c r="B1564" s="10">
        <v>44266</v>
      </c>
      <c r="C1564" s="3">
        <v>31.426436368905073</v>
      </c>
      <c r="D1564" s="3">
        <v>31.668487890074076</v>
      </c>
      <c r="E1564" s="3">
        <v>31.28927189093632</v>
      </c>
      <c r="F1564" s="3">
        <v>31.442573547363281</v>
      </c>
      <c r="G1564" s="3">
        <v>352100</v>
      </c>
      <c r="H1564" s="3">
        <v>0</v>
      </c>
      <c r="I1564" s="3">
        <v>0</v>
      </c>
      <c r="J1564" s="3" t="str">
        <v>AB</v>
      </c>
      <c r="K1564" s="23">
        <v>44265</v>
      </c>
      <c r="L1564" s="22">
        <v>31.305404663085938</v>
      </c>
    </row>
    <row r="1565" spans="1:12" x14ac:dyDescent="0.25">
      <c r="A1565" s="9">
        <v>1558</v>
      </c>
      <c r="B1565" s="10">
        <v>44267</v>
      </c>
      <c r="C1565" s="3">
        <v>31.692692829881576</v>
      </c>
      <c r="D1565" s="3">
        <v>31.692692829881576</v>
      </c>
      <c r="E1565" s="3">
        <v>31.11983683209705</v>
      </c>
      <c r="F1565" s="3">
        <v>31.144041061401367</v>
      </c>
      <c r="G1565" s="3">
        <v>427700</v>
      </c>
      <c r="H1565" s="3">
        <v>0</v>
      </c>
      <c r="I1565" s="3">
        <v>0</v>
      </c>
      <c r="J1565" s="3" t="str">
        <v>AB</v>
      </c>
      <c r="K1565" s="23">
        <v>44266</v>
      </c>
      <c r="L1565" s="22">
        <v>31.442573547363281</v>
      </c>
    </row>
    <row r="1566" spans="1:12" x14ac:dyDescent="0.25">
      <c r="A1566" s="9">
        <v>1559</v>
      </c>
      <c r="B1566" s="10">
        <v>44270</v>
      </c>
      <c r="C1566" s="3">
        <v>31.902471626369437</v>
      </c>
      <c r="D1566" s="3">
        <v>31.95088008277736</v>
      </c>
      <c r="E1566" s="3">
        <v>31.29734129845432</v>
      </c>
      <c r="F1566" s="3">
        <v>31.845993041992188</v>
      </c>
      <c r="G1566" s="3">
        <v>909100</v>
      </c>
      <c r="H1566" s="3">
        <v>0</v>
      </c>
      <c r="I1566" s="3">
        <v>0</v>
      </c>
      <c r="J1566" s="3" t="str">
        <v>AB</v>
      </c>
      <c r="K1566" s="23">
        <v>44267</v>
      </c>
      <c r="L1566" s="22">
        <v>31.144041061401367</v>
      </c>
    </row>
    <row r="1567" spans="1:12" x14ac:dyDescent="0.25">
      <c r="A1567" s="9">
        <v>1560</v>
      </c>
      <c r="B1567" s="10">
        <v>44271</v>
      </c>
      <c r="C1567" s="3">
        <v>31.991227882542319</v>
      </c>
      <c r="D1567" s="3">
        <v>32.039636343967373</v>
      </c>
      <c r="E1567" s="3">
        <v>31.507121723325479</v>
      </c>
      <c r="F1567" s="3">
        <v>31.628149032592773</v>
      </c>
      <c r="G1567" s="3">
        <v>746800</v>
      </c>
      <c r="H1567" s="3">
        <v>0</v>
      </c>
      <c r="I1567" s="3">
        <v>0</v>
      </c>
      <c r="J1567" s="3" t="str">
        <v>AB</v>
      </c>
      <c r="K1567" s="23">
        <v>44270</v>
      </c>
      <c r="L1567" s="22">
        <v>31.845993041992188</v>
      </c>
    </row>
    <row r="1568" spans="1:12" x14ac:dyDescent="0.25">
      <c r="A1568" s="9">
        <v>1561</v>
      </c>
      <c r="B1568" s="10">
        <v>44272</v>
      </c>
      <c r="C1568" s="3">
        <v>31.741098992189059</v>
      </c>
      <c r="D1568" s="3">
        <v>32.588280730775537</v>
      </c>
      <c r="E1568" s="3">
        <v>31.531321858747805</v>
      </c>
      <c r="F1568" s="3">
        <v>32.5721435546875</v>
      </c>
      <c r="G1568" s="3">
        <v>577000</v>
      </c>
      <c r="H1568" s="3">
        <v>0</v>
      </c>
      <c r="I1568" s="3">
        <v>0</v>
      </c>
      <c r="J1568" s="3" t="str">
        <v>AB</v>
      </c>
      <c r="K1568" s="23">
        <v>44271</v>
      </c>
      <c r="L1568" s="22">
        <v>31.628149032592773</v>
      </c>
    </row>
    <row r="1569" spans="1:12" x14ac:dyDescent="0.25">
      <c r="A1569" s="9">
        <v>1562</v>
      </c>
      <c r="B1569" s="10">
        <v>44273</v>
      </c>
      <c r="C1569" s="3">
        <v>32.67704134335446</v>
      </c>
      <c r="D1569" s="3">
        <v>33.548430589879707</v>
      </c>
      <c r="E1569" s="3">
        <v>32.499535442502498</v>
      </c>
      <c r="F1569" s="3">
        <v>33.475814819335938</v>
      </c>
      <c r="G1569" s="3">
        <v>613100</v>
      </c>
      <c r="H1569" s="3">
        <v>0</v>
      </c>
      <c r="I1569" s="3">
        <v>0</v>
      </c>
      <c r="J1569" s="3" t="str">
        <v>AB</v>
      </c>
      <c r="K1569" s="23">
        <v>44272</v>
      </c>
      <c r="L1569" s="22">
        <v>32.5721435546875</v>
      </c>
    </row>
    <row r="1570" spans="1:12" x14ac:dyDescent="0.25">
      <c r="A1570" s="9">
        <v>1563</v>
      </c>
      <c r="B1570" s="10">
        <v>44274</v>
      </c>
      <c r="C1570" s="3">
        <v>33.612975913455131</v>
      </c>
      <c r="D1570" s="3">
        <v>34.63766374238557</v>
      </c>
      <c r="E1570" s="3">
        <v>33.548430272389474</v>
      </c>
      <c r="F1570" s="3">
        <v>34.177764892578125</v>
      </c>
      <c r="G1570" s="3">
        <v>651800</v>
      </c>
      <c r="H1570" s="3">
        <v>0</v>
      </c>
      <c r="I1570" s="3">
        <v>0</v>
      </c>
      <c r="J1570" s="3" t="str">
        <v>AB</v>
      </c>
      <c r="K1570" s="23">
        <v>44273</v>
      </c>
      <c r="L1570" s="22">
        <v>33.475814819335938</v>
      </c>
    </row>
    <row r="1571" spans="1:12" x14ac:dyDescent="0.25">
      <c r="A1571" s="9">
        <v>1564</v>
      </c>
      <c r="B1571" s="10">
        <v>44277</v>
      </c>
      <c r="C1571" s="3">
        <v>34.177758993778589</v>
      </c>
      <c r="D1571" s="3">
        <v>34.468222023073309</v>
      </c>
      <c r="E1571" s="3">
        <v>33.661381642966546</v>
      </c>
      <c r="F1571" s="3">
        <v>33.782405853271484</v>
      </c>
      <c r="G1571" s="3">
        <v>479800</v>
      </c>
      <c r="H1571" s="3">
        <v>0</v>
      </c>
      <c r="I1571" s="3">
        <v>0</v>
      </c>
      <c r="J1571" s="3" t="str">
        <v>AB</v>
      </c>
      <c r="K1571" s="23">
        <v>44274</v>
      </c>
      <c r="L1571" s="22">
        <v>34.177764892578125</v>
      </c>
    </row>
    <row r="1572" spans="1:12" x14ac:dyDescent="0.25">
      <c r="A1572" s="9">
        <v>1565</v>
      </c>
      <c r="B1572" s="10">
        <v>44278</v>
      </c>
      <c r="C1572" s="3">
        <v>33.629111543146799</v>
      </c>
      <c r="D1572" s="3">
        <v>33.701727309656349</v>
      </c>
      <c r="E1572" s="3">
        <v>32.604423761446412</v>
      </c>
      <c r="F1572" s="3">
        <v>32.967502593994141</v>
      </c>
      <c r="G1572" s="3">
        <v>521000</v>
      </c>
      <c r="H1572" s="3">
        <v>0</v>
      </c>
      <c r="I1572" s="3">
        <v>0</v>
      </c>
      <c r="J1572" s="3" t="str">
        <v>AB</v>
      </c>
      <c r="K1572" s="23">
        <v>44277</v>
      </c>
      <c r="L1572" s="22">
        <v>33.782405853271484</v>
      </c>
    </row>
    <row r="1573" spans="1:12" x14ac:dyDescent="0.25">
      <c r="A1573" s="9">
        <v>1566</v>
      </c>
      <c r="B1573" s="10">
        <v>44279</v>
      </c>
      <c r="C1573" s="3">
        <v>33.241825910065018</v>
      </c>
      <c r="D1573" s="3">
        <v>33.725928930785813</v>
      </c>
      <c r="E1573" s="3">
        <v>32.192933979935333</v>
      </c>
      <c r="F1573" s="3">
        <v>32.273616790771484</v>
      </c>
      <c r="G1573" s="3">
        <v>471800</v>
      </c>
      <c r="H1573" s="3">
        <v>0</v>
      </c>
      <c r="I1573" s="3">
        <v>0</v>
      </c>
      <c r="J1573" s="3" t="str">
        <v>AB</v>
      </c>
      <c r="K1573" s="23">
        <v>44278</v>
      </c>
      <c r="L1573" s="22">
        <v>32.967502593994141</v>
      </c>
    </row>
    <row r="1574" spans="1:12" x14ac:dyDescent="0.25">
      <c r="A1574" s="9">
        <v>1567</v>
      </c>
      <c r="B1574" s="10">
        <v>44280</v>
      </c>
      <c r="C1574" s="3">
        <v>31.894400707260381</v>
      </c>
      <c r="D1574" s="3">
        <v>32.192933877680176</v>
      </c>
      <c r="E1574" s="3">
        <v>31.345748977331805</v>
      </c>
      <c r="F1574" s="3">
        <v>31.797580718994141</v>
      </c>
      <c r="G1574" s="3">
        <v>673500</v>
      </c>
      <c r="H1574" s="3">
        <v>0</v>
      </c>
      <c r="I1574" s="3">
        <v>0</v>
      </c>
      <c r="J1574" s="3" t="str">
        <v>AB</v>
      </c>
      <c r="K1574" s="23">
        <v>44279</v>
      </c>
      <c r="L1574" s="22">
        <v>32.273616790771484</v>
      </c>
    </row>
    <row r="1575" spans="1:12" x14ac:dyDescent="0.25">
      <c r="A1575" s="9">
        <v>1568</v>
      </c>
      <c r="B1575" s="10">
        <v>44281</v>
      </c>
      <c r="C1575" s="3">
        <v>31.603935611954402</v>
      </c>
      <c r="D1575" s="3">
        <v>31.983151568324246</v>
      </c>
      <c r="E1575" s="3">
        <v>31.353817068690663</v>
      </c>
      <c r="F1575" s="3">
        <v>31.91053581237793</v>
      </c>
      <c r="G1575" s="3">
        <v>486800</v>
      </c>
      <c r="H1575" s="3">
        <v>0</v>
      </c>
      <c r="I1575" s="3">
        <v>0</v>
      </c>
      <c r="J1575" s="3" t="str">
        <v>AB</v>
      </c>
      <c r="K1575" s="23">
        <v>44280</v>
      </c>
      <c r="L1575" s="22">
        <v>31.797580718994141</v>
      </c>
    </row>
    <row r="1576" spans="1:12" x14ac:dyDescent="0.25">
      <c r="A1576" s="9">
        <v>1569</v>
      </c>
      <c r="B1576" s="10">
        <v>44284</v>
      </c>
      <c r="C1576" s="3">
        <v>31.620078386226442</v>
      </c>
      <c r="D1576" s="3">
        <v>31.910541461431752</v>
      </c>
      <c r="E1576" s="3">
        <v>31.200520952913468</v>
      </c>
      <c r="F1576" s="3">
        <v>31.410301208496094</v>
      </c>
      <c r="G1576" s="3">
        <v>367500</v>
      </c>
      <c r="H1576" s="3">
        <v>0</v>
      </c>
      <c r="I1576" s="3">
        <v>0</v>
      </c>
      <c r="J1576" s="3" t="str">
        <v>AB</v>
      </c>
      <c r="K1576" s="23">
        <v>44281</v>
      </c>
      <c r="L1576" s="22">
        <v>31.91053581237793</v>
      </c>
    </row>
    <row r="1577" spans="1:12" x14ac:dyDescent="0.25">
      <c r="A1577" s="9">
        <v>1570</v>
      </c>
      <c r="B1577" s="10">
        <v>44285</v>
      </c>
      <c r="C1577" s="3">
        <v>31.418367912178706</v>
      </c>
      <c r="D1577" s="3">
        <v>32.071909824169722</v>
      </c>
      <c r="E1577" s="3">
        <v>31.418367912178706</v>
      </c>
      <c r="F1577" s="3">
        <v>32.0638427734375</v>
      </c>
      <c r="G1577" s="3">
        <v>256100</v>
      </c>
      <c r="H1577" s="3">
        <v>0</v>
      </c>
      <c r="I1577" s="3">
        <v>0</v>
      </c>
      <c r="J1577" s="3" t="str">
        <v>AB</v>
      </c>
      <c r="K1577" s="23">
        <v>44284</v>
      </c>
      <c r="L1577" s="22">
        <v>31.410301208496094</v>
      </c>
    </row>
    <row r="1578" spans="1:12" x14ac:dyDescent="0.25">
      <c r="A1578" s="9">
        <v>1571</v>
      </c>
      <c r="B1578" s="10">
        <v>44286</v>
      </c>
      <c r="C1578" s="3">
        <v>32.265544891357422</v>
      </c>
      <c r="D1578" s="3">
        <v>32.644757738714446</v>
      </c>
      <c r="E1578" s="3">
        <v>32.120313391398909</v>
      </c>
      <c r="F1578" s="3">
        <v>32.265544891357422</v>
      </c>
      <c r="G1578" s="3">
        <v>384200</v>
      </c>
      <c r="H1578" s="3">
        <v>0</v>
      </c>
      <c r="I1578" s="3">
        <v>0</v>
      </c>
      <c r="J1578" s="3" t="str">
        <v>AB</v>
      </c>
      <c r="K1578" s="23">
        <v>44285</v>
      </c>
      <c r="L1578" s="22">
        <v>32.0638427734375</v>
      </c>
    </row>
    <row r="1579" spans="1:12" x14ac:dyDescent="0.25">
      <c r="A1579" s="9">
        <v>1572</v>
      </c>
      <c r="B1579" s="10">
        <v>44287</v>
      </c>
      <c r="C1579" s="3">
        <v>32.354297426866651</v>
      </c>
      <c r="D1579" s="3">
        <v>33.03204345703125</v>
      </c>
      <c r="E1579" s="3">
        <v>32.273614621453717</v>
      </c>
      <c r="F1579" s="3">
        <v>33.03204345703125</v>
      </c>
      <c r="G1579" s="3">
        <v>353800</v>
      </c>
      <c r="H1579" s="3">
        <v>0</v>
      </c>
      <c r="I1579" s="3">
        <v>0</v>
      </c>
      <c r="J1579" s="3" t="str">
        <v>AB</v>
      </c>
      <c r="K1579" s="23">
        <v>44286</v>
      </c>
      <c r="L1579" s="22">
        <v>32.265544891357422</v>
      </c>
    </row>
    <row r="1580" spans="1:12" x14ac:dyDescent="0.25">
      <c r="A1580" s="9">
        <v>1573</v>
      </c>
      <c r="B1580" s="10">
        <v>44291</v>
      </c>
      <c r="C1580" s="3">
        <v>33.419333354863006</v>
      </c>
      <c r="D1580" s="3">
        <v>33.516156434747423</v>
      </c>
      <c r="E1580" s="3">
        <v>33.064324628843934</v>
      </c>
      <c r="F1580" s="3">
        <v>33.387062072753906</v>
      </c>
      <c r="G1580" s="3">
        <v>421200</v>
      </c>
      <c r="H1580" s="3">
        <v>0</v>
      </c>
      <c r="I1580" s="3">
        <v>0</v>
      </c>
      <c r="J1580" s="3" t="str">
        <v>AB</v>
      </c>
      <c r="K1580" s="23">
        <v>44287</v>
      </c>
      <c r="L1580" s="22">
        <v>33.03204345703125</v>
      </c>
    </row>
    <row r="1581" spans="1:12" x14ac:dyDescent="0.25">
      <c r="A1581" s="9">
        <v>1574</v>
      </c>
      <c r="B1581" s="10">
        <v>44292</v>
      </c>
      <c r="C1581" s="3">
        <v>33.064315117635992</v>
      </c>
      <c r="D1581" s="3">
        <v>33.387052468708049</v>
      </c>
      <c r="E1581" s="3">
        <v>32.636690743639278</v>
      </c>
      <c r="F1581" s="3">
        <v>32.878742218017578</v>
      </c>
      <c r="G1581" s="3">
        <v>396600</v>
      </c>
      <c r="H1581" s="3">
        <v>0</v>
      </c>
      <c r="I1581" s="3">
        <v>0</v>
      </c>
      <c r="J1581" s="3" t="str">
        <v>AB</v>
      </c>
      <c r="K1581" s="23">
        <v>44291</v>
      </c>
      <c r="L1581" s="22">
        <v>33.387062072753906</v>
      </c>
    </row>
    <row r="1582" spans="1:12" x14ac:dyDescent="0.25">
      <c r="A1582" s="9">
        <v>1575</v>
      </c>
      <c r="B1582" s="10">
        <v>44293</v>
      </c>
      <c r="C1582" s="3">
        <v>32.919095242935619</v>
      </c>
      <c r="D1582" s="3">
        <v>32.999781148123894</v>
      </c>
      <c r="E1582" s="3">
        <v>32.660906502038287</v>
      </c>
      <c r="F1582" s="3">
        <v>32.741592407226563</v>
      </c>
      <c r="G1582" s="3">
        <v>194500</v>
      </c>
      <c r="H1582" s="3">
        <v>0</v>
      </c>
      <c r="I1582" s="3">
        <v>0</v>
      </c>
      <c r="J1582" s="3" t="str">
        <v>AB</v>
      </c>
      <c r="K1582" s="23">
        <v>44292</v>
      </c>
      <c r="L1582" s="22">
        <v>32.878742218017578</v>
      </c>
    </row>
    <row r="1583" spans="1:12" x14ac:dyDescent="0.25">
      <c r="A1583" s="9">
        <v>1576</v>
      </c>
      <c r="B1583" s="10">
        <v>44294</v>
      </c>
      <c r="C1583" s="3">
        <v>32.741586626606342</v>
      </c>
      <c r="D1583" s="3">
        <v>32.919089430976776</v>
      </c>
      <c r="E1583" s="3">
        <v>32.636696507306517</v>
      </c>
      <c r="F1583" s="3">
        <v>32.822269439697266</v>
      </c>
      <c r="G1583" s="3">
        <v>219100</v>
      </c>
      <c r="H1583" s="3">
        <v>0</v>
      </c>
      <c r="I1583" s="3">
        <v>0</v>
      </c>
      <c r="J1583" s="3" t="str">
        <v>AB</v>
      </c>
      <c r="K1583" s="23">
        <v>44293</v>
      </c>
      <c r="L1583" s="22">
        <v>32.741592407226563</v>
      </c>
    </row>
    <row r="1584" spans="1:12" x14ac:dyDescent="0.25">
      <c r="A1584" s="9">
        <v>1577</v>
      </c>
      <c r="B1584" s="10">
        <v>44295</v>
      </c>
      <c r="C1584" s="3">
        <v>32.789991772106653</v>
      </c>
      <c r="D1584" s="3">
        <v>32.919086106727086</v>
      </c>
      <c r="E1584" s="3">
        <v>32.200998678035205</v>
      </c>
      <c r="F1584" s="3">
        <v>32.507598876953125</v>
      </c>
      <c r="G1584" s="3">
        <v>362200</v>
      </c>
      <c r="H1584" s="3">
        <v>0</v>
      </c>
      <c r="I1584" s="3">
        <v>0</v>
      </c>
      <c r="J1584" s="3" t="str">
        <v>AB</v>
      </c>
      <c r="K1584" s="23">
        <v>44294</v>
      </c>
      <c r="L1584" s="22">
        <v>32.822269439697266</v>
      </c>
    </row>
    <row r="1585" spans="1:12" x14ac:dyDescent="0.25">
      <c r="A1585" s="9">
        <v>1578</v>
      </c>
      <c r="B1585" s="10">
        <v>44298</v>
      </c>
      <c r="C1585" s="3">
        <v>32.475330352783203</v>
      </c>
      <c r="D1585" s="3">
        <v>32.588287531119128</v>
      </c>
      <c r="E1585" s="3">
        <v>32.176800227487931</v>
      </c>
      <c r="F1585" s="3">
        <v>32.475330352783203</v>
      </c>
      <c r="G1585" s="3">
        <v>281900</v>
      </c>
      <c r="H1585" s="3">
        <v>0</v>
      </c>
      <c r="I1585" s="3">
        <v>0</v>
      </c>
      <c r="J1585" s="3" t="str">
        <v>AB</v>
      </c>
      <c r="K1585" s="23">
        <v>44295</v>
      </c>
      <c r="L1585" s="22">
        <v>32.507598876953125</v>
      </c>
    </row>
    <row r="1586" spans="1:12" x14ac:dyDescent="0.25">
      <c r="A1586" s="9">
        <v>1579</v>
      </c>
      <c r="B1586" s="10">
        <v>44299</v>
      </c>
      <c r="C1586" s="3">
        <v>32.475325156057288</v>
      </c>
      <c r="D1586" s="3">
        <v>32.951361101334683</v>
      </c>
      <c r="E1586" s="3">
        <v>32.225203531300771</v>
      </c>
      <c r="F1586" s="3">
        <v>32.668968200683594</v>
      </c>
      <c r="G1586" s="3">
        <v>502800</v>
      </c>
      <c r="H1586" s="3">
        <v>0</v>
      </c>
      <c r="I1586" s="3">
        <v>0</v>
      </c>
      <c r="J1586" s="3" t="str">
        <v>AB</v>
      </c>
      <c r="K1586" s="23">
        <v>44298</v>
      </c>
      <c r="L1586" s="22">
        <v>32.475330352783203</v>
      </c>
    </row>
    <row r="1587" spans="1:12" x14ac:dyDescent="0.25">
      <c r="A1587" s="9">
        <v>1580</v>
      </c>
      <c r="B1587" s="10">
        <v>44300</v>
      </c>
      <c r="C1587" s="3">
        <v>32.539877099325395</v>
      </c>
      <c r="D1587" s="3">
        <v>32.927160149237771</v>
      </c>
      <c r="E1587" s="3">
        <v>32.338166985130279</v>
      </c>
      <c r="F1587" s="3">
        <v>32.556011199951172</v>
      </c>
      <c r="G1587" s="3">
        <v>389600</v>
      </c>
      <c r="H1587" s="3">
        <v>0</v>
      </c>
      <c r="I1587" s="3">
        <v>0</v>
      </c>
      <c r="J1587" s="3" t="str">
        <v>AB</v>
      </c>
      <c r="K1587" s="23">
        <v>44299</v>
      </c>
      <c r="L1587" s="22">
        <v>32.668968200683594</v>
      </c>
    </row>
    <row r="1588" spans="1:12" x14ac:dyDescent="0.25">
      <c r="A1588" s="9">
        <v>1581</v>
      </c>
      <c r="B1588" s="10">
        <v>44301</v>
      </c>
      <c r="C1588" s="3">
        <v>32.483393094901665</v>
      </c>
      <c r="D1588" s="3">
        <v>32.741584854089467</v>
      </c>
      <c r="E1588" s="3">
        <v>31.9347444554517</v>
      </c>
      <c r="F1588" s="3">
        <v>32.176795959472656</v>
      </c>
      <c r="G1588" s="3">
        <v>523500</v>
      </c>
      <c r="H1588" s="3">
        <v>0</v>
      </c>
      <c r="I1588" s="3">
        <v>0</v>
      </c>
      <c r="J1588" s="3" t="str">
        <v>AB</v>
      </c>
      <c r="K1588" s="23">
        <v>44300</v>
      </c>
      <c r="L1588" s="22">
        <v>32.556011199951172</v>
      </c>
    </row>
    <row r="1589" spans="1:12" x14ac:dyDescent="0.25">
      <c r="A1589" s="9">
        <v>1582</v>
      </c>
      <c r="B1589" s="10">
        <v>44302</v>
      </c>
      <c r="C1589" s="3">
        <v>32.217146639613468</v>
      </c>
      <c r="D1589" s="3">
        <v>32.572155409199539</v>
      </c>
      <c r="E1589" s="3">
        <v>32.168735093730149</v>
      </c>
      <c r="F1589" s="3">
        <v>32.370445251464844</v>
      </c>
      <c r="G1589" s="3">
        <v>262100</v>
      </c>
      <c r="H1589" s="3">
        <v>0</v>
      </c>
      <c r="I1589" s="3">
        <v>0</v>
      </c>
      <c r="J1589" s="3" t="str">
        <v>AB</v>
      </c>
      <c r="K1589" s="23">
        <v>44301</v>
      </c>
      <c r="L1589" s="22">
        <v>32.176795959472656</v>
      </c>
    </row>
    <row r="1590" spans="1:12" x14ac:dyDescent="0.25">
      <c r="A1590" s="9">
        <v>1583</v>
      </c>
      <c r="B1590" s="10">
        <v>44305</v>
      </c>
      <c r="C1590" s="3">
        <v>32.370436150120291</v>
      </c>
      <c r="D1590" s="3">
        <v>32.434984859816055</v>
      </c>
      <c r="E1590" s="3">
        <v>32.088043239831045</v>
      </c>
      <c r="F1590" s="3">
        <v>32.112247467041016</v>
      </c>
      <c r="G1590" s="3">
        <v>293900</v>
      </c>
      <c r="H1590" s="3">
        <v>0</v>
      </c>
      <c r="I1590" s="3">
        <v>0</v>
      </c>
      <c r="J1590" s="3" t="str">
        <v>AB</v>
      </c>
      <c r="K1590" s="23">
        <v>44302</v>
      </c>
      <c r="L1590" s="22">
        <v>32.370445251464844</v>
      </c>
    </row>
    <row r="1591" spans="1:12" x14ac:dyDescent="0.25">
      <c r="A1591" s="9">
        <v>1584</v>
      </c>
      <c r="B1591" s="10">
        <v>44306</v>
      </c>
      <c r="C1591" s="3">
        <v>31.950873006218991</v>
      </c>
      <c r="D1591" s="3">
        <v>32.313951738122888</v>
      </c>
      <c r="E1591" s="3">
        <v>31.926668783375842</v>
      </c>
      <c r="F1591" s="3">
        <v>32.168720245361328</v>
      </c>
      <c r="G1591" s="3">
        <v>270000</v>
      </c>
      <c r="H1591" s="3">
        <v>0</v>
      </c>
      <c r="I1591" s="3">
        <v>0</v>
      </c>
      <c r="J1591" s="3" t="str">
        <v>AB</v>
      </c>
      <c r="K1591" s="23">
        <v>44305</v>
      </c>
      <c r="L1591" s="22">
        <v>32.112247467041016</v>
      </c>
    </row>
    <row r="1592" spans="1:12" x14ac:dyDescent="0.25">
      <c r="A1592" s="9">
        <v>1585</v>
      </c>
      <c r="B1592" s="10">
        <v>44307</v>
      </c>
      <c r="C1592" s="3">
        <v>32.176794976608235</v>
      </c>
      <c r="D1592" s="3">
        <v>32.870678190697824</v>
      </c>
      <c r="E1592" s="3">
        <v>32.063837816705608</v>
      </c>
      <c r="F1592" s="3">
        <v>32.830333709716797</v>
      </c>
      <c r="G1592" s="3">
        <v>387800</v>
      </c>
      <c r="H1592" s="3">
        <v>0</v>
      </c>
      <c r="I1592" s="3">
        <v>0</v>
      </c>
      <c r="J1592" s="3" t="str">
        <v>AB</v>
      </c>
      <c r="K1592" s="23">
        <v>44306</v>
      </c>
      <c r="L1592" s="22">
        <v>32.168720245361328</v>
      </c>
    </row>
    <row r="1593" spans="1:12" x14ac:dyDescent="0.25">
      <c r="A1593" s="9">
        <v>1586</v>
      </c>
      <c r="B1593" s="10">
        <v>44308</v>
      </c>
      <c r="C1593" s="3">
        <v>32.838411100155547</v>
      </c>
      <c r="D1593" s="3">
        <v>33.588773060159276</v>
      </c>
      <c r="E1593" s="3">
        <v>32.765795327321236</v>
      </c>
      <c r="F1593" s="3">
        <v>33.508087158203125</v>
      </c>
      <c r="G1593" s="3">
        <v>369300</v>
      </c>
      <c r="H1593" s="3">
        <v>0</v>
      </c>
      <c r="I1593" s="3">
        <v>0</v>
      </c>
      <c r="J1593" s="3" t="str">
        <v>AB</v>
      </c>
      <c r="K1593" s="23">
        <v>44307</v>
      </c>
      <c r="L1593" s="22">
        <v>32.830333709716797</v>
      </c>
    </row>
    <row r="1594" spans="1:12" x14ac:dyDescent="0.25">
      <c r="A1594" s="9">
        <v>1587</v>
      </c>
      <c r="B1594" s="10">
        <v>44309</v>
      </c>
      <c r="C1594" s="3">
        <v>33.645244932430465</v>
      </c>
      <c r="D1594" s="3">
        <v>34.1616222904008</v>
      </c>
      <c r="E1594" s="3">
        <v>33.572629174100143</v>
      </c>
      <c r="F1594" s="3">
        <v>34.056732177734375</v>
      </c>
      <c r="G1594" s="3">
        <v>306800</v>
      </c>
      <c r="H1594" s="3">
        <v>0</v>
      </c>
      <c r="I1594" s="3">
        <v>0</v>
      </c>
      <c r="J1594" s="3" t="str">
        <v>AB</v>
      </c>
      <c r="K1594" s="23">
        <v>44308</v>
      </c>
      <c r="L1594" s="22">
        <v>33.508087158203125</v>
      </c>
    </row>
    <row r="1595" spans="1:12" x14ac:dyDescent="0.25">
      <c r="A1595" s="9">
        <v>1588</v>
      </c>
      <c r="B1595" s="10">
        <v>44312</v>
      </c>
      <c r="C1595" s="3">
        <v>34.105147741661987</v>
      </c>
      <c r="D1595" s="3">
        <v>34.508567985006202</v>
      </c>
      <c r="E1595" s="3">
        <v>34.105147741661987</v>
      </c>
      <c r="F1595" s="3">
        <v>34.395610809326172</v>
      </c>
      <c r="G1595" s="3">
        <v>328300</v>
      </c>
      <c r="H1595" s="3">
        <v>0</v>
      </c>
      <c r="I1595" s="3">
        <v>0</v>
      </c>
      <c r="J1595" s="3" t="str">
        <v>AB</v>
      </c>
      <c r="K1595" s="23">
        <v>44309</v>
      </c>
      <c r="L1595" s="22">
        <v>34.056732177734375</v>
      </c>
    </row>
    <row r="1596" spans="1:12" x14ac:dyDescent="0.25">
      <c r="A1596" s="9">
        <v>1589</v>
      </c>
      <c r="B1596" s="10">
        <v>44313</v>
      </c>
      <c r="C1596" s="3">
        <v>34.605384609078385</v>
      </c>
      <c r="D1596" s="3">
        <v>34.799027661266727</v>
      </c>
      <c r="E1596" s="3">
        <v>34.21003453272786</v>
      </c>
      <c r="F1596" s="3">
        <v>34.669933319091797</v>
      </c>
      <c r="G1596" s="3">
        <v>247200</v>
      </c>
      <c r="H1596" s="3">
        <v>0</v>
      </c>
      <c r="I1596" s="3">
        <v>0</v>
      </c>
      <c r="J1596" s="3" t="str">
        <v>AB</v>
      </c>
      <c r="K1596" s="23">
        <v>44312</v>
      </c>
      <c r="L1596" s="22">
        <v>34.395610809326172</v>
      </c>
    </row>
    <row r="1597" spans="1:12" x14ac:dyDescent="0.25">
      <c r="A1597" s="9">
        <v>1590</v>
      </c>
      <c r="B1597" s="10">
        <v>44314</v>
      </c>
      <c r="C1597" s="3">
        <v>34.758693943118544</v>
      </c>
      <c r="D1597" s="3">
        <v>34.93619677920536</v>
      </c>
      <c r="E1597" s="3">
        <v>33.443542925350194</v>
      </c>
      <c r="F1597" s="3">
        <v>33.766277313232422</v>
      </c>
      <c r="G1597" s="3">
        <v>446100</v>
      </c>
      <c r="H1597" s="3">
        <v>0</v>
      </c>
      <c r="I1597" s="3">
        <v>0</v>
      </c>
      <c r="J1597" s="3" t="str">
        <v>AB</v>
      </c>
      <c r="K1597" s="23">
        <v>44313</v>
      </c>
      <c r="L1597" s="22">
        <v>34.669933319091797</v>
      </c>
    </row>
    <row r="1598" spans="1:12" x14ac:dyDescent="0.25">
      <c r="A1598" s="9">
        <v>1591</v>
      </c>
      <c r="B1598" s="10">
        <v>44315</v>
      </c>
      <c r="C1598" s="3">
        <v>34.137423326948301</v>
      </c>
      <c r="D1598" s="3">
        <v>34.403679096643408</v>
      </c>
      <c r="E1598" s="3">
        <v>33.72593294034818</v>
      </c>
      <c r="F1598" s="3">
        <v>34.314926147460938</v>
      </c>
      <c r="G1598" s="3">
        <v>370500</v>
      </c>
      <c r="H1598" s="3">
        <v>0</v>
      </c>
      <c r="I1598" s="3">
        <v>0</v>
      </c>
      <c r="J1598" s="3" t="str">
        <v>AB</v>
      </c>
      <c r="K1598" s="23">
        <v>44314</v>
      </c>
      <c r="L1598" s="22">
        <v>33.766277313232422</v>
      </c>
    </row>
    <row r="1599" spans="1:12" x14ac:dyDescent="0.25">
      <c r="A1599" s="9">
        <v>1592</v>
      </c>
      <c r="B1599" s="10">
        <v>44316</v>
      </c>
      <c r="C1599" s="3">
        <v>33.895364028434251</v>
      </c>
      <c r="D1599" s="3">
        <v>34.992667470675293</v>
      </c>
      <c r="E1599" s="3">
        <v>33.895364028434251</v>
      </c>
      <c r="F1599" s="3">
        <v>34.782890319824219</v>
      </c>
      <c r="G1599" s="3">
        <v>613700</v>
      </c>
      <c r="H1599" s="3">
        <v>0</v>
      </c>
      <c r="I1599" s="3">
        <v>0</v>
      </c>
      <c r="J1599" s="3" t="str">
        <v>AB</v>
      </c>
      <c r="K1599" s="23">
        <v>44315</v>
      </c>
      <c r="L1599" s="22">
        <v>34.314926147460938</v>
      </c>
    </row>
    <row r="1600" spans="1:12" x14ac:dyDescent="0.25">
      <c r="A1600" s="9">
        <v>1593</v>
      </c>
      <c r="B1600" s="10">
        <v>44319</v>
      </c>
      <c r="C1600" s="3">
        <v>35.03301049725448</v>
      </c>
      <c r="D1600" s="3">
        <v>36.299752822203047</v>
      </c>
      <c r="E1600" s="3">
        <v>34.831300386852455</v>
      </c>
      <c r="F1600" s="3">
        <v>35.968948364257813</v>
      </c>
      <c r="G1600" s="3">
        <v>627800</v>
      </c>
      <c r="H1600" s="3">
        <v>0</v>
      </c>
      <c r="I1600" s="3">
        <v>0</v>
      </c>
      <c r="J1600" s="3" t="str">
        <v>AB</v>
      </c>
      <c r="K1600" s="23">
        <v>44316</v>
      </c>
      <c r="L1600" s="22">
        <v>34.782890319824219</v>
      </c>
    </row>
    <row r="1601" spans="1:12" x14ac:dyDescent="0.25">
      <c r="A1601" s="9">
        <v>1594</v>
      </c>
      <c r="B1601" s="10">
        <v>44320</v>
      </c>
      <c r="C1601" s="3">
        <v>35.985088703208973</v>
      </c>
      <c r="D1601" s="3">
        <v>36.267484753441195</v>
      </c>
      <c r="E1601" s="3">
        <v>35.371891215533473</v>
      </c>
      <c r="F1601" s="3">
        <v>35.734970092773438</v>
      </c>
      <c r="G1601" s="3">
        <v>532500</v>
      </c>
      <c r="H1601" s="3">
        <v>0</v>
      </c>
      <c r="I1601" s="3">
        <v>0</v>
      </c>
      <c r="J1601" s="3" t="str">
        <v>AB</v>
      </c>
      <c r="K1601" s="23">
        <v>44319</v>
      </c>
      <c r="L1601" s="22">
        <v>35.968948364257813</v>
      </c>
    </row>
    <row r="1602" spans="1:12" x14ac:dyDescent="0.25">
      <c r="A1602" s="9">
        <v>1595</v>
      </c>
      <c r="B1602" s="10">
        <v>44321</v>
      </c>
      <c r="C1602" s="3">
        <v>36.138385206420622</v>
      </c>
      <c r="D1602" s="3">
        <v>36.670899790801641</v>
      </c>
      <c r="E1602" s="3">
        <v>35.888263553964336</v>
      </c>
      <c r="F1602" s="3">
        <v>36.428848266601563</v>
      </c>
      <c r="G1602" s="3">
        <v>553300</v>
      </c>
      <c r="H1602" s="3">
        <v>0</v>
      </c>
      <c r="I1602" s="3">
        <v>0</v>
      </c>
      <c r="J1602" s="3" t="str">
        <v>AB</v>
      </c>
      <c r="K1602" s="23">
        <v>44320</v>
      </c>
      <c r="L1602" s="22">
        <v>35.734970092773438</v>
      </c>
    </row>
    <row r="1603" spans="1:12" x14ac:dyDescent="0.25">
      <c r="A1603" s="9">
        <v>1596</v>
      </c>
      <c r="B1603" s="10">
        <v>44322</v>
      </c>
      <c r="C1603" s="3">
        <v>36.993629744432297</v>
      </c>
      <c r="D1603" s="3">
        <v>37.856948694362565</v>
      </c>
      <c r="E1603" s="3">
        <v>36.073832214813265</v>
      </c>
      <c r="F1603" s="3">
        <v>37.356708526611328</v>
      </c>
      <c r="G1603" s="3">
        <v>757900</v>
      </c>
      <c r="H1603" s="3">
        <v>0</v>
      </c>
      <c r="I1603" s="3">
        <v>0</v>
      </c>
      <c r="J1603" s="3" t="str">
        <v>AB</v>
      </c>
      <c r="K1603" s="23">
        <v>44321</v>
      </c>
      <c r="L1603" s="22">
        <v>36.428848266601563</v>
      </c>
    </row>
    <row r="1604" spans="1:12" x14ac:dyDescent="0.25">
      <c r="A1604" s="9">
        <v>1597</v>
      </c>
      <c r="B1604" s="10">
        <v>44323</v>
      </c>
      <c r="C1604" s="3">
        <v>36.69153506100831</v>
      </c>
      <c r="D1604" s="3">
        <v>37.282805200958087</v>
      </c>
      <c r="E1604" s="3">
        <v>36.165962995567</v>
      </c>
      <c r="F1604" s="3">
        <v>36.642261505126953</v>
      </c>
      <c r="G1604" s="3">
        <v>736700</v>
      </c>
      <c r="H1604" s="3">
        <v>0.81</v>
      </c>
      <c r="I1604" s="3">
        <v>0</v>
      </c>
      <c r="J1604" s="3" t="str">
        <v>AB</v>
      </c>
      <c r="K1604" s="23">
        <v>44322</v>
      </c>
      <c r="L1604" s="22">
        <v>37.356708526611328</v>
      </c>
    </row>
    <row r="1605" spans="1:12" x14ac:dyDescent="0.25">
      <c r="A1605" s="9">
        <v>1598</v>
      </c>
      <c r="B1605" s="10">
        <v>44326</v>
      </c>
      <c r="C1605" s="3">
        <v>36.494450496982736</v>
      </c>
      <c r="D1605" s="3">
        <v>37.438840124673199</v>
      </c>
      <c r="E1605" s="3">
        <v>36.494450496982736</v>
      </c>
      <c r="F1605" s="3">
        <v>36.814723968505859</v>
      </c>
      <c r="G1605" s="3">
        <v>676800</v>
      </c>
      <c r="H1605" s="3">
        <v>0</v>
      </c>
      <c r="I1605" s="3">
        <v>0</v>
      </c>
      <c r="J1605" s="3" t="str">
        <v>AB</v>
      </c>
      <c r="K1605" s="23">
        <v>44323</v>
      </c>
      <c r="L1605" s="22">
        <v>36.642261505126953</v>
      </c>
    </row>
    <row r="1606" spans="1:12" x14ac:dyDescent="0.25">
      <c r="A1606" s="9">
        <v>1599</v>
      </c>
      <c r="B1606" s="10">
        <v>44327</v>
      </c>
      <c r="C1606" s="3">
        <v>36.141331598867218</v>
      </c>
      <c r="D1606" s="3">
        <v>36.141331598867218</v>
      </c>
      <c r="E1606" s="3">
        <v>35.196945091189981</v>
      </c>
      <c r="F1606" s="3">
        <v>35.68145751953125</v>
      </c>
      <c r="G1606" s="3">
        <v>644800</v>
      </c>
      <c r="H1606" s="3">
        <v>0</v>
      </c>
      <c r="I1606" s="3">
        <v>0</v>
      </c>
      <c r="J1606" s="3" t="str">
        <v>AB</v>
      </c>
      <c r="K1606" s="23">
        <v>44326</v>
      </c>
      <c r="L1606" s="22">
        <v>36.814723968505859</v>
      </c>
    </row>
    <row r="1607" spans="1:12" x14ac:dyDescent="0.25">
      <c r="A1607" s="9">
        <v>1600</v>
      </c>
      <c r="B1607" s="10">
        <v>44328</v>
      </c>
      <c r="C1607" s="3">
        <v>35.648600948076954</v>
      </c>
      <c r="D1607" s="3">
        <v>35.878537939189336</v>
      </c>
      <c r="E1607" s="3">
        <v>34.195063969995338</v>
      </c>
      <c r="F1607" s="3">
        <v>34.252548217773438</v>
      </c>
      <c r="G1607" s="3">
        <v>518400</v>
      </c>
      <c r="H1607" s="3">
        <v>0</v>
      </c>
      <c r="I1607" s="3">
        <v>0</v>
      </c>
      <c r="J1607" s="3" t="str">
        <v>AB</v>
      </c>
      <c r="K1607" s="23">
        <v>44327</v>
      </c>
      <c r="L1607" s="22">
        <v>35.68145751953125</v>
      </c>
    </row>
    <row r="1608" spans="1:12" x14ac:dyDescent="0.25">
      <c r="A1608" s="9">
        <v>1601</v>
      </c>
      <c r="B1608" s="10">
        <v>44329</v>
      </c>
      <c r="C1608" s="3">
        <v>34.244335106544945</v>
      </c>
      <c r="D1608" s="3">
        <v>35.566478977381998</v>
      </c>
      <c r="E1608" s="3">
        <v>34.162212520764058</v>
      </c>
      <c r="F1608" s="3">
        <v>35.402236938476563</v>
      </c>
      <c r="G1608" s="3">
        <v>387700</v>
      </c>
      <c r="H1608" s="3">
        <v>0</v>
      </c>
      <c r="I1608" s="3">
        <v>0</v>
      </c>
      <c r="J1608" s="3" t="str">
        <v>AB</v>
      </c>
      <c r="K1608" s="23">
        <v>44328</v>
      </c>
      <c r="L1608" s="22">
        <v>34.252548217773438</v>
      </c>
    </row>
    <row r="1609" spans="1:12" x14ac:dyDescent="0.25">
      <c r="A1609" s="9">
        <v>1602</v>
      </c>
      <c r="B1609" s="10">
        <v>44330</v>
      </c>
      <c r="C1609" s="3">
        <v>35.738941011163547</v>
      </c>
      <c r="D1609" s="3">
        <v>36.962538097558323</v>
      </c>
      <c r="E1609" s="3">
        <v>35.738941011163547</v>
      </c>
      <c r="F1609" s="3">
        <v>36.436965942382813</v>
      </c>
      <c r="G1609" s="3">
        <v>324400</v>
      </c>
      <c r="H1609" s="3">
        <v>0</v>
      </c>
      <c r="I1609" s="3">
        <v>0</v>
      </c>
      <c r="J1609" s="3" t="str">
        <v>AB</v>
      </c>
      <c r="K1609" s="23">
        <v>44329</v>
      </c>
      <c r="L1609" s="22">
        <v>35.402236938476563</v>
      </c>
    </row>
    <row r="1610" spans="1:12" x14ac:dyDescent="0.25">
      <c r="A1610" s="9">
        <v>1603</v>
      </c>
      <c r="B1610" s="10">
        <v>44333</v>
      </c>
      <c r="C1610" s="3">
        <v>36.379482267153961</v>
      </c>
      <c r="D1610" s="3">
        <v>36.420542005062345</v>
      </c>
      <c r="E1610" s="3">
        <v>35.541850456662658</v>
      </c>
      <c r="F1610" s="3">
        <v>35.870334625244141</v>
      </c>
      <c r="G1610" s="3">
        <v>395500</v>
      </c>
      <c r="H1610" s="3">
        <v>0</v>
      </c>
      <c r="I1610" s="3">
        <v>0</v>
      </c>
      <c r="J1610" s="3" t="str">
        <v>AB</v>
      </c>
      <c r="K1610" s="23">
        <v>44330</v>
      </c>
      <c r="L1610" s="22">
        <v>36.436965942382813</v>
      </c>
    </row>
    <row r="1611" spans="1:12" x14ac:dyDescent="0.25">
      <c r="A1611" s="9">
        <v>1604</v>
      </c>
      <c r="B1611" s="10">
        <v>44334</v>
      </c>
      <c r="C1611" s="3">
        <v>35.812846150528721</v>
      </c>
      <c r="D1611" s="3">
        <v>36.239874266361277</v>
      </c>
      <c r="E1611" s="3">
        <v>35.738937377929688</v>
      </c>
      <c r="F1611" s="3">
        <v>35.738937377929688</v>
      </c>
      <c r="G1611" s="3">
        <v>255100</v>
      </c>
      <c r="H1611" s="3">
        <v>0</v>
      </c>
      <c r="I1611" s="3">
        <v>0</v>
      </c>
      <c r="J1611" s="3" t="str">
        <v>AB</v>
      </c>
      <c r="K1611" s="23">
        <v>44333</v>
      </c>
      <c r="L1611" s="22">
        <v>35.870334625244141</v>
      </c>
    </row>
    <row r="1612" spans="1:12" x14ac:dyDescent="0.25">
      <c r="A1612" s="9">
        <v>1605</v>
      </c>
      <c r="B1612" s="10">
        <v>44335</v>
      </c>
      <c r="C1612" s="3">
        <v>35.303698739909777</v>
      </c>
      <c r="D1612" s="3">
        <v>35.738937551407403</v>
      </c>
      <c r="E1612" s="3">
        <v>35.016274341670886</v>
      </c>
      <c r="F1612" s="3">
        <v>35.550060272216797</v>
      </c>
      <c r="G1612" s="3">
        <v>247600</v>
      </c>
      <c r="H1612" s="3">
        <v>0</v>
      </c>
      <c r="I1612" s="3">
        <v>0</v>
      </c>
      <c r="J1612" s="3" t="str">
        <v>AB</v>
      </c>
      <c r="K1612" s="23">
        <v>44334</v>
      </c>
      <c r="L1612" s="22">
        <v>35.738937377929688</v>
      </c>
    </row>
    <row r="1613" spans="1:12" x14ac:dyDescent="0.25">
      <c r="A1613" s="9">
        <v>1606</v>
      </c>
      <c r="B1613" s="10">
        <v>44336</v>
      </c>
      <c r="C1613" s="3">
        <v>35.804635063029657</v>
      </c>
      <c r="D1613" s="3">
        <v>36.067421134003091</v>
      </c>
      <c r="E1613" s="3">
        <v>35.410455956569507</v>
      </c>
      <c r="F1613" s="3">
        <v>35.640396118164063</v>
      </c>
      <c r="G1613" s="3">
        <v>381100</v>
      </c>
      <c r="H1613" s="3">
        <v>0</v>
      </c>
      <c r="I1613" s="3">
        <v>0</v>
      </c>
      <c r="J1613" s="3" t="str">
        <v>AB</v>
      </c>
      <c r="K1613" s="23">
        <v>44335</v>
      </c>
      <c r="L1613" s="22">
        <v>35.550060272216797</v>
      </c>
    </row>
    <row r="1614" spans="1:12" x14ac:dyDescent="0.25">
      <c r="A1614" s="9">
        <v>1607</v>
      </c>
      <c r="B1614" s="10">
        <v>44337</v>
      </c>
      <c r="C1614" s="3">
        <v>35.960666199275302</v>
      </c>
      <c r="D1614" s="3">
        <v>36.625842066318718</v>
      </c>
      <c r="E1614" s="3">
        <v>35.73072603926073</v>
      </c>
      <c r="F1614" s="3">
        <v>36.551933288574219</v>
      </c>
      <c r="G1614" s="3">
        <v>321400</v>
      </c>
      <c r="H1614" s="3">
        <v>0</v>
      </c>
      <c r="I1614" s="3">
        <v>0</v>
      </c>
      <c r="J1614" s="3" t="str">
        <v>AB</v>
      </c>
      <c r="K1614" s="23">
        <v>44336</v>
      </c>
      <c r="L1614" s="22">
        <v>35.640396118164063</v>
      </c>
    </row>
    <row r="1615" spans="1:12" x14ac:dyDescent="0.25">
      <c r="A1615" s="9">
        <v>1608</v>
      </c>
      <c r="B1615" s="10">
        <v>44340</v>
      </c>
      <c r="C1615" s="3">
        <v>36.543717478696038</v>
      </c>
      <c r="D1615" s="3">
        <v>36.765443780890067</v>
      </c>
      <c r="E1615" s="3">
        <v>36.338415695107855</v>
      </c>
      <c r="F1615" s="3">
        <v>36.40411376953125</v>
      </c>
      <c r="G1615" s="3">
        <v>300400</v>
      </c>
      <c r="H1615" s="3">
        <v>0</v>
      </c>
      <c r="I1615" s="3">
        <v>0</v>
      </c>
      <c r="J1615" s="3" t="str">
        <v>AB</v>
      </c>
      <c r="K1615" s="23">
        <v>44337</v>
      </c>
      <c r="L1615" s="22">
        <v>36.551933288574219</v>
      </c>
    </row>
    <row r="1616" spans="1:12" x14ac:dyDescent="0.25">
      <c r="A1616" s="9">
        <v>1609</v>
      </c>
      <c r="B1616" s="10">
        <v>44341</v>
      </c>
      <c r="C1616" s="3">
        <v>36.592996421333261</v>
      </c>
      <c r="D1616" s="3">
        <v>36.929691270676138</v>
      </c>
      <c r="E1616" s="3">
        <v>35.878543853759766</v>
      </c>
      <c r="F1616" s="3">
        <v>35.878543853759766</v>
      </c>
      <c r="G1616" s="3">
        <v>379400</v>
      </c>
      <c r="H1616" s="3">
        <v>0</v>
      </c>
      <c r="I1616" s="3">
        <v>0</v>
      </c>
      <c r="J1616" s="3" t="str">
        <v>AB</v>
      </c>
      <c r="K1616" s="23">
        <v>44340</v>
      </c>
      <c r="L1616" s="22">
        <v>36.40411376953125</v>
      </c>
    </row>
    <row r="1617" spans="1:12" x14ac:dyDescent="0.25">
      <c r="A1617" s="9">
        <v>1610</v>
      </c>
      <c r="B1617" s="10">
        <v>44342</v>
      </c>
      <c r="C1617" s="3">
        <v>36.075628883885692</v>
      </c>
      <c r="D1617" s="3">
        <v>36.428748194646346</v>
      </c>
      <c r="E1617" s="3">
        <v>35.689660536622526</v>
      </c>
      <c r="F1617" s="3">
        <v>36.379474639892578</v>
      </c>
      <c r="G1617" s="3">
        <v>229400</v>
      </c>
      <c r="H1617" s="3">
        <v>0</v>
      </c>
      <c r="I1617" s="3">
        <v>0</v>
      </c>
      <c r="J1617" s="3" t="str">
        <v>AB</v>
      </c>
      <c r="K1617" s="23">
        <v>44341</v>
      </c>
      <c r="L1617" s="22">
        <v>35.878543853759766</v>
      </c>
    </row>
    <row r="1618" spans="1:12" x14ac:dyDescent="0.25">
      <c r="A1618" s="9">
        <v>1611</v>
      </c>
      <c r="B1618" s="10">
        <v>44343</v>
      </c>
      <c r="C1618" s="3">
        <v>36.937895372454783</v>
      </c>
      <c r="D1618" s="3">
        <v>37.176046185809206</v>
      </c>
      <c r="E1618" s="3">
        <v>36.749018113377439</v>
      </c>
      <c r="F1618" s="3">
        <v>37.003593444824219</v>
      </c>
      <c r="G1618" s="3">
        <v>270600</v>
      </c>
      <c r="H1618" s="3">
        <v>0</v>
      </c>
      <c r="I1618" s="3">
        <v>0</v>
      </c>
      <c r="J1618" s="3" t="str">
        <v>AB</v>
      </c>
      <c r="K1618" s="23">
        <v>44342</v>
      </c>
      <c r="L1618" s="22">
        <v>36.379474639892578</v>
      </c>
    </row>
    <row r="1619" spans="1:12" x14ac:dyDescent="0.25">
      <c r="A1619" s="9">
        <v>1612</v>
      </c>
      <c r="B1619" s="10">
        <v>44344</v>
      </c>
      <c r="C1619" s="3">
        <v>36.921473878179938</v>
      </c>
      <c r="D1619" s="3">
        <v>37.4388352761626</v>
      </c>
      <c r="E1619" s="3">
        <v>36.83935441364919</v>
      </c>
      <c r="F1619" s="3">
        <v>36.978958129882813</v>
      </c>
      <c r="G1619" s="3">
        <v>205400</v>
      </c>
      <c r="H1619" s="3">
        <v>0</v>
      </c>
      <c r="I1619" s="3">
        <v>0</v>
      </c>
      <c r="J1619" s="3" t="str">
        <v>AB</v>
      </c>
      <c r="K1619" s="23">
        <v>44343</v>
      </c>
      <c r="L1619" s="22">
        <v>37.003593444824219</v>
      </c>
    </row>
    <row r="1620" spans="1:12" x14ac:dyDescent="0.25">
      <c r="A1620" s="9">
        <v>1613</v>
      </c>
      <c r="B1620" s="10">
        <v>44348</v>
      </c>
      <c r="C1620" s="3">
        <v>37.471688379822439</v>
      </c>
      <c r="D1620" s="3">
        <v>37.471688379822439</v>
      </c>
      <c r="E1620" s="3">
        <v>36.658691809087507</v>
      </c>
      <c r="F1620" s="3">
        <v>37.061084747314453</v>
      </c>
      <c r="G1620" s="3">
        <v>259400</v>
      </c>
      <c r="H1620" s="3">
        <v>0</v>
      </c>
      <c r="I1620" s="3">
        <v>0</v>
      </c>
      <c r="J1620" s="3" t="str">
        <v>AB</v>
      </c>
      <c r="K1620" s="23">
        <v>44344</v>
      </c>
      <c r="L1620" s="22">
        <v>36.978958129882813</v>
      </c>
    </row>
    <row r="1621" spans="1:12" x14ac:dyDescent="0.25">
      <c r="A1621" s="9">
        <v>1614</v>
      </c>
      <c r="B1621" s="10">
        <v>44349</v>
      </c>
      <c r="C1621" s="3">
        <v>36.93790064382835</v>
      </c>
      <c r="D1621" s="3">
        <v>37.061082980772014</v>
      </c>
      <c r="E1621" s="3">
        <v>36.634054847399455</v>
      </c>
      <c r="F1621" s="3">
        <v>36.962535858154297</v>
      </c>
      <c r="G1621" s="3">
        <v>208800</v>
      </c>
      <c r="H1621" s="3">
        <v>0</v>
      </c>
      <c r="I1621" s="3">
        <v>0</v>
      </c>
      <c r="J1621" s="3" t="str">
        <v>AB</v>
      </c>
      <c r="K1621" s="23">
        <v>44348</v>
      </c>
      <c r="L1621" s="22">
        <v>37.061084747314453</v>
      </c>
    </row>
    <row r="1622" spans="1:12" x14ac:dyDescent="0.25">
      <c r="A1622" s="9">
        <v>1615</v>
      </c>
      <c r="B1622" s="10">
        <v>44350</v>
      </c>
      <c r="C1622" s="3">
        <v>36.863993536450863</v>
      </c>
      <c r="D1622" s="3">
        <v>37.742685057286572</v>
      </c>
      <c r="E1622" s="3">
        <v>36.707965284230617</v>
      </c>
      <c r="F1622" s="3">
        <v>37.27459716796875</v>
      </c>
      <c r="G1622" s="3">
        <v>312300</v>
      </c>
      <c r="H1622" s="3">
        <v>0</v>
      </c>
      <c r="I1622" s="3">
        <v>0</v>
      </c>
      <c r="J1622" s="3" t="str">
        <v>AB</v>
      </c>
      <c r="K1622" s="23">
        <v>44349</v>
      </c>
      <c r="L1622" s="22">
        <v>36.962535858154297</v>
      </c>
    </row>
    <row r="1623" spans="1:12" x14ac:dyDescent="0.25">
      <c r="A1623" s="9">
        <v>1616</v>
      </c>
      <c r="B1623" s="10">
        <v>44351</v>
      </c>
      <c r="C1623" s="3">
        <v>37.397772586241636</v>
      </c>
      <c r="D1623" s="3">
        <v>37.397772586241636</v>
      </c>
      <c r="E1623" s="3">
        <v>36.716169180446272</v>
      </c>
      <c r="F1623" s="3">
        <v>37.028228759765625</v>
      </c>
      <c r="G1623" s="3">
        <v>169300</v>
      </c>
      <c r="H1623" s="3">
        <v>0</v>
      </c>
      <c r="I1623" s="3">
        <v>0</v>
      </c>
      <c r="J1623" s="3" t="str">
        <v>AB</v>
      </c>
      <c r="K1623" s="23">
        <v>44350</v>
      </c>
      <c r="L1623" s="22">
        <v>37.27459716796875</v>
      </c>
    </row>
    <row r="1624" spans="1:12" x14ac:dyDescent="0.25">
      <c r="A1624" s="9">
        <v>1617</v>
      </c>
      <c r="B1624" s="10">
        <v>44354</v>
      </c>
      <c r="C1624" s="3">
        <v>37.258170069278272</v>
      </c>
      <c r="D1624" s="3">
        <v>37.323868149451563</v>
      </c>
      <c r="E1624" s="3">
        <v>36.790082212342647</v>
      </c>
      <c r="F1624" s="3">
        <v>36.946113586425781</v>
      </c>
      <c r="G1624" s="3">
        <v>312800</v>
      </c>
      <c r="H1624" s="3">
        <v>0</v>
      </c>
      <c r="I1624" s="3">
        <v>0</v>
      </c>
      <c r="J1624" s="3" t="str">
        <v>AB</v>
      </c>
      <c r="K1624" s="23">
        <v>44351</v>
      </c>
      <c r="L1624" s="22">
        <v>37.028228759765625</v>
      </c>
    </row>
    <row r="1625" spans="1:12" x14ac:dyDescent="0.25">
      <c r="A1625" s="9">
        <v>1618</v>
      </c>
      <c r="B1625" s="10">
        <v>44355</v>
      </c>
      <c r="C1625" s="3">
        <v>36.863992399578443</v>
      </c>
      <c r="D1625" s="3">
        <v>37.676988943280463</v>
      </c>
      <c r="E1625" s="3">
        <v>36.839357184897388</v>
      </c>
      <c r="F1625" s="3">
        <v>37.660564422607422</v>
      </c>
      <c r="G1625" s="3">
        <v>295900</v>
      </c>
      <c r="H1625" s="3">
        <v>0</v>
      </c>
      <c r="I1625" s="3">
        <v>0</v>
      </c>
      <c r="J1625" s="3" t="str">
        <v>AB</v>
      </c>
      <c r="K1625" s="23">
        <v>44354</v>
      </c>
      <c r="L1625" s="22">
        <v>36.946113586425781</v>
      </c>
    </row>
    <row r="1626" spans="1:12" x14ac:dyDescent="0.25">
      <c r="A1626" s="9">
        <v>1619</v>
      </c>
      <c r="B1626" s="10">
        <v>44356</v>
      </c>
      <c r="C1626" s="3">
        <v>37.644137010614564</v>
      </c>
      <c r="D1626" s="3">
        <v>38.186133620567965</v>
      </c>
      <c r="E1626" s="3">
        <v>37.364926445932099</v>
      </c>
      <c r="F1626" s="3">
        <v>37.947982788085938</v>
      </c>
      <c r="G1626" s="3">
        <v>294300</v>
      </c>
      <c r="H1626" s="3">
        <v>0</v>
      </c>
      <c r="I1626" s="3">
        <v>0</v>
      </c>
      <c r="J1626" s="3" t="str">
        <v>AB</v>
      </c>
      <c r="K1626" s="23">
        <v>44355</v>
      </c>
      <c r="L1626" s="22">
        <v>37.660564422607422</v>
      </c>
    </row>
    <row r="1627" spans="1:12" x14ac:dyDescent="0.25">
      <c r="A1627" s="9">
        <v>1620</v>
      </c>
      <c r="B1627" s="10">
        <v>44357</v>
      </c>
      <c r="C1627" s="3">
        <v>38.046528823782467</v>
      </c>
      <c r="D1627" s="3">
        <v>38.18613253582965</v>
      </c>
      <c r="E1627" s="3">
        <v>37.143199077749479</v>
      </c>
      <c r="F1627" s="3">
        <v>37.364925384521484</v>
      </c>
      <c r="G1627" s="3">
        <v>289900</v>
      </c>
      <c r="H1627" s="3">
        <v>0</v>
      </c>
      <c r="I1627" s="3">
        <v>0</v>
      </c>
      <c r="J1627" s="3" t="str">
        <v>AB</v>
      </c>
      <c r="K1627" s="23">
        <v>44356</v>
      </c>
      <c r="L1627" s="22">
        <v>37.947982788085938</v>
      </c>
    </row>
    <row r="1628" spans="1:12" x14ac:dyDescent="0.25">
      <c r="A1628" s="9">
        <v>1621</v>
      </c>
      <c r="B1628" s="10">
        <v>44358</v>
      </c>
      <c r="C1628" s="3">
        <v>37.7016196590927</v>
      </c>
      <c r="D1628" s="3">
        <v>37.709830352120953</v>
      </c>
      <c r="E1628" s="3">
        <v>37.373135550143324</v>
      </c>
      <c r="F1628" s="3">
        <v>37.693408966064453</v>
      </c>
      <c r="G1628" s="3">
        <v>192600</v>
      </c>
      <c r="H1628" s="3">
        <v>0</v>
      </c>
      <c r="I1628" s="3">
        <v>0</v>
      </c>
      <c r="J1628" s="3" t="str">
        <v>AB</v>
      </c>
      <c r="K1628" s="23">
        <v>44357</v>
      </c>
      <c r="L1628" s="22">
        <v>37.364925384521484</v>
      </c>
    </row>
    <row r="1629" spans="1:12" x14ac:dyDescent="0.25">
      <c r="A1629" s="9">
        <v>1622</v>
      </c>
      <c r="B1629" s="10">
        <v>44361</v>
      </c>
      <c r="C1629" s="3">
        <v>37.775531335547271</v>
      </c>
      <c r="D1629" s="3">
        <v>37.791955855525032</v>
      </c>
      <c r="E1629" s="3">
        <v>37.085717159765785</v>
      </c>
      <c r="F1629" s="3">
        <v>37.373138427734375</v>
      </c>
      <c r="G1629" s="3">
        <v>219700</v>
      </c>
      <c r="H1629" s="3">
        <v>0</v>
      </c>
      <c r="I1629" s="3">
        <v>0</v>
      </c>
      <c r="J1629" s="3" t="str">
        <v>AB</v>
      </c>
      <c r="K1629" s="23">
        <v>44358</v>
      </c>
      <c r="L1629" s="22">
        <v>37.693408966064453</v>
      </c>
    </row>
    <row r="1630" spans="1:12" x14ac:dyDescent="0.25">
      <c r="A1630" s="9">
        <v>1623</v>
      </c>
      <c r="B1630" s="10">
        <v>44362</v>
      </c>
      <c r="C1630" s="3">
        <v>37.52095556638556</v>
      </c>
      <c r="D1630" s="3">
        <v>37.57022912578239</v>
      </c>
      <c r="E1630" s="3">
        <v>37.061081542642476</v>
      </c>
      <c r="F1630" s="3">
        <v>37.241744995117188</v>
      </c>
      <c r="G1630" s="3">
        <v>155000</v>
      </c>
      <c r="H1630" s="3">
        <v>0</v>
      </c>
      <c r="I1630" s="3">
        <v>0</v>
      </c>
      <c r="J1630" s="3" t="str">
        <v>AB</v>
      </c>
      <c r="K1630" s="23">
        <v>44361</v>
      </c>
      <c r="L1630" s="22">
        <v>37.373138427734375</v>
      </c>
    </row>
    <row r="1631" spans="1:12" x14ac:dyDescent="0.25">
      <c r="A1631" s="9">
        <v>1624</v>
      </c>
      <c r="B1631" s="10">
        <v>44363</v>
      </c>
      <c r="C1631" s="3">
        <v>37.110349627514125</v>
      </c>
      <c r="D1631" s="3">
        <v>37.364924969347385</v>
      </c>
      <c r="E1631" s="3">
        <v>36.929686186440279</v>
      </c>
      <c r="F1631" s="3">
        <v>37.233531951904297</v>
      </c>
      <c r="G1631" s="3">
        <v>158000</v>
      </c>
      <c r="H1631" s="3">
        <v>0</v>
      </c>
      <c r="I1631" s="3">
        <v>0</v>
      </c>
      <c r="J1631" s="3" t="str">
        <v>AB</v>
      </c>
      <c r="K1631" s="23">
        <v>44362</v>
      </c>
      <c r="L1631" s="22">
        <v>37.241744995117188</v>
      </c>
    </row>
    <row r="1632" spans="1:12" x14ac:dyDescent="0.25">
      <c r="A1632" s="9">
        <v>1625</v>
      </c>
      <c r="B1632" s="10">
        <v>44364</v>
      </c>
      <c r="C1632" s="3">
        <v>36.831139559241414</v>
      </c>
      <c r="D1632" s="3">
        <v>37.159623673506353</v>
      </c>
      <c r="E1632" s="3">
        <v>36.379476251619636</v>
      </c>
      <c r="F1632" s="3">
        <v>36.666900634765625</v>
      </c>
      <c r="G1632" s="3">
        <v>284100</v>
      </c>
      <c r="H1632" s="3">
        <v>0</v>
      </c>
      <c r="I1632" s="3">
        <v>0</v>
      </c>
      <c r="J1632" s="3" t="str">
        <v>AB</v>
      </c>
      <c r="K1632" s="23">
        <v>44363</v>
      </c>
      <c r="L1632" s="22">
        <v>37.233531951904297</v>
      </c>
    </row>
    <row r="1633" spans="1:12" x14ac:dyDescent="0.25">
      <c r="A1633" s="9">
        <v>1626</v>
      </c>
      <c r="B1633" s="10">
        <v>44365</v>
      </c>
      <c r="C1633" s="3">
        <v>36.51908028739976</v>
      </c>
      <c r="D1633" s="3">
        <v>36.675108506712036</v>
      </c>
      <c r="E1633" s="3">
        <v>35.500782117635879</v>
      </c>
      <c r="F1633" s="3">
        <v>35.525417327880859</v>
      </c>
      <c r="G1633" s="3">
        <v>323800</v>
      </c>
      <c r="H1633" s="3">
        <v>0</v>
      </c>
      <c r="I1633" s="3">
        <v>0</v>
      </c>
      <c r="J1633" s="3" t="str">
        <v>AB</v>
      </c>
      <c r="K1633" s="23">
        <v>44364</v>
      </c>
      <c r="L1633" s="22">
        <v>36.666900634765625</v>
      </c>
    </row>
    <row r="1634" spans="1:12" x14ac:dyDescent="0.25">
      <c r="A1634" s="9">
        <v>1627</v>
      </c>
      <c r="B1634" s="10">
        <v>44368</v>
      </c>
      <c r="C1634" s="3">
        <v>35.467934901164305</v>
      </c>
      <c r="D1634" s="3">
        <v>36.625836831907549</v>
      </c>
      <c r="E1634" s="3">
        <v>35.164089139486649</v>
      </c>
      <c r="F1634" s="3">
        <v>36.346626281738281</v>
      </c>
      <c r="G1634" s="3">
        <v>255600</v>
      </c>
      <c r="H1634" s="3">
        <v>0</v>
      </c>
      <c r="I1634" s="3">
        <v>0</v>
      </c>
      <c r="J1634" s="3" t="str">
        <v>AB</v>
      </c>
      <c r="K1634" s="23">
        <v>44365</v>
      </c>
      <c r="L1634" s="22">
        <v>35.525417327880859</v>
      </c>
    </row>
    <row r="1635" spans="1:12" x14ac:dyDescent="0.25">
      <c r="A1635" s="9">
        <v>1628</v>
      </c>
      <c r="B1635" s="10">
        <v>44369</v>
      </c>
      <c r="C1635" s="3">
        <v>36.502662392322058</v>
      </c>
      <c r="D1635" s="3">
        <v>37.044659044640568</v>
      </c>
      <c r="E1635" s="3">
        <v>36.182392070405257</v>
      </c>
      <c r="F1635" s="3">
        <v>36.905052185058594</v>
      </c>
      <c r="G1635" s="3">
        <v>187600</v>
      </c>
      <c r="H1635" s="3">
        <v>0</v>
      </c>
      <c r="I1635" s="3">
        <v>0</v>
      </c>
      <c r="J1635" s="3" t="str">
        <v>AB</v>
      </c>
      <c r="K1635" s="23">
        <v>44368</v>
      </c>
      <c r="L1635" s="22">
        <v>36.346626281738281</v>
      </c>
    </row>
    <row r="1636" spans="1:12" x14ac:dyDescent="0.25">
      <c r="A1636" s="9">
        <v>1629</v>
      </c>
      <c r="B1636" s="10">
        <v>44370</v>
      </c>
      <c r="C1636" s="3">
        <v>36.790075819529719</v>
      </c>
      <c r="D1636" s="3">
        <v>37.176044141837977</v>
      </c>
      <c r="E1636" s="3">
        <v>36.790075819529719</v>
      </c>
      <c r="F1636" s="3">
        <v>37.069286346435547</v>
      </c>
      <c r="G1636" s="3">
        <v>136800</v>
      </c>
      <c r="H1636" s="3">
        <v>0</v>
      </c>
      <c r="I1636" s="3">
        <v>0</v>
      </c>
      <c r="J1636" s="3" t="str">
        <v>AB</v>
      </c>
      <c r="K1636" s="23">
        <v>44369</v>
      </c>
      <c r="L1636" s="22">
        <v>36.905052185058594</v>
      </c>
    </row>
    <row r="1637" spans="1:12" x14ac:dyDescent="0.25">
      <c r="A1637" s="9">
        <v>1630</v>
      </c>
      <c r="B1637" s="10">
        <v>44371</v>
      </c>
      <c r="C1637" s="3">
        <v>37.208898072853572</v>
      </c>
      <c r="D1637" s="3">
        <v>38.227193211347085</v>
      </c>
      <c r="E1637" s="3">
        <v>37.07750505070419</v>
      </c>
      <c r="F1637" s="3">
        <v>37.652347564697266</v>
      </c>
      <c r="G1637" s="3">
        <v>309000</v>
      </c>
      <c r="H1637" s="3">
        <v>0</v>
      </c>
      <c r="I1637" s="3">
        <v>0</v>
      </c>
      <c r="J1637" s="3" t="str">
        <v>AB</v>
      </c>
      <c r="K1637" s="23">
        <v>44370</v>
      </c>
      <c r="L1637" s="22">
        <v>37.069286346435547</v>
      </c>
    </row>
    <row r="1638" spans="1:12" x14ac:dyDescent="0.25">
      <c r="A1638" s="9">
        <v>1631</v>
      </c>
      <c r="B1638" s="10">
        <v>44372</v>
      </c>
      <c r="C1638" s="3">
        <v>37.701619865268214</v>
      </c>
      <c r="D1638" s="3">
        <v>37.964405900802134</v>
      </c>
      <c r="E1638" s="3">
        <v>37.488107386143142</v>
      </c>
      <c r="F1638" s="3">
        <v>37.742679595947266</v>
      </c>
      <c r="G1638" s="3">
        <v>139900</v>
      </c>
      <c r="H1638" s="3">
        <v>0</v>
      </c>
      <c r="I1638" s="3">
        <v>0</v>
      </c>
      <c r="J1638" s="3" t="str">
        <v>AB</v>
      </c>
      <c r="K1638" s="23">
        <v>44371</v>
      </c>
      <c r="L1638" s="22">
        <v>37.652347564697266</v>
      </c>
    </row>
    <row r="1639" spans="1:12" x14ac:dyDescent="0.25">
      <c r="A1639" s="9">
        <v>1632</v>
      </c>
      <c r="B1639" s="10">
        <v>44375</v>
      </c>
      <c r="C1639" s="3">
        <v>37.742682205141897</v>
      </c>
      <c r="D1639" s="3">
        <v>38.350376912235127</v>
      </c>
      <c r="E1639" s="3">
        <v>37.143201324346293</v>
      </c>
      <c r="F1639" s="3">
        <v>38.3421630859375</v>
      </c>
      <c r="G1639" s="3">
        <v>195400</v>
      </c>
      <c r="H1639" s="3">
        <v>0</v>
      </c>
      <c r="I1639" s="3">
        <v>0</v>
      </c>
      <c r="J1639" s="3" t="str">
        <v>AB</v>
      </c>
      <c r="K1639" s="23">
        <v>44372</v>
      </c>
      <c r="L1639" s="22">
        <v>37.742679595947266</v>
      </c>
    </row>
    <row r="1640" spans="1:12" x14ac:dyDescent="0.25">
      <c r="A1640" s="9">
        <v>1633</v>
      </c>
      <c r="B1640" s="10">
        <v>44376</v>
      </c>
      <c r="C1640" s="3">
        <v>38.161495148452282</v>
      </c>
      <c r="D1640" s="3">
        <v>38.506400628666142</v>
      </c>
      <c r="E1640" s="3">
        <v>37.668769006159842</v>
      </c>
      <c r="F1640" s="3">
        <v>37.890495300292969</v>
      </c>
      <c r="G1640" s="3">
        <v>209800</v>
      </c>
      <c r="H1640" s="3">
        <v>0</v>
      </c>
      <c r="I1640" s="3">
        <v>0</v>
      </c>
      <c r="J1640" s="3" t="str">
        <v>AB</v>
      </c>
      <c r="K1640" s="23">
        <v>44375</v>
      </c>
      <c r="L1640" s="22">
        <v>38.3421630859375</v>
      </c>
    </row>
    <row r="1641" spans="1:12" x14ac:dyDescent="0.25">
      <c r="A1641" s="9">
        <v>1634</v>
      </c>
      <c r="B1641" s="10">
        <v>44377</v>
      </c>
      <c r="C1641" s="3">
        <v>37.726261821710551</v>
      </c>
      <c r="D1641" s="3">
        <v>38.342167289975684</v>
      </c>
      <c r="E1641" s="3">
        <v>37.496324782675202</v>
      </c>
      <c r="F1641" s="3">
        <v>38.23541259765625</v>
      </c>
      <c r="G1641" s="3">
        <v>300000</v>
      </c>
      <c r="H1641" s="3">
        <v>0</v>
      </c>
      <c r="I1641" s="3">
        <v>0</v>
      </c>
      <c r="J1641" s="3" t="str">
        <v>AB</v>
      </c>
      <c r="K1641" s="23">
        <v>44376</v>
      </c>
      <c r="L1641" s="22">
        <v>37.890495300292969</v>
      </c>
    </row>
    <row r="1642" spans="1:12" x14ac:dyDescent="0.25">
      <c r="A1642" s="9">
        <v>1635</v>
      </c>
      <c r="B1642" s="10">
        <v>44378</v>
      </c>
      <c r="C1642" s="3">
        <v>38.350375550830776</v>
      </c>
      <c r="D1642" s="3">
        <v>38.465344053661411</v>
      </c>
      <c r="E1642" s="3">
        <v>37.980831696977482</v>
      </c>
      <c r="F1642" s="3">
        <v>38.407859802246094</v>
      </c>
      <c r="G1642" s="3">
        <v>95600</v>
      </c>
      <c r="H1642" s="3">
        <v>0</v>
      </c>
      <c r="I1642" s="3">
        <v>0</v>
      </c>
      <c r="J1642" s="3" t="str">
        <v>AB</v>
      </c>
      <c r="K1642" s="23">
        <v>44377</v>
      </c>
      <c r="L1642" s="22">
        <v>38.23541259765625</v>
      </c>
    </row>
    <row r="1643" spans="1:12" x14ac:dyDescent="0.25">
      <c r="A1643" s="9">
        <v>1636</v>
      </c>
      <c r="B1643" s="10">
        <v>44379</v>
      </c>
      <c r="C1643" s="3">
        <v>38.465342898748133</v>
      </c>
      <c r="D1643" s="3">
        <v>38.596735916989068</v>
      </c>
      <c r="E1643" s="3">
        <v>38.145072612576911</v>
      </c>
      <c r="F1643" s="3">
        <v>38.5228271484375</v>
      </c>
      <c r="G1643" s="3">
        <v>81800</v>
      </c>
      <c r="H1643" s="3">
        <v>0</v>
      </c>
      <c r="I1643" s="3">
        <v>0</v>
      </c>
      <c r="J1643" s="3" t="str">
        <v>AB</v>
      </c>
      <c r="K1643" s="23">
        <v>44378</v>
      </c>
      <c r="L1643" s="22">
        <v>38.407859802246094</v>
      </c>
    </row>
    <row r="1644" spans="1:12" x14ac:dyDescent="0.25">
      <c r="A1644" s="9">
        <v>1637</v>
      </c>
      <c r="B1644" s="10">
        <v>44383</v>
      </c>
      <c r="C1644" s="3">
        <v>38.596737623207297</v>
      </c>
      <c r="D1644" s="3">
        <v>38.892372710482483</v>
      </c>
      <c r="E1644" s="3">
        <v>37.824803998499597</v>
      </c>
      <c r="F1644" s="3">
        <v>38.834888458251953</v>
      </c>
      <c r="G1644" s="3">
        <v>252100</v>
      </c>
      <c r="H1644" s="3">
        <v>0</v>
      </c>
      <c r="I1644" s="3">
        <v>0</v>
      </c>
      <c r="J1644" s="3" t="str">
        <v>AB</v>
      </c>
      <c r="K1644" s="23">
        <v>44379</v>
      </c>
      <c r="L1644" s="22">
        <v>38.5228271484375</v>
      </c>
    </row>
    <row r="1645" spans="1:12" x14ac:dyDescent="0.25">
      <c r="A1645" s="9">
        <v>1638</v>
      </c>
      <c r="B1645" s="10">
        <v>44384</v>
      </c>
      <c r="C1645" s="3">
        <v>38.5228281896715</v>
      </c>
      <c r="D1645" s="3">
        <v>38.703494769382267</v>
      </c>
      <c r="E1645" s="3">
        <v>37.488108534638812</v>
      </c>
      <c r="F1645" s="3">
        <v>37.627712249755859</v>
      </c>
      <c r="G1645" s="3">
        <v>391600</v>
      </c>
      <c r="H1645" s="3">
        <v>0</v>
      </c>
      <c r="I1645" s="3">
        <v>0</v>
      </c>
      <c r="J1645" s="3" t="str">
        <v>AB</v>
      </c>
      <c r="K1645" s="23">
        <v>44383</v>
      </c>
      <c r="L1645" s="22">
        <v>38.834888458251953</v>
      </c>
    </row>
    <row r="1646" spans="1:12" x14ac:dyDescent="0.25">
      <c r="A1646" s="9">
        <v>1639</v>
      </c>
      <c r="B1646" s="10">
        <v>44385</v>
      </c>
      <c r="C1646" s="3">
        <v>36.978956933288707</v>
      </c>
      <c r="D1646" s="3">
        <v>37.176048027504351</v>
      </c>
      <c r="E1646" s="3">
        <v>36.412325127985817</v>
      </c>
      <c r="F1646" s="3">
        <v>36.855777740478516</v>
      </c>
      <c r="G1646" s="3">
        <v>456700</v>
      </c>
      <c r="H1646" s="3">
        <v>0</v>
      </c>
      <c r="I1646" s="3">
        <v>0</v>
      </c>
      <c r="J1646" s="3" t="str">
        <v>AB</v>
      </c>
      <c r="K1646" s="23">
        <v>44384</v>
      </c>
      <c r="L1646" s="22">
        <v>37.627712249755859</v>
      </c>
    </row>
    <row r="1647" spans="1:12" x14ac:dyDescent="0.25">
      <c r="A1647" s="9">
        <v>1640</v>
      </c>
      <c r="B1647" s="10">
        <v>44386</v>
      </c>
      <c r="C1647" s="3">
        <v>36.95432895199415</v>
      </c>
      <c r="D1647" s="3">
        <v>38.136866350701339</v>
      </c>
      <c r="E1647" s="3">
        <v>36.95432895199415</v>
      </c>
      <c r="F1647" s="3">
        <v>38.013687133789063</v>
      </c>
      <c r="G1647" s="3">
        <v>190800</v>
      </c>
      <c r="H1647" s="3">
        <v>0</v>
      </c>
      <c r="I1647" s="3">
        <v>0</v>
      </c>
      <c r="J1647" s="3" t="str">
        <v>AB</v>
      </c>
      <c r="K1647" s="23">
        <v>44385</v>
      </c>
      <c r="L1647" s="22">
        <v>36.855777740478516</v>
      </c>
    </row>
    <row r="1648" spans="1:12" x14ac:dyDescent="0.25">
      <c r="A1648" s="9">
        <v>1641</v>
      </c>
      <c r="B1648" s="10">
        <v>44389</v>
      </c>
      <c r="C1648" s="3">
        <v>38.186133182664783</v>
      </c>
      <c r="D1648" s="3">
        <v>38.621371977780484</v>
      </c>
      <c r="E1648" s="3">
        <v>37.939771659630551</v>
      </c>
      <c r="F1648" s="3">
        <v>38.301101684570313</v>
      </c>
      <c r="G1648" s="3">
        <v>183500</v>
      </c>
      <c r="H1648" s="3">
        <v>0</v>
      </c>
      <c r="I1648" s="3">
        <v>0</v>
      </c>
      <c r="J1648" s="3" t="str">
        <v>AB</v>
      </c>
      <c r="K1648" s="23">
        <v>44386</v>
      </c>
      <c r="L1648" s="22">
        <v>38.013687133789063</v>
      </c>
    </row>
    <row r="1649" spans="1:12" x14ac:dyDescent="0.25">
      <c r="A1649" s="9">
        <v>1642</v>
      </c>
      <c r="B1649" s="10">
        <v>44390</v>
      </c>
      <c r="C1649" s="3">
        <v>38.473551210370722</v>
      </c>
      <c r="D1649" s="3">
        <v>38.473551210370722</v>
      </c>
      <c r="E1649" s="3">
        <v>37.3731335759716</v>
      </c>
      <c r="F1649" s="3">
        <v>37.545589447021484</v>
      </c>
      <c r="G1649" s="3">
        <v>209300</v>
      </c>
      <c r="H1649" s="3">
        <v>0</v>
      </c>
      <c r="I1649" s="3">
        <v>0</v>
      </c>
      <c r="J1649" s="3" t="str">
        <v>AB</v>
      </c>
      <c r="K1649" s="23">
        <v>44389</v>
      </c>
      <c r="L1649" s="22">
        <v>38.301101684570313</v>
      </c>
    </row>
    <row r="1650" spans="1:12" x14ac:dyDescent="0.25">
      <c r="A1650" s="9">
        <v>1643</v>
      </c>
      <c r="B1650" s="10">
        <v>44391</v>
      </c>
      <c r="C1650" s="3">
        <v>37.783738701979928</v>
      </c>
      <c r="D1650" s="3">
        <v>37.915131717574681</v>
      </c>
      <c r="E1650" s="3">
        <v>37.102138412537329</v>
      </c>
      <c r="F1650" s="3">
        <v>37.562015533447266</v>
      </c>
      <c r="G1650" s="3">
        <v>113900</v>
      </c>
      <c r="H1650" s="3">
        <v>0</v>
      </c>
      <c r="I1650" s="3">
        <v>0</v>
      </c>
      <c r="J1650" s="3" t="str">
        <v>AB</v>
      </c>
      <c r="K1650" s="23">
        <v>44390</v>
      </c>
      <c r="L1650" s="22">
        <v>37.545589447021484</v>
      </c>
    </row>
    <row r="1651" spans="1:12" x14ac:dyDescent="0.25">
      <c r="A1651" s="9">
        <v>1644</v>
      </c>
      <c r="B1651" s="10">
        <v>44392</v>
      </c>
      <c r="C1651" s="3">
        <v>37.4388317982107</v>
      </c>
      <c r="D1651" s="3">
        <v>37.7016178194852</v>
      </c>
      <c r="E1651" s="3">
        <v>37.102137012661707</v>
      </c>
      <c r="F1651" s="3">
        <v>37.356712341308594</v>
      </c>
      <c r="G1651" s="3">
        <v>93300</v>
      </c>
      <c r="H1651" s="3">
        <v>0</v>
      </c>
      <c r="I1651" s="3">
        <v>0</v>
      </c>
      <c r="J1651" s="3" t="str">
        <v>AB</v>
      </c>
      <c r="K1651" s="23">
        <v>44391</v>
      </c>
      <c r="L1651" s="22">
        <v>37.562015533447266</v>
      </c>
    </row>
    <row r="1652" spans="1:12" x14ac:dyDescent="0.25">
      <c r="A1652" s="9">
        <v>1645</v>
      </c>
      <c r="B1652" s="10">
        <v>44393</v>
      </c>
      <c r="C1652" s="3">
        <v>37.709832328077496</v>
      </c>
      <c r="D1652" s="3">
        <v>37.709832328077496</v>
      </c>
      <c r="E1652" s="3">
        <v>37.077505554100107</v>
      </c>
      <c r="F1652" s="3">
        <v>37.085716247558594</v>
      </c>
      <c r="G1652" s="3">
        <v>137400</v>
      </c>
      <c r="H1652" s="3">
        <v>0</v>
      </c>
      <c r="I1652" s="3">
        <v>0</v>
      </c>
      <c r="J1652" s="3" t="str">
        <v>AB</v>
      </c>
      <c r="K1652" s="23">
        <v>44392</v>
      </c>
      <c r="L1652" s="22">
        <v>37.356712341308594</v>
      </c>
    </row>
    <row r="1653" spans="1:12" x14ac:dyDescent="0.25">
      <c r="A1653" s="9">
        <v>1646</v>
      </c>
      <c r="B1653" s="10">
        <v>44396</v>
      </c>
      <c r="C1653" s="3">
        <v>36.666900693682678</v>
      </c>
      <c r="D1653" s="3">
        <v>36.732595637047211</v>
      </c>
      <c r="E1653" s="3">
        <v>35.821055194521179</v>
      </c>
      <c r="F1653" s="3">
        <v>36.420536041259766</v>
      </c>
      <c r="G1653" s="3">
        <v>384100</v>
      </c>
      <c r="H1653" s="3">
        <v>0</v>
      </c>
      <c r="I1653" s="3">
        <v>0</v>
      </c>
      <c r="J1653" s="3" t="str">
        <v>AB</v>
      </c>
      <c r="K1653" s="23">
        <v>44393</v>
      </c>
      <c r="L1653" s="22">
        <v>37.085716247558594</v>
      </c>
    </row>
    <row r="1654" spans="1:12" x14ac:dyDescent="0.25">
      <c r="A1654" s="9">
        <v>1647</v>
      </c>
      <c r="B1654" s="10">
        <v>44397</v>
      </c>
      <c r="C1654" s="3">
        <v>36.937895476331875</v>
      </c>
      <c r="D1654" s="3">
        <v>37.315649995548895</v>
      </c>
      <c r="E1654" s="3">
        <v>36.551927131717321</v>
      </c>
      <c r="F1654" s="3">
        <v>37.028228759765625</v>
      </c>
      <c r="G1654" s="3">
        <v>187100</v>
      </c>
      <c r="H1654" s="3">
        <v>0</v>
      </c>
      <c r="I1654" s="3">
        <v>0</v>
      </c>
      <c r="J1654" s="3" t="str">
        <v>AB</v>
      </c>
      <c r="K1654" s="23">
        <v>44396</v>
      </c>
      <c r="L1654" s="22">
        <v>36.420536041259766</v>
      </c>
    </row>
    <row r="1655" spans="1:12" x14ac:dyDescent="0.25">
      <c r="A1655" s="9">
        <v>1648</v>
      </c>
      <c r="B1655" s="10">
        <v>44398</v>
      </c>
      <c r="C1655" s="3">
        <v>37.364924491699654</v>
      </c>
      <c r="D1655" s="3">
        <v>37.980829840463933</v>
      </c>
      <c r="E1655" s="3">
        <v>37.077503248672301</v>
      </c>
      <c r="F1655" s="3">
        <v>37.800163269042969</v>
      </c>
      <c r="G1655" s="3">
        <v>240800</v>
      </c>
      <c r="H1655" s="3">
        <v>0</v>
      </c>
      <c r="I1655" s="3">
        <v>0</v>
      </c>
      <c r="J1655" s="3" t="str">
        <v>AB</v>
      </c>
      <c r="K1655" s="23">
        <v>44397</v>
      </c>
      <c r="L1655" s="22">
        <v>37.028228759765625</v>
      </c>
    </row>
    <row r="1656" spans="1:12" x14ac:dyDescent="0.25">
      <c r="A1656" s="9">
        <v>1649</v>
      </c>
      <c r="B1656" s="10">
        <v>44399</v>
      </c>
      <c r="C1656" s="3">
        <v>37.83301404209746</v>
      </c>
      <c r="D1656" s="3">
        <v>37.857649254728294</v>
      </c>
      <c r="E1656" s="3">
        <v>37.348501686865013</v>
      </c>
      <c r="F1656" s="3">
        <v>37.627712249755859</v>
      </c>
      <c r="G1656" s="3">
        <v>177400</v>
      </c>
      <c r="H1656" s="3">
        <v>0</v>
      </c>
      <c r="I1656" s="3">
        <v>0</v>
      </c>
      <c r="J1656" s="3" t="str">
        <v>AB</v>
      </c>
      <c r="K1656" s="23">
        <v>44398</v>
      </c>
      <c r="L1656" s="22">
        <v>37.800163269042969</v>
      </c>
    </row>
    <row r="1657" spans="1:12" x14ac:dyDescent="0.25">
      <c r="A1657" s="9">
        <v>1650</v>
      </c>
      <c r="B1657" s="10">
        <v>44400</v>
      </c>
      <c r="C1657" s="3">
        <v>37.939770106546831</v>
      </c>
      <c r="D1657" s="3">
        <v>38.350373672347864</v>
      </c>
      <c r="E1657" s="3">
        <v>37.783738746642214</v>
      </c>
      <c r="F1657" s="3">
        <v>38.284675598144531</v>
      </c>
      <c r="G1657" s="3">
        <v>182300</v>
      </c>
      <c r="H1657" s="3">
        <v>0</v>
      </c>
      <c r="I1657" s="3">
        <v>0</v>
      </c>
      <c r="J1657" s="3" t="str">
        <v>AB</v>
      </c>
      <c r="K1657" s="23">
        <v>44399</v>
      </c>
      <c r="L1657" s="22">
        <v>37.627712249755859</v>
      </c>
    </row>
    <row r="1658" spans="1:12" x14ac:dyDescent="0.25">
      <c r="A1658" s="9">
        <v>1651</v>
      </c>
      <c r="B1658" s="10">
        <v>44403</v>
      </c>
      <c r="C1658" s="3">
        <v>38.391435927999282</v>
      </c>
      <c r="D1658" s="3">
        <v>38.925221851718682</v>
      </c>
      <c r="E1658" s="3">
        <v>38.186134131592866</v>
      </c>
      <c r="F1658" s="3">
        <v>38.859523773193359</v>
      </c>
      <c r="G1658" s="3">
        <v>221900</v>
      </c>
      <c r="H1658" s="3">
        <v>0</v>
      </c>
      <c r="I1658" s="3">
        <v>0</v>
      </c>
      <c r="J1658" s="3" t="str">
        <v>AB</v>
      </c>
      <c r="K1658" s="23">
        <v>44400</v>
      </c>
      <c r="L1658" s="22">
        <v>38.284675598144531</v>
      </c>
    </row>
    <row r="1659" spans="1:12" x14ac:dyDescent="0.25">
      <c r="A1659" s="9">
        <v>1652</v>
      </c>
      <c r="B1659" s="10">
        <v>44404</v>
      </c>
      <c r="C1659" s="3">
        <v>38.81846138179526</v>
      </c>
      <c r="D1659" s="3">
        <v>38.843096593226605</v>
      </c>
      <c r="E1659" s="3">
        <v>37.980829733907058</v>
      </c>
      <c r="F1659" s="3">
        <v>38.260040283203125</v>
      </c>
      <c r="G1659" s="3">
        <v>165200</v>
      </c>
      <c r="H1659" s="3">
        <v>0</v>
      </c>
      <c r="I1659" s="3">
        <v>0</v>
      </c>
      <c r="J1659" s="3" t="str">
        <v>AB</v>
      </c>
      <c r="K1659" s="23">
        <v>44403</v>
      </c>
      <c r="L1659" s="22">
        <v>38.859523773193359</v>
      </c>
    </row>
    <row r="1660" spans="1:12" x14ac:dyDescent="0.25">
      <c r="A1660" s="9">
        <v>1653</v>
      </c>
      <c r="B1660" s="10">
        <v>44405</v>
      </c>
      <c r="C1660" s="3">
        <v>38.15328519727084</v>
      </c>
      <c r="D1660" s="3">
        <v>38.440709592624458</v>
      </c>
      <c r="E1660" s="3">
        <v>37.59486405889691</v>
      </c>
      <c r="F1660" s="3">
        <v>38.1614990234375</v>
      </c>
      <c r="G1660" s="3">
        <v>201200</v>
      </c>
      <c r="H1660" s="3">
        <v>0</v>
      </c>
      <c r="I1660" s="3">
        <v>0</v>
      </c>
      <c r="J1660" s="3" t="str">
        <v>AB</v>
      </c>
      <c r="K1660" s="23">
        <v>44404</v>
      </c>
      <c r="L1660" s="22">
        <v>38.260040283203125</v>
      </c>
    </row>
    <row r="1661" spans="1:12" x14ac:dyDescent="0.25">
      <c r="A1661" s="9">
        <v>1654</v>
      </c>
      <c r="B1661" s="10">
        <v>44406</v>
      </c>
      <c r="C1661" s="3">
        <v>39.007340441855632</v>
      </c>
      <c r="D1661" s="3">
        <v>39.647881029819111</v>
      </c>
      <c r="E1661" s="3">
        <v>38.202557793921422</v>
      </c>
      <c r="F1661" s="3">
        <v>39.565761566162109</v>
      </c>
      <c r="G1661" s="3">
        <v>421600</v>
      </c>
      <c r="H1661" s="3">
        <v>0</v>
      </c>
      <c r="I1661" s="3">
        <v>0</v>
      </c>
      <c r="J1661" s="3" t="str">
        <v>AB</v>
      </c>
      <c r="K1661" s="23">
        <v>44405</v>
      </c>
      <c r="L1661" s="22">
        <v>38.1614990234375</v>
      </c>
    </row>
    <row r="1662" spans="1:12" x14ac:dyDescent="0.25">
      <c r="A1662" s="9">
        <v>1655</v>
      </c>
      <c r="B1662" s="10">
        <v>44407</v>
      </c>
      <c r="C1662" s="3">
        <v>39.459008539252693</v>
      </c>
      <c r="D1662" s="3">
        <v>40.099552337499318</v>
      </c>
      <c r="E1662" s="3">
        <v>39.26192054952844</v>
      </c>
      <c r="F1662" s="3">
        <v>39.639675140380859</v>
      </c>
      <c r="G1662" s="3">
        <v>282800</v>
      </c>
      <c r="H1662" s="3">
        <v>0</v>
      </c>
      <c r="I1662" s="3">
        <v>0</v>
      </c>
      <c r="J1662" s="3" t="str">
        <v>AB</v>
      </c>
      <c r="K1662" s="23">
        <v>44406</v>
      </c>
      <c r="L1662" s="22">
        <v>39.565761566162109</v>
      </c>
    </row>
    <row r="1663" spans="1:12" x14ac:dyDescent="0.25">
      <c r="A1663" s="9">
        <v>1656</v>
      </c>
      <c r="B1663" s="10">
        <v>44410</v>
      </c>
      <c r="C1663" s="3">
        <v>40.559421023979262</v>
      </c>
      <c r="D1663" s="3">
        <v>40.690814043925727</v>
      </c>
      <c r="E1663" s="3">
        <v>40.239150733650781</v>
      </c>
      <c r="F1663" s="3">
        <v>40.403392791748047</v>
      </c>
      <c r="G1663" s="3">
        <v>314900</v>
      </c>
      <c r="H1663" s="3">
        <v>0</v>
      </c>
      <c r="I1663" s="3">
        <v>0</v>
      </c>
      <c r="J1663" s="3" t="str">
        <v>AB</v>
      </c>
      <c r="K1663" s="23">
        <v>44407</v>
      </c>
      <c r="L1663" s="22">
        <v>39.639675140380859</v>
      </c>
    </row>
    <row r="1664" spans="1:12" x14ac:dyDescent="0.25">
      <c r="A1664" s="9">
        <v>1657</v>
      </c>
      <c r="B1664" s="10">
        <v>44411</v>
      </c>
      <c r="C1664" s="3">
        <v>40.567632965492621</v>
      </c>
      <c r="D1664" s="3">
        <v>41.339566530239985</v>
      </c>
      <c r="E1664" s="3">
        <v>40.115966543540722</v>
      </c>
      <c r="F1664" s="3">
        <v>41.249233245849609</v>
      </c>
      <c r="G1664" s="3">
        <v>258700</v>
      </c>
      <c r="H1664" s="3">
        <v>0</v>
      </c>
      <c r="I1664" s="3">
        <v>0</v>
      </c>
      <c r="J1664" s="3" t="str">
        <v>AB</v>
      </c>
      <c r="K1664" s="23">
        <v>44410</v>
      </c>
      <c r="L1664" s="22">
        <v>40.403392791748047</v>
      </c>
    </row>
    <row r="1665" spans="1:12" x14ac:dyDescent="0.25">
      <c r="A1665" s="9">
        <v>1658</v>
      </c>
      <c r="B1665" s="10">
        <v>44412</v>
      </c>
      <c r="C1665" s="3">
        <v>41.249233924861016</v>
      </c>
      <c r="D1665" s="3">
        <v>42.054016539481026</v>
      </c>
      <c r="E1665" s="3">
        <v>40.822205839676734</v>
      </c>
      <c r="F1665" s="3">
        <v>41.216384887695313</v>
      </c>
      <c r="G1665" s="3">
        <v>322000</v>
      </c>
      <c r="H1665" s="3">
        <v>0</v>
      </c>
      <c r="I1665" s="3">
        <v>0</v>
      </c>
      <c r="J1665" s="3" t="str">
        <v>AB</v>
      </c>
      <c r="K1665" s="23">
        <v>44411</v>
      </c>
      <c r="L1665" s="22">
        <v>41.249233245849609</v>
      </c>
    </row>
    <row r="1666" spans="1:12" x14ac:dyDescent="0.25">
      <c r="A1666" s="9">
        <v>1659</v>
      </c>
      <c r="B1666" s="10">
        <v>44413</v>
      </c>
      <c r="C1666" s="3">
        <v>41.454540852619637</v>
      </c>
      <c r="D1666" s="3">
        <v>42.037597237712667</v>
      </c>
      <c r="E1666" s="3">
        <v>41.093210796926137</v>
      </c>
      <c r="F1666" s="3">
        <v>41.668056488037109</v>
      </c>
      <c r="G1666" s="3">
        <v>452000</v>
      </c>
      <c r="H1666" s="3">
        <v>0</v>
      </c>
      <c r="I1666" s="3">
        <v>0</v>
      </c>
      <c r="J1666" s="3" t="str">
        <v>AB</v>
      </c>
      <c r="K1666" s="23">
        <v>44412</v>
      </c>
      <c r="L1666" s="22">
        <v>41.216384887695313</v>
      </c>
    </row>
    <row r="1667" spans="1:12" x14ac:dyDescent="0.25">
      <c r="A1667" s="9">
        <v>1660</v>
      </c>
      <c r="B1667" s="10">
        <v>44414</v>
      </c>
      <c r="C1667" s="3">
        <v>41.826932666258791</v>
      </c>
      <c r="D1667" s="3">
        <v>42.027619879294917</v>
      </c>
      <c r="E1667" s="3">
        <v>41.517538018739756</v>
      </c>
      <c r="F1667" s="3">
        <v>41.793483734130859</v>
      </c>
      <c r="G1667" s="3">
        <v>200400</v>
      </c>
      <c r="H1667" s="3">
        <v>0.91</v>
      </c>
      <c r="I1667" s="3">
        <v>0</v>
      </c>
      <c r="J1667" s="3" t="str">
        <v>AB</v>
      </c>
      <c r="K1667" s="23">
        <v>44413</v>
      </c>
      <c r="L1667" s="22">
        <v>41.668056488037109</v>
      </c>
    </row>
    <row r="1668" spans="1:12" x14ac:dyDescent="0.25">
      <c r="A1668" s="9">
        <v>1661</v>
      </c>
      <c r="B1668" s="10">
        <v>44417</v>
      </c>
      <c r="C1668" s="3">
        <v>41.601153897016474</v>
      </c>
      <c r="D1668" s="3">
        <v>41.743307062614569</v>
      </c>
      <c r="E1668" s="3">
        <v>40.764949798583984</v>
      </c>
      <c r="F1668" s="3">
        <v>40.764949798583984</v>
      </c>
      <c r="G1668" s="3">
        <v>322900</v>
      </c>
      <c r="H1668" s="3">
        <v>0</v>
      </c>
      <c r="I1668" s="3">
        <v>0</v>
      </c>
      <c r="J1668" s="3" t="str">
        <v>AB</v>
      </c>
      <c r="K1668" s="23">
        <v>44414</v>
      </c>
      <c r="L1668" s="22">
        <v>41.793483734130859</v>
      </c>
    </row>
    <row r="1669" spans="1:12" x14ac:dyDescent="0.25">
      <c r="A1669" s="9">
        <v>1662</v>
      </c>
      <c r="B1669" s="10">
        <v>44418</v>
      </c>
      <c r="C1669" s="3">
        <v>40.764954775547672</v>
      </c>
      <c r="D1669" s="3">
        <v>41.584434509277344</v>
      </c>
      <c r="E1669" s="3">
        <v>40.764954775547672</v>
      </c>
      <c r="F1669" s="3">
        <v>41.584434509277344</v>
      </c>
      <c r="G1669" s="3">
        <v>246600</v>
      </c>
      <c r="H1669" s="3">
        <v>0</v>
      </c>
      <c r="I1669" s="3">
        <v>0</v>
      </c>
      <c r="J1669" s="3" t="str">
        <v>AB</v>
      </c>
      <c r="K1669" s="23">
        <v>44417</v>
      </c>
      <c r="L1669" s="22">
        <v>40.764949798583984</v>
      </c>
    </row>
    <row r="1670" spans="1:12" x14ac:dyDescent="0.25">
      <c r="A1670" s="9">
        <v>1663</v>
      </c>
      <c r="B1670" s="10">
        <v>44419</v>
      </c>
      <c r="C1670" s="3">
        <v>41.601151699860928</v>
      </c>
      <c r="D1670" s="3">
        <v>41.86873674203764</v>
      </c>
      <c r="E1670" s="3">
        <v>41.442274077901416</v>
      </c>
      <c r="F1670" s="3">
        <v>41.718219757080078</v>
      </c>
      <c r="G1670" s="3">
        <v>209200</v>
      </c>
      <c r="H1670" s="3">
        <v>0</v>
      </c>
      <c r="I1670" s="3">
        <v>0</v>
      </c>
      <c r="J1670" s="3" t="str">
        <v>AB</v>
      </c>
      <c r="K1670" s="23">
        <v>44418</v>
      </c>
      <c r="L1670" s="22">
        <v>41.584434509277344</v>
      </c>
    </row>
    <row r="1671" spans="1:12" x14ac:dyDescent="0.25">
      <c r="A1671" s="9">
        <v>1664</v>
      </c>
      <c r="B1671" s="10">
        <v>44420</v>
      </c>
      <c r="C1671" s="3">
        <v>41.785119629165109</v>
      </c>
      <c r="D1671" s="3">
        <v>41.943997258792272</v>
      </c>
      <c r="E1671" s="3">
        <v>41.233225054307269</v>
      </c>
      <c r="F1671" s="3">
        <v>41.818565368652344</v>
      </c>
      <c r="G1671" s="3">
        <v>226200</v>
      </c>
      <c r="H1671" s="3">
        <v>0</v>
      </c>
      <c r="I1671" s="3">
        <v>0</v>
      </c>
      <c r="J1671" s="3" t="str">
        <v>AB</v>
      </c>
      <c r="K1671" s="23">
        <v>44419</v>
      </c>
      <c r="L1671" s="22">
        <v>41.718219757080078</v>
      </c>
    </row>
    <row r="1672" spans="1:12" x14ac:dyDescent="0.25">
      <c r="A1672" s="9">
        <v>1665</v>
      </c>
      <c r="B1672" s="10">
        <v>44421</v>
      </c>
      <c r="C1672" s="3">
        <v>41.810211656964889</v>
      </c>
      <c r="D1672" s="3">
        <v>42.429004193029009</v>
      </c>
      <c r="E1672" s="3">
        <v>41.801851018174538</v>
      </c>
      <c r="F1672" s="3">
        <v>42.362106323242188</v>
      </c>
      <c r="G1672" s="3">
        <v>241900</v>
      </c>
      <c r="H1672" s="3">
        <v>0</v>
      </c>
      <c r="I1672" s="3">
        <v>0</v>
      </c>
      <c r="J1672" s="3" t="str">
        <v>AB</v>
      </c>
      <c r="K1672" s="23">
        <v>44420</v>
      </c>
      <c r="L1672" s="22">
        <v>41.818565368652344</v>
      </c>
    </row>
    <row r="1673" spans="1:12" x14ac:dyDescent="0.25">
      <c r="A1673" s="9">
        <v>1666</v>
      </c>
      <c r="B1673" s="10">
        <v>44424</v>
      </c>
      <c r="C1673" s="3">
        <v>42.186496598002485</v>
      </c>
      <c r="D1673" s="3">
        <v>42.487530578066</v>
      </c>
      <c r="E1673" s="3">
        <v>41.852013689072933</v>
      </c>
      <c r="F1673" s="3">
        <v>42.253391265869141</v>
      </c>
      <c r="G1673" s="3">
        <v>171200</v>
      </c>
      <c r="H1673" s="3">
        <v>0</v>
      </c>
      <c r="I1673" s="3">
        <v>0</v>
      </c>
      <c r="J1673" s="3" t="str">
        <v>AB</v>
      </c>
      <c r="K1673" s="23">
        <v>44421</v>
      </c>
      <c r="L1673" s="22">
        <v>42.362106323242188</v>
      </c>
    </row>
    <row r="1674" spans="1:12" x14ac:dyDescent="0.25">
      <c r="A1674" s="9">
        <v>1667</v>
      </c>
      <c r="B1674" s="10">
        <v>44425</v>
      </c>
      <c r="C1674" s="3">
        <v>41.801844145448015</v>
      </c>
      <c r="D1674" s="3">
        <v>42.420633389909732</v>
      </c>
      <c r="E1674" s="3">
        <v>40.831847522080196</v>
      </c>
      <c r="F1674" s="3">
        <v>40.9405517578125</v>
      </c>
      <c r="G1674" s="3">
        <v>449900</v>
      </c>
      <c r="H1674" s="3">
        <v>0</v>
      </c>
      <c r="I1674" s="3">
        <v>0</v>
      </c>
      <c r="J1674" s="3" t="str">
        <v>AB</v>
      </c>
      <c r="K1674" s="23">
        <v>44424</v>
      </c>
      <c r="L1674" s="22">
        <v>42.253391265869141</v>
      </c>
    </row>
    <row r="1675" spans="1:12" x14ac:dyDescent="0.25">
      <c r="A1675" s="9">
        <v>1668</v>
      </c>
      <c r="B1675" s="10">
        <v>44426</v>
      </c>
      <c r="C1675" s="3">
        <v>40.781674686110257</v>
      </c>
      <c r="D1675" s="3">
        <v>42.010895744306012</v>
      </c>
      <c r="E1675" s="3">
        <v>40.72314065380241</v>
      </c>
      <c r="F1675" s="3">
        <v>41.709861755371094</v>
      </c>
      <c r="G1675" s="3">
        <v>228100</v>
      </c>
      <c r="H1675" s="3">
        <v>0</v>
      </c>
      <c r="I1675" s="3">
        <v>0</v>
      </c>
      <c r="J1675" s="3" t="str">
        <v>AB</v>
      </c>
      <c r="K1675" s="23">
        <v>44425</v>
      </c>
      <c r="L1675" s="22">
        <v>40.9405517578125</v>
      </c>
    </row>
    <row r="1676" spans="1:12" x14ac:dyDescent="0.25">
      <c r="A1676" s="9">
        <v>1669</v>
      </c>
      <c r="B1676" s="10">
        <v>44427</v>
      </c>
      <c r="C1676" s="3">
        <v>41.559342502246125</v>
      </c>
      <c r="D1676" s="3">
        <v>42.454080593028173</v>
      </c>
      <c r="E1676" s="3">
        <v>41.392101051941978</v>
      </c>
      <c r="F1676" s="3">
        <v>42.069427490234375</v>
      </c>
      <c r="G1676" s="3">
        <v>349800</v>
      </c>
      <c r="H1676" s="3">
        <v>0</v>
      </c>
      <c r="I1676" s="3">
        <v>0</v>
      </c>
      <c r="J1676" s="3" t="str">
        <v>AB</v>
      </c>
      <c r="K1676" s="23">
        <v>44426</v>
      </c>
      <c r="L1676" s="22">
        <v>41.709861755371094</v>
      </c>
    </row>
    <row r="1677" spans="1:12" x14ac:dyDescent="0.25">
      <c r="A1677" s="9">
        <v>1670</v>
      </c>
      <c r="B1677" s="10">
        <v>44428</v>
      </c>
      <c r="C1677" s="3">
        <v>41.810207886351314</v>
      </c>
      <c r="D1677" s="3">
        <v>42.972531155213368</v>
      </c>
      <c r="E1677" s="3">
        <v>41.810207886351314</v>
      </c>
      <c r="F1677" s="3">
        <v>42.470809936523438</v>
      </c>
      <c r="G1677" s="3">
        <v>302200</v>
      </c>
      <c r="H1677" s="3">
        <v>0</v>
      </c>
      <c r="I1677" s="3">
        <v>0</v>
      </c>
      <c r="J1677" s="3" t="str">
        <v>AB</v>
      </c>
      <c r="K1677" s="23">
        <v>44427</v>
      </c>
      <c r="L1677" s="22">
        <v>42.069427490234375</v>
      </c>
    </row>
    <row r="1678" spans="1:12" x14ac:dyDescent="0.25">
      <c r="A1678" s="9">
        <v>1671</v>
      </c>
      <c r="B1678" s="10">
        <v>44431</v>
      </c>
      <c r="C1678" s="3">
        <v>42.638050428360629</v>
      </c>
      <c r="D1678" s="3">
        <v>42.847101462998893</v>
      </c>
      <c r="E1678" s="3">
        <v>42.236669634773406</v>
      </c>
      <c r="F1678" s="3">
        <v>42.554428100585938</v>
      </c>
      <c r="G1678" s="3">
        <v>454400</v>
      </c>
      <c r="H1678" s="3">
        <v>0</v>
      </c>
      <c r="I1678" s="3">
        <v>0</v>
      </c>
      <c r="J1678" s="3" t="str">
        <v>AB</v>
      </c>
      <c r="K1678" s="23">
        <v>44428</v>
      </c>
      <c r="L1678" s="22">
        <v>42.470809936523438</v>
      </c>
    </row>
    <row r="1679" spans="1:12" x14ac:dyDescent="0.25">
      <c r="A1679" s="9">
        <v>1672</v>
      </c>
      <c r="B1679" s="10">
        <v>44432</v>
      </c>
      <c r="C1679" s="3">
        <v>42.387186971080133</v>
      </c>
      <c r="D1679" s="3">
        <v>43.223391116265212</v>
      </c>
      <c r="E1679" s="3">
        <v>42.387186971080133</v>
      </c>
      <c r="F1679" s="3">
        <v>42.796928405761719</v>
      </c>
      <c r="G1679" s="3">
        <v>343500</v>
      </c>
      <c r="H1679" s="3">
        <v>0</v>
      </c>
      <c r="I1679" s="3">
        <v>0</v>
      </c>
      <c r="J1679" s="3" t="str">
        <v>AB</v>
      </c>
      <c r="K1679" s="23">
        <v>44431</v>
      </c>
      <c r="L1679" s="22">
        <v>42.554428100585938</v>
      </c>
    </row>
    <row r="1680" spans="1:12" x14ac:dyDescent="0.25">
      <c r="A1680" s="9">
        <v>1673</v>
      </c>
      <c r="B1680" s="10">
        <v>44433</v>
      </c>
      <c r="C1680" s="3">
        <v>42.771842127343412</v>
      </c>
      <c r="D1680" s="3">
        <v>43.114685689857737</v>
      </c>
      <c r="E1680" s="3">
        <v>42.462444305419922</v>
      </c>
      <c r="F1680" s="3">
        <v>42.462444305419922</v>
      </c>
      <c r="G1680" s="3">
        <v>245300</v>
      </c>
      <c r="H1680" s="3">
        <v>0</v>
      </c>
      <c r="I1680" s="3">
        <v>0</v>
      </c>
      <c r="J1680" s="3" t="str">
        <v>AB</v>
      </c>
      <c r="K1680" s="23">
        <v>44432</v>
      </c>
      <c r="L1680" s="22">
        <v>42.796928405761719</v>
      </c>
    </row>
    <row r="1681" spans="1:12" x14ac:dyDescent="0.25">
      <c r="A1681" s="9">
        <v>1674</v>
      </c>
      <c r="B1681" s="10">
        <v>44434</v>
      </c>
      <c r="C1681" s="3">
        <v>42.337014425532153</v>
      </c>
      <c r="D1681" s="3">
        <v>42.730028182953617</v>
      </c>
      <c r="E1681" s="3">
        <v>42.295204858555252</v>
      </c>
      <c r="F1681" s="3">
        <v>42.454082489013672</v>
      </c>
      <c r="G1681" s="3">
        <v>228600</v>
      </c>
      <c r="H1681" s="3">
        <v>0</v>
      </c>
      <c r="I1681" s="3">
        <v>0</v>
      </c>
      <c r="J1681" s="3" t="str">
        <v>AB</v>
      </c>
      <c r="K1681" s="23">
        <v>44433</v>
      </c>
      <c r="L1681" s="22">
        <v>42.462444305419922</v>
      </c>
    </row>
    <row r="1682" spans="1:12" x14ac:dyDescent="0.25">
      <c r="A1682" s="9">
        <v>1675</v>
      </c>
      <c r="B1682" s="10">
        <v>44435</v>
      </c>
      <c r="C1682" s="3">
        <v>42.75511805949035</v>
      </c>
      <c r="D1682" s="3">
        <v>43.566233896470884</v>
      </c>
      <c r="E1682" s="3">
        <v>42.51261809622585</v>
      </c>
      <c r="F1682" s="3">
        <v>43.516063690185547</v>
      </c>
      <c r="G1682" s="3">
        <v>313800</v>
      </c>
      <c r="H1682" s="3">
        <v>0</v>
      </c>
      <c r="I1682" s="3">
        <v>0</v>
      </c>
      <c r="J1682" s="3" t="str">
        <v>AB</v>
      </c>
      <c r="K1682" s="23">
        <v>44434</v>
      </c>
      <c r="L1682" s="22">
        <v>42.454082489013672</v>
      </c>
    </row>
    <row r="1683" spans="1:12" x14ac:dyDescent="0.25">
      <c r="A1683" s="9">
        <v>1676</v>
      </c>
      <c r="B1683" s="10">
        <v>44438</v>
      </c>
      <c r="C1683" s="3">
        <v>43.68330751162501</v>
      </c>
      <c r="D1683" s="3">
        <v>44.026151095828126</v>
      </c>
      <c r="E1683" s="3">
        <v>43.482617106056111</v>
      </c>
      <c r="F1683" s="3">
        <v>43.641494750976563</v>
      </c>
      <c r="G1683" s="3">
        <v>158600</v>
      </c>
      <c r="H1683" s="3">
        <v>0</v>
      </c>
      <c r="I1683" s="3">
        <v>0</v>
      </c>
      <c r="J1683" s="3" t="str">
        <v>AB</v>
      </c>
      <c r="K1683" s="23">
        <v>44435</v>
      </c>
      <c r="L1683" s="22">
        <v>43.516063690185547</v>
      </c>
    </row>
    <row r="1684" spans="1:12" x14ac:dyDescent="0.25">
      <c r="A1684" s="9">
        <v>1677</v>
      </c>
      <c r="B1684" s="10">
        <v>44439</v>
      </c>
      <c r="C1684" s="3">
        <v>43.825460193179389</v>
      </c>
      <c r="D1684" s="3">
        <v>43.917443161777427</v>
      </c>
      <c r="E1684" s="3">
        <v>43.482616612864895</v>
      </c>
      <c r="F1684" s="3">
        <v>43.792011260986328</v>
      </c>
      <c r="G1684" s="3">
        <v>138300</v>
      </c>
      <c r="H1684" s="3">
        <v>0</v>
      </c>
      <c r="I1684" s="3">
        <v>0</v>
      </c>
      <c r="J1684" s="3" t="str">
        <v>AB</v>
      </c>
      <c r="K1684" s="23">
        <v>44438</v>
      </c>
      <c r="L1684" s="22">
        <v>43.641494750976563</v>
      </c>
    </row>
    <row r="1685" spans="1:12" x14ac:dyDescent="0.25">
      <c r="A1685" s="9">
        <v>1678</v>
      </c>
      <c r="B1685" s="10">
        <v>44440</v>
      </c>
      <c r="C1685" s="3">
        <v>43.792008069915497</v>
      </c>
      <c r="D1685" s="3">
        <v>43.792008069915497</v>
      </c>
      <c r="E1685" s="3">
        <v>43.482613444339272</v>
      </c>
      <c r="F1685" s="3">
        <v>43.683303833007813</v>
      </c>
      <c r="G1685" s="3">
        <v>155800</v>
      </c>
      <c r="H1685" s="3">
        <v>0</v>
      </c>
      <c r="I1685" s="3">
        <v>0</v>
      </c>
      <c r="J1685" s="3" t="str">
        <v>AB</v>
      </c>
      <c r="K1685" s="23">
        <v>44439</v>
      </c>
      <c r="L1685" s="22">
        <v>43.792011260986328</v>
      </c>
    </row>
    <row r="1686" spans="1:12" x14ac:dyDescent="0.25">
      <c r="A1686" s="9">
        <v>1679</v>
      </c>
      <c r="B1686" s="10">
        <v>44441</v>
      </c>
      <c r="C1686" s="3">
        <v>43.858906417084903</v>
      </c>
      <c r="D1686" s="3">
        <v>43.892355347212494</v>
      </c>
      <c r="E1686" s="3">
        <v>43.256838434250511</v>
      </c>
      <c r="F1686" s="3">
        <v>43.315372467041016</v>
      </c>
      <c r="G1686" s="3">
        <v>144100</v>
      </c>
      <c r="H1686" s="3">
        <v>0</v>
      </c>
      <c r="I1686" s="3">
        <v>0</v>
      </c>
      <c r="J1686" s="3" t="str">
        <v>AB</v>
      </c>
      <c r="K1686" s="23">
        <v>44440</v>
      </c>
      <c r="L1686" s="22">
        <v>43.683303833007813</v>
      </c>
    </row>
    <row r="1687" spans="1:12" x14ac:dyDescent="0.25">
      <c r="A1687" s="9">
        <v>1680</v>
      </c>
      <c r="B1687" s="10">
        <v>44442</v>
      </c>
      <c r="C1687" s="3">
        <v>43.273563039244827</v>
      </c>
      <c r="D1687" s="3">
        <v>43.516062998655677</v>
      </c>
      <c r="E1687" s="3">
        <v>42.671495054463577</v>
      </c>
      <c r="F1687" s="3">
        <v>43.031063079833984</v>
      </c>
      <c r="G1687" s="3">
        <v>238500</v>
      </c>
      <c r="H1687" s="3">
        <v>0</v>
      </c>
      <c r="I1687" s="3">
        <v>0</v>
      </c>
      <c r="J1687" s="3" t="str">
        <v>AB</v>
      </c>
      <c r="K1687" s="23">
        <v>44441</v>
      </c>
      <c r="L1687" s="22">
        <v>43.315372467041016</v>
      </c>
    </row>
    <row r="1688" spans="1:12" x14ac:dyDescent="0.25">
      <c r="A1688" s="9">
        <v>1681</v>
      </c>
      <c r="B1688" s="10">
        <v>44446</v>
      </c>
      <c r="C1688" s="3">
        <v>42.855459101059857</v>
      </c>
      <c r="D1688" s="3">
        <v>43.081234585449288</v>
      </c>
      <c r="E1688" s="3">
        <v>42.512615555845997</v>
      </c>
      <c r="F1688" s="3">
        <v>42.646408081054688</v>
      </c>
      <c r="G1688" s="3">
        <v>179400</v>
      </c>
      <c r="H1688" s="3">
        <v>0</v>
      </c>
      <c r="I1688" s="3">
        <v>0</v>
      </c>
      <c r="J1688" s="3" t="str">
        <v>AB</v>
      </c>
      <c r="K1688" s="23">
        <v>44442</v>
      </c>
      <c r="L1688" s="22">
        <v>43.031063079833984</v>
      </c>
    </row>
    <row r="1689" spans="1:12" x14ac:dyDescent="0.25">
      <c r="A1689" s="9">
        <v>1682</v>
      </c>
      <c r="B1689" s="10">
        <v>44447</v>
      </c>
      <c r="C1689" s="3">
        <v>42.437362190574362</v>
      </c>
      <c r="D1689" s="3">
        <v>42.796930243634506</v>
      </c>
      <c r="E1689" s="3">
        <v>42.161413279677404</v>
      </c>
      <c r="F1689" s="3">
        <v>42.370464324951172</v>
      </c>
      <c r="G1689" s="3">
        <v>190100</v>
      </c>
      <c r="H1689" s="3">
        <v>0</v>
      </c>
      <c r="I1689" s="3">
        <v>0</v>
      </c>
      <c r="J1689" s="3" t="str">
        <v>AB</v>
      </c>
      <c r="K1689" s="23">
        <v>44446</v>
      </c>
      <c r="L1689" s="22">
        <v>42.646408081054688</v>
      </c>
    </row>
    <row r="1690" spans="1:12" x14ac:dyDescent="0.25">
      <c r="A1690" s="9">
        <v>1683</v>
      </c>
      <c r="B1690" s="10">
        <v>44448</v>
      </c>
      <c r="C1690" s="3">
        <v>42.236668190205798</v>
      </c>
      <c r="D1690" s="3">
        <v>43.457528615035578</v>
      </c>
      <c r="E1690" s="3">
        <v>42.044341627700376</v>
      </c>
      <c r="F1690" s="3">
        <v>42.897270202636719</v>
      </c>
      <c r="G1690" s="3">
        <v>325800</v>
      </c>
      <c r="H1690" s="3">
        <v>0</v>
      </c>
      <c r="I1690" s="3">
        <v>0</v>
      </c>
      <c r="J1690" s="3" t="str">
        <v>AB</v>
      </c>
      <c r="K1690" s="23">
        <v>44447</v>
      </c>
      <c r="L1690" s="22">
        <v>42.370464324951172</v>
      </c>
    </row>
    <row r="1691" spans="1:12" x14ac:dyDescent="0.25">
      <c r="A1691" s="9">
        <v>1684</v>
      </c>
      <c r="B1691" s="10">
        <v>44449</v>
      </c>
      <c r="C1691" s="3">
        <v>43.332103386428649</v>
      </c>
      <c r="D1691" s="3">
        <v>43.892361884986919</v>
      </c>
      <c r="E1691" s="3">
        <v>43.20667147469986</v>
      </c>
      <c r="F1691" s="3">
        <v>43.307018280029297</v>
      </c>
      <c r="G1691" s="3">
        <v>287100</v>
      </c>
      <c r="H1691" s="3">
        <v>0</v>
      </c>
      <c r="I1691" s="3">
        <v>0</v>
      </c>
      <c r="J1691" s="3" t="str">
        <v>AB</v>
      </c>
      <c r="K1691" s="23">
        <v>44448</v>
      </c>
      <c r="L1691" s="22">
        <v>42.897270202636719</v>
      </c>
    </row>
    <row r="1692" spans="1:12" x14ac:dyDescent="0.25">
      <c r="A1692" s="9">
        <v>1685</v>
      </c>
      <c r="B1692" s="10">
        <v>44452</v>
      </c>
      <c r="C1692" s="3">
        <v>43.482619762542434</v>
      </c>
      <c r="D1692" s="3">
        <v>43.934170810259751</v>
      </c>
      <c r="E1692" s="3">
        <v>43.240119771375809</v>
      </c>
      <c r="F1692" s="3">
        <v>43.415721893310547</v>
      </c>
      <c r="G1692" s="3">
        <v>159100</v>
      </c>
      <c r="H1692" s="3">
        <v>0</v>
      </c>
      <c r="I1692" s="3">
        <v>0</v>
      </c>
      <c r="J1692" s="3" t="str">
        <v>AB</v>
      </c>
      <c r="K1692" s="23">
        <v>44449</v>
      </c>
      <c r="L1692" s="22">
        <v>43.307018280029297</v>
      </c>
    </row>
    <row r="1693" spans="1:12" x14ac:dyDescent="0.25">
      <c r="A1693" s="9">
        <v>1686</v>
      </c>
      <c r="B1693" s="10">
        <v>44453</v>
      </c>
      <c r="C1693" s="3">
        <v>43.683302187585653</v>
      </c>
      <c r="D1693" s="3">
        <v>43.808730884646643</v>
      </c>
      <c r="E1693" s="3">
        <v>42.353737583600697</v>
      </c>
      <c r="F1693" s="3">
        <v>42.621322631835938</v>
      </c>
      <c r="G1693" s="3">
        <v>253900</v>
      </c>
      <c r="H1693" s="3">
        <v>0</v>
      </c>
      <c r="I1693" s="3">
        <v>0</v>
      </c>
      <c r="J1693" s="3" t="str">
        <v>AB</v>
      </c>
      <c r="K1693" s="23">
        <v>44452</v>
      </c>
      <c r="L1693" s="22">
        <v>43.415721893310547</v>
      </c>
    </row>
    <row r="1694" spans="1:12" x14ac:dyDescent="0.25">
      <c r="A1694" s="9">
        <v>1687</v>
      </c>
      <c r="B1694" s="10">
        <v>44454</v>
      </c>
      <c r="C1694" s="3">
        <v>42.487533806288504</v>
      </c>
      <c r="D1694" s="3">
        <v>43.733476197494248</v>
      </c>
      <c r="E1694" s="3">
        <v>42.487533806288504</v>
      </c>
      <c r="F1694" s="3">
        <v>43.499340057373047</v>
      </c>
      <c r="G1694" s="3">
        <v>155700</v>
      </c>
      <c r="H1694" s="3">
        <v>0</v>
      </c>
      <c r="I1694" s="3">
        <v>0</v>
      </c>
      <c r="J1694" s="3" t="str">
        <v>AB</v>
      </c>
      <c r="K1694" s="23">
        <v>44453</v>
      </c>
      <c r="L1694" s="22">
        <v>42.621322631835938</v>
      </c>
    </row>
    <row r="1695" spans="1:12" x14ac:dyDescent="0.25">
      <c r="A1695" s="9">
        <v>1688</v>
      </c>
      <c r="B1695" s="10">
        <v>44455</v>
      </c>
      <c r="C1695" s="3">
        <v>43.674940141613583</v>
      </c>
      <c r="D1695" s="3">
        <v>43.674940141613583</v>
      </c>
      <c r="E1695" s="3">
        <v>43.072872163598987</v>
      </c>
      <c r="F1695" s="3">
        <v>43.290287017822266</v>
      </c>
      <c r="G1695" s="3">
        <v>111500</v>
      </c>
      <c r="H1695" s="3">
        <v>0</v>
      </c>
      <c r="I1695" s="3">
        <v>0</v>
      </c>
      <c r="J1695" s="3" t="str">
        <v>AB</v>
      </c>
      <c r="K1695" s="23">
        <v>44454</v>
      </c>
      <c r="L1695" s="22">
        <v>43.499340057373047</v>
      </c>
    </row>
    <row r="1696" spans="1:12" x14ac:dyDescent="0.25">
      <c r="A1696" s="9">
        <v>1689</v>
      </c>
      <c r="B1696" s="10">
        <v>44456</v>
      </c>
      <c r="C1696" s="3">
        <v>43.215025079664422</v>
      </c>
      <c r="D1696" s="3">
        <v>43.641487736891555</v>
      </c>
      <c r="E1696" s="3">
        <v>43.07286873401187</v>
      </c>
      <c r="F1696" s="3">
        <v>43.532783508300781</v>
      </c>
      <c r="G1696" s="3">
        <v>139000</v>
      </c>
      <c r="H1696" s="3">
        <v>0</v>
      </c>
      <c r="I1696" s="3">
        <v>0</v>
      </c>
      <c r="J1696" s="3" t="str">
        <v>AB</v>
      </c>
      <c r="K1696" s="23">
        <v>44455</v>
      </c>
      <c r="L1696" s="22">
        <v>43.290287017822266</v>
      </c>
    </row>
    <row r="1697" spans="1:12" x14ac:dyDescent="0.25">
      <c r="A1697" s="9">
        <v>1690</v>
      </c>
      <c r="B1697" s="10">
        <v>44459</v>
      </c>
      <c r="C1697" s="3">
        <v>42.311922244902647</v>
      </c>
      <c r="D1697" s="3">
        <v>42.604595566574673</v>
      </c>
      <c r="E1697" s="3">
        <v>39.192881625062647</v>
      </c>
      <c r="F1697" s="3">
        <v>40.371929168701172</v>
      </c>
      <c r="G1697" s="3">
        <v>972800</v>
      </c>
      <c r="H1697" s="3">
        <v>0</v>
      </c>
      <c r="I1697" s="3">
        <v>0</v>
      </c>
      <c r="J1697" s="3" t="str">
        <v>AB</v>
      </c>
      <c r="K1697" s="23">
        <v>44456</v>
      </c>
      <c r="L1697" s="22">
        <v>43.532783508300781</v>
      </c>
    </row>
    <row r="1698" spans="1:12" x14ac:dyDescent="0.25">
      <c r="A1698" s="9">
        <v>1691</v>
      </c>
      <c r="B1698" s="10">
        <v>44460</v>
      </c>
      <c r="C1698" s="3">
        <v>40.96564389243477</v>
      </c>
      <c r="D1698" s="3">
        <v>42.010899110053003</v>
      </c>
      <c r="E1698" s="3">
        <v>40.647885413116413</v>
      </c>
      <c r="F1698" s="3">
        <v>41.534259796142578</v>
      </c>
      <c r="G1698" s="3">
        <v>370000</v>
      </c>
      <c r="H1698" s="3">
        <v>0</v>
      </c>
      <c r="I1698" s="3">
        <v>0</v>
      </c>
      <c r="J1698" s="3" t="str">
        <v>AB</v>
      </c>
      <c r="K1698" s="23">
        <v>44459</v>
      </c>
      <c r="L1698" s="22">
        <v>40.371929168701172</v>
      </c>
    </row>
    <row r="1699" spans="1:12" x14ac:dyDescent="0.25">
      <c r="A1699" s="9">
        <v>1692</v>
      </c>
      <c r="B1699" s="10">
        <v>44461</v>
      </c>
      <c r="C1699" s="3">
        <v>41.893827366530395</v>
      </c>
      <c r="D1699" s="3">
        <v>42.79692939534808</v>
      </c>
      <c r="E1699" s="3">
        <v>41.893827366530395</v>
      </c>
      <c r="F1699" s="3">
        <v>42.495895385742188</v>
      </c>
      <c r="G1699" s="3">
        <v>219200</v>
      </c>
      <c r="H1699" s="3">
        <v>0</v>
      </c>
      <c r="I1699" s="3">
        <v>0</v>
      </c>
      <c r="J1699" s="3" t="str">
        <v>AB</v>
      </c>
      <c r="K1699" s="23">
        <v>44460</v>
      </c>
      <c r="L1699" s="22">
        <v>41.534259796142578</v>
      </c>
    </row>
    <row r="1700" spans="1:12" x14ac:dyDescent="0.25">
      <c r="A1700" s="9">
        <v>1693</v>
      </c>
      <c r="B1700" s="10">
        <v>44462</v>
      </c>
      <c r="C1700" s="3">
        <v>42.654766231269917</v>
      </c>
      <c r="D1700" s="3">
        <v>43.641487243351442</v>
      </c>
      <c r="E1700" s="3">
        <v>42.654766231269917</v>
      </c>
      <c r="F1700" s="3">
        <v>43.465885162353516</v>
      </c>
      <c r="G1700" s="3">
        <v>227900</v>
      </c>
      <c r="H1700" s="3">
        <v>0</v>
      </c>
      <c r="I1700" s="3">
        <v>0</v>
      </c>
      <c r="J1700" s="3" t="str">
        <v>AB</v>
      </c>
      <c r="K1700" s="23">
        <v>44461</v>
      </c>
      <c r="L1700" s="22">
        <v>42.495895385742188</v>
      </c>
    </row>
    <row r="1701" spans="1:12" x14ac:dyDescent="0.25">
      <c r="A1701" s="9">
        <v>1694</v>
      </c>
      <c r="B1701" s="10">
        <v>44463</v>
      </c>
      <c r="C1701" s="3">
        <v>43.4826159319244</v>
      </c>
      <c r="D1701" s="3">
        <v>43.683306332074181</v>
      </c>
      <c r="E1701" s="3">
        <v>43.240115962120896</v>
      </c>
      <c r="F1701" s="3">
        <v>43.633132934570313</v>
      </c>
      <c r="G1701" s="3">
        <v>127300</v>
      </c>
      <c r="H1701" s="3">
        <v>0</v>
      </c>
      <c r="I1701" s="3">
        <v>0</v>
      </c>
      <c r="J1701" s="3" t="str">
        <v>AB</v>
      </c>
      <c r="K1701" s="23">
        <v>44462</v>
      </c>
      <c r="L1701" s="22">
        <v>43.465885162353516</v>
      </c>
    </row>
    <row r="1702" spans="1:12" x14ac:dyDescent="0.25">
      <c r="A1702" s="9">
        <v>1695</v>
      </c>
      <c r="B1702" s="10">
        <v>44466</v>
      </c>
      <c r="C1702" s="3">
        <v>43.574600737916704</v>
      </c>
      <c r="D1702" s="3">
        <v>43.900719860789756</v>
      </c>
      <c r="E1702" s="3">
        <v>43.089600777842861</v>
      </c>
      <c r="F1702" s="3">
        <v>43.206668853759766</v>
      </c>
      <c r="G1702" s="3">
        <v>210000</v>
      </c>
      <c r="H1702" s="3">
        <v>0</v>
      </c>
      <c r="I1702" s="3">
        <v>0</v>
      </c>
      <c r="J1702" s="3" t="str">
        <v>AB</v>
      </c>
      <c r="K1702" s="23">
        <v>44463</v>
      </c>
      <c r="L1702" s="22">
        <v>43.633132934570313</v>
      </c>
    </row>
    <row r="1703" spans="1:12" x14ac:dyDescent="0.25">
      <c r="A1703" s="9">
        <v>1696</v>
      </c>
      <c r="B1703" s="10">
        <v>44467</v>
      </c>
      <c r="C1703" s="3">
        <v>42.746757837627236</v>
      </c>
      <c r="D1703" s="3">
        <v>42.8721897436522</v>
      </c>
      <c r="E1703" s="3">
        <v>41.475727070046773</v>
      </c>
      <c r="F1703" s="3">
        <v>41.584434509277344</v>
      </c>
      <c r="G1703" s="3">
        <v>377200</v>
      </c>
      <c r="H1703" s="3">
        <v>0</v>
      </c>
      <c r="I1703" s="3">
        <v>0</v>
      </c>
      <c r="J1703" s="3" t="str">
        <v>AB</v>
      </c>
      <c r="K1703" s="23">
        <v>44466</v>
      </c>
      <c r="L1703" s="22">
        <v>43.206668853759766</v>
      </c>
    </row>
    <row r="1704" spans="1:12" x14ac:dyDescent="0.25">
      <c r="A1704" s="9">
        <v>1697</v>
      </c>
      <c r="B1704" s="10">
        <v>44468</v>
      </c>
      <c r="C1704" s="3">
        <v>41.801844229431822</v>
      </c>
      <c r="D1704" s="3">
        <v>41.84365379632559</v>
      </c>
      <c r="E1704" s="3">
        <v>41.116153934939</v>
      </c>
      <c r="F1704" s="3">
        <v>41.642963409423828</v>
      </c>
      <c r="G1704" s="3">
        <v>244100</v>
      </c>
      <c r="H1704" s="3">
        <v>0</v>
      </c>
      <c r="I1704" s="3">
        <v>0</v>
      </c>
      <c r="J1704" s="3" t="str">
        <v>AB</v>
      </c>
      <c r="K1704" s="23">
        <v>44467</v>
      </c>
      <c r="L1704" s="22">
        <v>41.584434509277344</v>
      </c>
    </row>
    <row r="1705" spans="1:12" x14ac:dyDescent="0.25">
      <c r="A1705" s="9">
        <v>1698</v>
      </c>
      <c r="B1705" s="10">
        <v>44469</v>
      </c>
      <c r="C1705" s="3">
        <v>41.810203814697125</v>
      </c>
      <c r="D1705" s="3">
        <v>42.211581388534363</v>
      </c>
      <c r="E1705" s="3">
        <v>41.199775221786396</v>
      </c>
      <c r="F1705" s="3">
        <v>41.458999633789063</v>
      </c>
      <c r="G1705" s="3">
        <v>314900</v>
      </c>
      <c r="H1705" s="3">
        <v>0</v>
      </c>
      <c r="I1705" s="3">
        <v>0</v>
      </c>
      <c r="J1705" s="3" t="str">
        <v>AB</v>
      </c>
      <c r="K1705" s="23">
        <v>44468</v>
      </c>
      <c r="L1705" s="22">
        <v>41.642963409423828</v>
      </c>
    </row>
    <row r="1706" spans="1:12" x14ac:dyDescent="0.25">
      <c r="A1706" s="9">
        <v>1699</v>
      </c>
      <c r="B1706" s="10">
        <v>44470</v>
      </c>
      <c r="C1706" s="3">
        <v>41.417190911462583</v>
      </c>
      <c r="D1706" s="3">
        <v>42.730031183904757</v>
      </c>
      <c r="E1706" s="3">
        <v>41.241588803907682</v>
      </c>
      <c r="F1706" s="3">
        <v>42.470809936523438</v>
      </c>
      <c r="G1706" s="3">
        <v>167400</v>
      </c>
      <c r="H1706" s="3">
        <v>0</v>
      </c>
      <c r="I1706" s="3">
        <v>0</v>
      </c>
      <c r="J1706" s="3" t="str">
        <v>AB</v>
      </c>
      <c r="K1706" s="23">
        <v>44469</v>
      </c>
      <c r="L1706" s="22">
        <v>41.458999633789063</v>
      </c>
    </row>
    <row r="1707" spans="1:12" x14ac:dyDescent="0.25">
      <c r="A1707" s="9">
        <v>1700</v>
      </c>
      <c r="B1707" s="10">
        <v>44473</v>
      </c>
      <c r="C1707" s="3">
        <v>42.136321324241514</v>
      </c>
      <c r="D1707" s="3">
        <v>42.537698883125024</v>
      </c>
      <c r="E1707" s="3">
        <v>41.617875709416801</v>
      </c>
      <c r="F1707" s="3">
        <v>42.086151123046875</v>
      </c>
      <c r="G1707" s="3">
        <v>197900</v>
      </c>
      <c r="H1707" s="3">
        <v>0</v>
      </c>
      <c r="I1707" s="3">
        <v>0</v>
      </c>
      <c r="J1707" s="3" t="str">
        <v>AB</v>
      </c>
      <c r="K1707" s="23">
        <v>44470</v>
      </c>
      <c r="L1707" s="22">
        <v>42.470809936523438</v>
      </c>
    </row>
    <row r="1708" spans="1:12" x14ac:dyDescent="0.25">
      <c r="A1708" s="9">
        <v>1701</v>
      </c>
      <c r="B1708" s="10">
        <v>44474</v>
      </c>
      <c r="C1708" s="3">
        <v>42.11959888039943</v>
      </c>
      <c r="D1708" s="3">
        <v>42.629683882774579</v>
      </c>
      <c r="E1708" s="3">
        <v>41.843653191000108</v>
      </c>
      <c r="F1708" s="3">
        <v>42.295204162597656</v>
      </c>
      <c r="G1708" s="3">
        <v>155900</v>
      </c>
      <c r="H1708" s="3">
        <v>0</v>
      </c>
      <c r="I1708" s="3">
        <v>0</v>
      </c>
      <c r="J1708" s="3" t="str">
        <v>AB</v>
      </c>
      <c r="K1708" s="23">
        <v>44473</v>
      </c>
      <c r="L1708" s="22">
        <v>42.086151123046875</v>
      </c>
    </row>
    <row r="1709" spans="1:12" x14ac:dyDescent="0.25">
      <c r="A1709" s="9">
        <v>1702</v>
      </c>
      <c r="B1709" s="10">
        <v>44475</v>
      </c>
      <c r="C1709" s="3">
        <v>41.96908250134279</v>
      </c>
      <c r="D1709" s="3">
        <v>42.203221817729947</v>
      </c>
      <c r="E1709" s="3">
        <v>41.500810248299437</v>
      </c>
      <c r="F1709" s="3">
        <v>41.860378265380859</v>
      </c>
      <c r="G1709" s="3">
        <v>208700</v>
      </c>
      <c r="H1709" s="3">
        <v>0</v>
      </c>
      <c r="I1709" s="3">
        <v>0</v>
      </c>
      <c r="J1709" s="3" t="str">
        <v>AB</v>
      </c>
      <c r="K1709" s="23">
        <v>44474</v>
      </c>
      <c r="L1709" s="22">
        <v>42.295204162597656</v>
      </c>
    </row>
    <row r="1710" spans="1:12" x14ac:dyDescent="0.25">
      <c r="A1710" s="9">
        <v>1703</v>
      </c>
      <c r="B1710" s="10">
        <v>44476</v>
      </c>
      <c r="C1710" s="3">
        <v>42.228309293623809</v>
      </c>
      <c r="D1710" s="3">
        <v>42.663135831510353</v>
      </c>
      <c r="E1710" s="3">
        <v>41.960724222596042</v>
      </c>
      <c r="F1710" s="3">
        <v>41.985809326171875</v>
      </c>
      <c r="G1710" s="3">
        <v>214600</v>
      </c>
      <c r="H1710" s="3">
        <v>0</v>
      </c>
      <c r="I1710" s="3">
        <v>0</v>
      </c>
      <c r="J1710" s="3" t="str">
        <v>AB</v>
      </c>
      <c r="K1710" s="23">
        <v>44475</v>
      </c>
      <c r="L1710" s="22">
        <v>41.860378265380859</v>
      </c>
    </row>
    <row r="1711" spans="1:12" x14ac:dyDescent="0.25">
      <c r="A1711" s="9">
        <v>1704</v>
      </c>
      <c r="B1711" s="10">
        <v>44477</v>
      </c>
      <c r="C1711" s="3">
        <v>42.303563003623502</v>
      </c>
      <c r="D1711" s="3">
        <v>42.9474405047023</v>
      </c>
      <c r="E1711" s="3">
        <v>41.994168398384311</v>
      </c>
      <c r="F1711" s="3">
        <v>42.395545959472656</v>
      </c>
      <c r="G1711" s="3">
        <v>223600</v>
      </c>
      <c r="H1711" s="3">
        <v>0</v>
      </c>
      <c r="I1711" s="3">
        <v>0</v>
      </c>
      <c r="J1711" s="3" t="str">
        <v>AB</v>
      </c>
      <c r="K1711" s="23">
        <v>44476</v>
      </c>
      <c r="L1711" s="22">
        <v>41.985809326171875</v>
      </c>
    </row>
    <row r="1712" spans="1:12" x14ac:dyDescent="0.25">
      <c r="A1712" s="9">
        <v>1705</v>
      </c>
      <c r="B1712" s="10">
        <v>44480</v>
      </c>
      <c r="C1712" s="3">
        <v>42.805286596561082</v>
      </c>
      <c r="D1712" s="3">
        <v>42.805286596561082</v>
      </c>
      <c r="E1712" s="3">
        <v>41.751670837402344</v>
      </c>
      <c r="F1712" s="3">
        <v>41.751670837402344</v>
      </c>
      <c r="G1712" s="3">
        <v>230600</v>
      </c>
      <c r="H1712" s="3">
        <v>0</v>
      </c>
      <c r="I1712" s="3">
        <v>0</v>
      </c>
      <c r="J1712" s="3" t="str">
        <v>AB</v>
      </c>
      <c r="K1712" s="23">
        <v>44477</v>
      </c>
      <c r="L1712" s="22">
        <v>42.395545959472656</v>
      </c>
    </row>
    <row r="1713" spans="1:12" x14ac:dyDescent="0.25">
      <c r="A1713" s="9">
        <v>1706</v>
      </c>
      <c r="B1713" s="10">
        <v>44481</v>
      </c>
      <c r="C1713" s="3">
        <v>41.810210185041321</v>
      </c>
      <c r="D1713" s="3">
        <v>42.052710169682371</v>
      </c>
      <c r="E1713" s="3">
        <v>41.333574044121121</v>
      </c>
      <c r="F1713" s="3">
        <v>41.408832550048828</v>
      </c>
      <c r="G1713" s="3">
        <v>216600</v>
      </c>
      <c r="H1713" s="3">
        <v>0</v>
      </c>
      <c r="I1713" s="3">
        <v>0</v>
      </c>
      <c r="J1713" s="3" t="str">
        <v>AB</v>
      </c>
      <c r="K1713" s="23">
        <v>44480</v>
      </c>
      <c r="L1713" s="22">
        <v>41.751670837402344</v>
      </c>
    </row>
    <row r="1714" spans="1:12" x14ac:dyDescent="0.25">
      <c r="A1714" s="9">
        <v>1707</v>
      </c>
      <c r="B1714" s="10">
        <v>44482</v>
      </c>
      <c r="C1714" s="3">
        <v>41.601153229606091</v>
      </c>
      <c r="D1714" s="3">
        <v>42.094513767360866</v>
      </c>
      <c r="E1714" s="3">
        <v>41.55934366332832</v>
      </c>
      <c r="F1714" s="3">
        <v>41.969081878662109</v>
      </c>
      <c r="G1714" s="3">
        <v>253200</v>
      </c>
      <c r="H1714" s="3">
        <v>0</v>
      </c>
      <c r="I1714" s="3">
        <v>0</v>
      </c>
      <c r="J1714" s="3" t="str">
        <v>AB</v>
      </c>
      <c r="K1714" s="23">
        <v>44481</v>
      </c>
      <c r="L1714" s="22">
        <v>41.408832550048828</v>
      </c>
    </row>
    <row r="1715" spans="1:12" x14ac:dyDescent="0.25">
      <c r="A1715" s="9">
        <v>1708</v>
      </c>
      <c r="B1715" s="10">
        <v>44483</v>
      </c>
      <c r="C1715" s="3">
        <v>42.437363974051294</v>
      </c>
      <c r="D1715" s="3">
        <v>43.7669288054635</v>
      </c>
      <c r="E1715" s="3">
        <v>42.23667355861329</v>
      </c>
      <c r="F1715" s="3">
        <v>43.674945831298828</v>
      </c>
      <c r="G1715" s="3">
        <v>230000</v>
      </c>
      <c r="H1715" s="3">
        <v>0</v>
      </c>
      <c r="I1715" s="3">
        <v>0</v>
      </c>
      <c r="J1715" s="3" t="str">
        <v>AB</v>
      </c>
      <c r="K1715" s="23">
        <v>44482</v>
      </c>
      <c r="L1715" s="22">
        <v>41.969081878662109</v>
      </c>
    </row>
    <row r="1716" spans="1:12" x14ac:dyDescent="0.25">
      <c r="A1716" s="9">
        <v>1709</v>
      </c>
      <c r="B1716" s="10">
        <v>44484</v>
      </c>
      <c r="C1716" s="3">
        <v>43.557871455573675</v>
      </c>
      <c r="D1716" s="3">
        <v>44.026146897334122</v>
      </c>
      <c r="E1716" s="3">
        <v>43.457527857291247</v>
      </c>
      <c r="F1716" s="3">
        <v>43.616405487060547</v>
      </c>
      <c r="G1716" s="3">
        <v>186500</v>
      </c>
      <c r="H1716" s="3">
        <v>0</v>
      </c>
      <c r="I1716" s="3">
        <v>0</v>
      </c>
      <c r="J1716" s="3" t="str">
        <v>AB</v>
      </c>
      <c r="K1716" s="23">
        <v>44483</v>
      </c>
      <c r="L1716" s="22">
        <v>43.674945831298828</v>
      </c>
    </row>
    <row r="1717" spans="1:12" x14ac:dyDescent="0.25">
      <c r="A1717" s="9">
        <v>1710</v>
      </c>
      <c r="B1717" s="10">
        <v>44487</v>
      </c>
      <c r="C1717" s="3">
        <v>43.616408463736377</v>
      </c>
      <c r="D1717" s="3">
        <v>43.967615866491826</v>
      </c>
      <c r="E1717" s="3">
        <v>43.407357425626081</v>
      </c>
      <c r="F1717" s="3">
        <v>43.741840362548828</v>
      </c>
      <c r="G1717" s="3">
        <v>130300</v>
      </c>
      <c r="H1717" s="3">
        <v>0</v>
      </c>
      <c r="I1717" s="3">
        <v>0</v>
      </c>
      <c r="J1717" s="3" t="str">
        <v>AB</v>
      </c>
      <c r="K1717" s="23">
        <v>44484</v>
      </c>
      <c r="L1717" s="22">
        <v>43.616405487060547</v>
      </c>
    </row>
    <row r="1718" spans="1:12" x14ac:dyDescent="0.25">
      <c r="A1718" s="9">
        <v>1711</v>
      </c>
      <c r="B1718" s="10">
        <v>44488</v>
      </c>
      <c r="C1718" s="3">
        <v>43.942529762021685</v>
      </c>
      <c r="D1718" s="3">
        <v>44.310461648940162</v>
      </c>
      <c r="E1718" s="3">
        <v>43.691669141764628</v>
      </c>
      <c r="F1718" s="3">
        <v>44.151580810546875</v>
      </c>
      <c r="G1718" s="3">
        <v>141300</v>
      </c>
      <c r="H1718" s="3">
        <v>0</v>
      </c>
      <c r="I1718" s="3">
        <v>0</v>
      </c>
      <c r="J1718" s="3" t="str">
        <v>AB</v>
      </c>
      <c r="K1718" s="23">
        <v>44487</v>
      </c>
      <c r="L1718" s="22">
        <v>43.741840362548828</v>
      </c>
    </row>
    <row r="1719" spans="1:12" x14ac:dyDescent="0.25">
      <c r="A1719" s="9">
        <v>1712</v>
      </c>
      <c r="B1719" s="10">
        <v>44489</v>
      </c>
      <c r="C1719" s="3">
        <v>44.193386904828834</v>
      </c>
      <c r="D1719" s="3">
        <v>44.862352759363134</v>
      </c>
      <c r="E1719" s="3">
        <v>44.118128405687003</v>
      </c>
      <c r="F1719" s="3">
        <v>44.502784729003906</v>
      </c>
      <c r="G1719" s="3">
        <v>161100</v>
      </c>
      <c r="H1719" s="3">
        <v>0</v>
      </c>
      <c r="I1719" s="3">
        <v>0</v>
      </c>
      <c r="J1719" s="3" t="str">
        <v>AB</v>
      </c>
      <c r="K1719" s="23">
        <v>44488</v>
      </c>
      <c r="L1719" s="22">
        <v>44.151580810546875</v>
      </c>
    </row>
    <row r="1720" spans="1:12" x14ac:dyDescent="0.25">
      <c r="A1720" s="9">
        <v>1713</v>
      </c>
      <c r="B1720" s="10">
        <v>44490</v>
      </c>
      <c r="C1720" s="3">
        <v>44.502782316344003</v>
      </c>
      <c r="D1720" s="3">
        <v>45.322261934869346</v>
      </c>
      <c r="E1720" s="3">
        <v>44.327177034622885</v>
      </c>
      <c r="F1720" s="3">
        <v>44.929244995117188</v>
      </c>
      <c r="G1720" s="3">
        <v>222900</v>
      </c>
      <c r="H1720" s="3">
        <v>0</v>
      </c>
      <c r="I1720" s="3">
        <v>0</v>
      </c>
      <c r="J1720" s="3" t="str">
        <v>AB</v>
      </c>
      <c r="K1720" s="23">
        <v>44489</v>
      </c>
      <c r="L1720" s="22">
        <v>44.502784729003906</v>
      </c>
    </row>
    <row r="1721" spans="1:12" x14ac:dyDescent="0.25">
      <c r="A1721" s="9">
        <v>1714</v>
      </c>
      <c r="B1721" s="10">
        <v>44491</v>
      </c>
      <c r="C1721" s="3">
        <v>45.280452677403083</v>
      </c>
      <c r="D1721" s="3">
        <v>46.225361000896562</v>
      </c>
      <c r="E1721" s="3">
        <v>45.088122929927486</v>
      </c>
      <c r="F1721" s="3">
        <v>45.941051483154297</v>
      </c>
      <c r="G1721" s="3">
        <v>240300</v>
      </c>
      <c r="H1721" s="3">
        <v>0</v>
      </c>
      <c r="I1721" s="3">
        <v>0</v>
      </c>
      <c r="J1721" s="3" t="str">
        <v>AB</v>
      </c>
      <c r="K1721" s="23">
        <v>44490</v>
      </c>
      <c r="L1721" s="22">
        <v>44.929244995117188</v>
      </c>
    </row>
    <row r="1722" spans="1:12" x14ac:dyDescent="0.25">
      <c r="A1722" s="9">
        <v>1715</v>
      </c>
      <c r="B1722" s="10">
        <v>44494</v>
      </c>
      <c r="C1722" s="3">
        <v>45.807255760382276</v>
      </c>
      <c r="D1722" s="3">
        <v>47.011391605562331</v>
      </c>
      <c r="E1722" s="3">
        <v>45.322259081524379</v>
      </c>
      <c r="F1722" s="3">
        <v>46.492942810058594</v>
      </c>
      <c r="G1722" s="3">
        <v>434000</v>
      </c>
      <c r="H1722" s="3">
        <v>0</v>
      </c>
      <c r="I1722" s="3">
        <v>0</v>
      </c>
      <c r="J1722" s="3" t="str">
        <v>AB</v>
      </c>
      <c r="K1722" s="23">
        <v>44491</v>
      </c>
      <c r="L1722" s="22">
        <v>45.941051483154297</v>
      </c>
    </row>
    <row r="1723" spans="1:12" x14ac:dyDescent="0.25">
      <c r="A1723" s="9">
        <v>1716</v>
      </c>
      <c r="B1723" s="10">
        <v>44495</v>
      </c>
      <c r="C1723" s="3">
        <v>46.492947943308252</v>
      </c>
      <c r="D1723" s="3">
        <v>46.969584038028636</v>
      </c>
      <c r="E1723" s="3">
        <v>46.007951210902249</v>
      </c>
      <c r="F1723" s="3">
        <v>46.434413909912109</v>
      </c>
      <c r="G1723" s="3">
        <v>254300</v>
      </c>
      <c r="H1723" s="3">
        <v>0</v>
      </c>
      <c r="I1723" s="3">
        <v>0</v>
      </c>
      <c r="J1723" s="3" t="str">
        <v>AB</v>
      </c>
      <c r="K1723" s="23">
        <v>44494</v>
      </c>
      <c r="L1723" s="22">
        <v>46.492942810058594</v>
      </c>
    </row>
    <row r="1724" spans="1:12" x14ac:dyDescent="0.25">
      <c r="A1724" s="9">
        <v>1717</v>
      </c>
      <c r="B1724" s="10">
        <v>44496</v>
      </c>
      <c r="C1724" s="3">
        <v>46.451138857371326</v>
      </c>
      <c r="D1724" s="3">
        <v>46.927774957039794</v>
      </c>
      <c r="E1724" s="3">
        <v>45.991227223113313</v>
      </c>
      <c r="F1724" s="3">
        <v>46.610019683837891</v>
      </c>
      <c r="G1724" s="3">
        <v>201400</v>
      </c>
      <c r="H1724" s="3">
        <v>0</v>
      </c>
      <c r="I1724" s="3">
        <v>0</v>
      </c>
      <c r="J1724" s="3" t="str">
        <v>AB</v>
      </c>
      <c r="K1724" s="23">
        <v>44495</v>
      </c>
      <c r="L1724" s="22">
        <v>46.434413909912109</v>
      </c>
    </row>
    <row r="1725" spans="1:12" x14ac:dyDescent="0.25">
      <c r="A1725" s="9">
        <v>1718</v>
      </c>
      <c r="B1725" s="10">
        <v>44497</v>
      </c>
      <c r="C1725" s="3">
        <v>47.036481407005724</v>
      </c>
      <c r="D1725" s="3">
        <v>48.115185479507453</v>
      </c>
      <c r="E1725" s="3">
        <v>46.417688959177163</v>
      </c>
      <c r="F1725" s="3">
        <v>46.693637847900391</v>
      </c>
      <c r="G1725" s="3">
        <v>333800</v>
      </c>
      <c r="H1725" s="3">
        <v>0</v>
      </c>
      <c r="I1725" s="3">
        <v>0</v>
      </c>
      <c r="J1725" s="3" t="str">
        <v>AB</v>
      </c>
      <c r="K1725" s="23">
        <v>44496</v>
      </c>
      <c r="L1725" s="22">
        <v>46.610019683837891</v>
      </c>
    </row>
    <row r="1726" spans="1:12" x14ac:dyDescent="0.25">
      <c r="A1726" s="9">
        <v>1719</v>
      </c>
      <c r="B1726" s="10">
        <v>44498</v>
      </c>
      <c r="C1726" s="3">
        <v>46.819073252306026</v>
      </c>
      <c r="D1726" s="3">
        <v>47.21208704620711</v>
      </c>
      <c r="E1726" s="3">
        <v>46.75217538704112</v>
      </c>
      <c r="F1726" s="3">
        <v>47.153553009033203</v>
      </c>
      <c r="G1726" s="3">
        <v>211100</v>
      </c>
      <c r="H1726" s="3">
        <v>0</v>
      </c>
      <c r="I1726" s="3">
        <v>0</v>
      </c>
      <c r="J1726" s="3" t="str">
        <v>AB</v>
      </c>
      <c r="K1726" s="23">
        <v>44497</v>
      </c>
      <c r="L1726" s="22">
        <v>46.693637847900391</v>
      </c>
    </row>
    <row r="1727" spans="1:12" x14ac:dyDescent="0.25">
      <c r="A1727" s="9">
        <v>1720</v>
      </c>
      <c r="B1727" s="10">
        <v>44501</v>
      </c>
      <c r="C1727" s="3">
        <v>47.571655435898123</v>
      </c>
      <c r="D1727" s="3">
        <v>48.115189430513453</v>
      </c>
      <c r="E1727" s="3">
        <v>46.785624652636173</v>
      </c>
      <c r="F1727" s="3">
        <v>47.287345886230469</v>
      </c>
      <c r="G1727" s="3">
        <v>348800</v>
      </c>
      <c r="H1727" s="3">
        <v>0</v>
      </c>
      <c r="I1727" s="3">
        <v>0</v>
      </c>
      <c r="J1727" s="3" t="str">
        <v>AB</v>
      </c>
      <c r="K1727" s="23">
        <v>44498</v>
      </c>
      <c r="L1727" s="22">
        <v>47.153553009033203</v>
      </c>
    </row>
    <row r="1728" spans="1:12" x14ac:dyDescent="0.25">
      <c r="A1728" s="9">
        <v>1721</v>
      </c>
      <c r="B1728" s="10">
        <v>44502</v>
      </c>
      <c r="C1728" s="3">
        <v>47.830878356191398</v>
      </c>
      <c r="D1728" s="3">
        <v>47.847602822093542</v>
      </c>
      <c r="E1728" s="3">
        <v>46.668555089850976</v>
      </c>
      <c r="F1728" s="3">
        <v>46.927776336669922</v>
      </c>
      <c r="G1728" s="3">
        <v>264200</v>
      </c>
      <c r="H1728" s="3">
        <v>0</v>
      </c>
      <c r="I1728" s="3">
        <v>0</v>
      </c>
      <c r="J1728" s="3" t="str">
        <v>AB</v>
      </c>
      <c r="K1728" s="23">
        <v>44501</v>
      </c>
      <c r="L1728" s="22">
        <v>47.287345886230469</v>
      </c>
    </row>
    <row r="1729" spans="1:12" x14ac:dyDescent="0.25">
      <c r="A1729" s="9">
        <v>1722</v>
      </c>
      <c r="B1729" s="10">
        <v>44503</v>
      </c>
      <c r="C1729" s="3">
        <v>46.827434376407702</v>
      </c>
      <c r="D1729" s="3">
        <v>47.228812002564439</v>
      </c>
      <c r="E1729" s="3">
        <v>46.668556729553728</v>
      </c>
      <c r="F1729" s="3">
        <v>47.111743927001953</v>
      </c>
      <c r="G1729" s="3">
        <v>220500</v>
      </c>
      <c r="H1729" s="3">
        <v>0</v>
      </c>
      <c r="I1729" s="3">
        <v>0</v>
      </c>
      <c r="J1729" s="3" t="str">
        <v>AB</v>
      </c>
      <c r="K1729" s="23">
        <v>44502</v>
      </c>
      <c r="L1729" s="22">
        <v>46.927776336669922</v>
      </c>
    </row>
    <row r="1730" spans="1:12" x14ac:dyDescent="0.25">
      <c r="A1730" s="9">
        <v>1723</v>
      </c>
      <c r="B1730" s="10">
        <v>44504</v>
      </c>
      <c r="C1730" s="3">
        <v>47.203722453425485</v>
      </c>
      <c r="D1730" s="3">
        <v>47.772341501077214</v>
      </c>
      <c r="E1730" s="3">
        <v>47.069929923970108</v>
      </c>
      <c r="F1730" s="3">
        <v>47.546566009521484</v>
      </c>
      <c r="G1730" s="3">
        <v>236700</v>
      </c>
      <c r="H1730" s="3">
        <v>0</v>
      </c>
      <c r="I1730" s="3">
        <v>0</v>
      </c>
      <c r="J1730" s="3" t="str">
        <v>AB</v>
      </c>
      <c r="K1730" s="23">
        <v>44503</v>
      </c>
      <c r="L1730" s="22">
        <v>47.111743927001953</v>
      </c>
    </row>
    <row r="1731" spans="1:12" x14ac:dyDescent="0.25">
      <c r="A1731" s="9">
        <v>1724</v>
      </c>
      <c r="B1731" s="10">
        <v>44505</v>
      </c>
      <c r="C1731" s="3">
        <v>47.9543295781491</v>
      </c>
      <c r="D1731" s="3">
        <v>48.090249601383029</v>
      </c>
      <c r="E1731" s="3">
        <v>47.079341390528548</v>
      </c>
      <c r="F1731" s="3">
        <v>48.081752777099609</v>
      </c>
      <c r="G1731" s="3">
        <v>270900</v>
      </c>
      <c r="H1731" s="3">
        <v>0.89</v>
      </c>
      <c r="I1731" s="3">
        <v>0</v>
      </c>
      <c r="J1731" s="3" t="str">
        <v>AB</v>
      </c>
      <c r="K1731" s="23">
        <v>44504</v>
      </c>
      <c r="L1731" s="22">
        <v>47.546566009521484</v>
      </c>
    </row>
    <row r="1732" spans="1:12" x14ac:dyDescent="0.25">
      <c r="A1732" s="9">
        <v>1725</v>
      </c>
      <c r="B1732" s="10">
        <v>44508</v>
      </c>
      <c r="C1732" s="3">
        <v>48.081750011012204</v>
      </c>
      <c r="D1732" s="3">
        <v>48.676401293671894</v>
      </c>
      <c r="E1732" s="3">
        <v>47.792919573182566</v>
      </c>
      <c r="F1732" s="3">
        <v>48.005294799804688</v>
      </c>
      <c r="G1732" s="3">
        <v>176600</v>
      </c>
      <c r="H1732" s="3">
        <v>0</v>
      </c>
      <c r="I1732" s="3">
        <v>0</v>
      </c>
      <c r="J1732" s="3" t="str">
        <v>AB</v>
      </c>
      <c r="K1732" s="23">
        <v>44505</v>
      </c>
      <c r="L1732" s="22">
        <v>48.081752777099609</v>
      </c>
    </row>
    <row r="1733" spans="1:12" x14ac:dyDescent="0.25">
      <c r="A1733" s="9">
        <v>1726</v>
      </c>
      <c r="B1733" s="10">
        <v>44509</v>
      </c>
      <c r="C1733" s="3">
        <v>47.758943011594106</v>
      </c>
      <c r="D1733" s="3">
        <v>48.226167871943666</v>
      </c>
      <c r="E1733" s="3">
        <v>47.665497391406426</v>
      </c>
      <c r="F1733" s="3">
        <v>48.073257446289063</v>
      </c>
      <c r="G1733" s="3">
        <v>136200</v>
      </c>
      <c r="H1733" s="3">
        <v>0</v>
      </c>
      <c r="I1733" s="3">
        <v>0</v>
      </c>
      <c r="J1733" s="3" t="str">
        <v>AB</v>
      </c>
      <c r="K1733" s="23">
        <v>44508</v>
      </c>
      <c r="L1733" s="22">
        <v>48.005294799804688</v>
      </c>
    </row>
    <row r="1734" spans="1:12" x14ac:dyDescent="0.25">
      <c r="A1734" s="9">
        <v>1727</v>
      </c>
      <c r="B1734" s="10">
        <v>44510</v>
      </c>
      <c r="C1734" s="3">
        <v>47.716460759253714</v>
      </c>
      <c r="D1734" s="3">
        <v>47.80141278784172</v>
      </c>
      <c r="E1734" s="3">
        <v>46.314786313731197</v>
      </c>
      <c r="F1734" s="3">
        <v>46.8074951171875</v>
      </c>
      <c r="G1734" s="3">
        <v>221300</v>
      </c>
      <c r="H1734" s="3">
        <v>0</v>
      </c>
      <c r="I1734" s="3">
        <v>0</v>
      </c>
      <c r="J1734" s="3" t="str">
        <v>AB</v>
      </c>
      <c r="K1734" s="23">
        <v>44509</v>
      </c>
      <c r="L1734" s="22">
        <v>48.073257446289063</v>
      </c>
    </row>
    <row r="1735" spans="1:12" x14ac:dyDescent="0.25">
      <c r="A1735" s="9">
        <v>1728</v>
      </c>
      <c r="B1735" s="10">
        <v>44511</v>
      </c>
      <c r="C1735" s="3">
        <v>46.960415272687115</v>
      </c>
      <c r="D1735" s="3">
        <v>47.30021697637342</v>
      </c>
      <c r="E1735" s="3">
        <v>46.63760721883326</v>
      </c>
      <c r="F1735" s="3">
        <v>47.17279052734375</v>
      </c>
      <c r="G1735" s="3">
        <v>136100</v>
      </c>
      <c r="H1735" s="3">
        <v>0</v>
      </c>
      <c r="I1735" s="3">
        <v>0</v>
      </c>
      <c r="J1735" s="3" t="str">
        <v>AB</v>
      </c>
      <c r="K1735" s="23">
        <v>44510</v>
      </c>
      <c r="L1735" s="22">
        <v>46.8074951171875</v>
      </c>
    </row>
    <row r="1736" spans="1:12" x14ac:dyDescent="0.25">
      <c r="A1736" s="9">
        <v>1729</v>
      </c>
      <c r="B1736" s="10">
        <v>44512</v>
      </c>
      <c r="C1736" s="3">
        <v>47.758943110087586</v>
      </c>
      <c r="D1736" s="3">
        <v>48.005295915849061</v>
      </c>
      <c r="E1736" s="3">
        <v>47.402151035961424</v>
      </c>
      <c r="F1736" s="3">
        <v>47.894863128662109</v>
      </c>
      <c r="G1736" s="3">
        <v>147600</v>
      </c>
      <c r="H1736" s="3">
        <v>0</v>
      </c>
      <c r="I1736" s="3">
        <v>0</v>
      </c>
      <c r="J1736" s="3" t="str">
        <v>AB</v>
      </c>
      <c r="K1736" s="23">
        <v>44511</v>
      </c>
      <c r="L1736" s="22">
        <v>47.17279052734375</v>
      </c>
    </row>
    <row r="1737" spans="1:12" x14ac:dyDescent="0.25">
      <c r="A1737" s="9">
        <v>1730</v>
      </c>
      <c r="B1737" s="10">
        <v>44515</v>
      </c>
      <c r="C1737" s="3">
        <v>48.005301986322259</v>
      </c>
      <c r="D1737" s="3">
        <v>48.005301986322259</v>
      </c>
      <c r="E1737" s="3">
        <v>47.189781771749153</v>
      </c>
      <c r="F1737" s="3">
        <v>47.563564300537109</v>
      </c>
      <c r="G1737" s="3">
        <v>142700</v>
      </c>
      <c r="H1737" s="3">
        <v>0</v>
      </c>
      <c r="I1737" s="3">
        <v>0</v>
      </c>
      <c r="J1737" s="3" t="str">
        <v>AB</v>
      </c>
      <c r="K1737" s="23">
        <v>44512</v>
      </c>
      <c r="L1737" s="22">
        <v>47.894863128662109</v>
      </c>
    </row>
    <row r="1738" spans="1:12" x14ac:dyDescent="0.25">
      <c r="A1738" s="9">
        <v>1731</v>
      </c>
      <c r="B1738" s="10">
        <v>44516</v>
      </c>
      <c r="C1738" s="3">
        <v>47.257731453886038</v>
      </c>
      <c r="D1738" s="3">
        <v>47.894857067941246</v>
      </c>
      <c r="E1738" s="3">
        <v>47.232244225723683</v>
      </c>
      <c r="F1738" s="3">
        <v>47.707965850830078</v>
      </c>
      <c r="G1738" s="3">
        <v>110800</v>
      </c>
      <c r="H1738" s="3">
        <v>0</v>
      </c>
      <c r="I1738" s="3">
        <v>0</v>
      </c>
      <c r="J1738" s="3" t="str">
        <v>AB</v>
      </c>
      <c r="K1738" s="23">
        <v>44515</v>
      </c>
      <c r="L1738" s="22">
        <v>47.563564300537109</v>
      </c>
    </row>
    <row r="1739" spans="1:12" x14ac:dyDescent="0.25">
      <c r="A1739" s="9">
        <v>1732</v>
      </c>
      <c r="B1739" s="10">
        <v>44517</v>
      </c>
      <c r="C1739" s="3">
        <v>47.707972617881346</v>
      </c>
      <c r="D1739" s="3">
        <v>47.894863861501761</v>
      </c>
      <c r="E1739" s="3">
        <v>46.765026056834941</v>
      </c>
      <c r="F1739" s="3">
        <v>46.909442901611328</v>
      </c>
      <c r="G1739" s="3">
        <v>138100</v>
      </c>
      <c r="H1739" s="3">
        <v>0</v>
      </c>
      <c r="I1739" s="3">
        <v>0</v>
      </c>
      <c r="J1739" s="3" t="str">
        <v>AB</v>
      </c>
      <c r="K1739" s="23">
        <v>44516</v>
      </c>
      <c r="L1739" s="22">
        <v>47.707965850830078</v>
      </c>
    </row>
    <row r="1740" spans="1:12" x14ac:dyDescent="0.25">
      <c r="A1740" s="9">
        <v>1733</v>
      </c>
      <c r="B1740" s="10">
        <v>44518</v>
      </c>
      <c r="C1740" s="3">
        <v>47.019867610438297</v>
      </c>
      <c r="D1740" s="3">
        <v>47.206758821942707</v>
      </c>
      <c r="E1740" s="3">
        <v>46.306286814480416</v>
      </c>
      <c r="F1740" s="3">
        <v>46.552642822265625</v>
      </c>
      <c r="G1740" s="3">
        <v>128500</v>
      </c>
      <c r="H1740" s="3">
        <v>0</v>
      </c>
      <c r="I1740" s="3">
        <v>0</v>
      </c>
      <c r="J1740" s="3" t="str">
        <v>AB</v>
      </c>
      <c r="K1740" s="23">
        <v>44517</v>
      </c>
      <c r="L1740" s="22">
        <v>46.909442901611328</v>
      </c>
    </row>
    <row r="1741" spans="1:12" x14ac:dyDescent="0.25">
      <c r="A1741" s="9">
        <v>1734</v>
      </c>
      <c r="B1741" s="10">
        <v>44519</v>
      </c>
      <c r="C1741" s="3">
        <v>46.195858573107103</v>
      </c>
      <c r="D1741" s="3">
        <v>46.36575939653099</v>
      </c>
      <c r="E1741" s="3">
        <v>45.286892894466291</v>
      </c>
      <c r="F1741" s="3">
        <v>45.388832092285156</v>
      </c>
      <c r="G1741" s="3">
        <v>243500</v>
      </c>
      <c r="H1741" s="3">
        <v>0</v>
      </c>
      <c r="I1741" s="3">
        <v>0</v>
      </c>
      <c r="J1741" s="3" t="str">
        <v>AB</v>
      </c>
      <c r="K1741" s="23">
        <v>44518</v>
      </c>
      <c r="L1741" s="22">
        <v>46.552642822265625</v>
      </c>
    </row>
    <row r="1742" spans="1:12" x14ac:dyDescent="0.25">
      <c r="A1742" s="9">
        <v>1735</v>
      </c>
      <c r="B1742" s="10">
        <v>44522</v>
      </c>
      <c r="C1742" s="3">
        <v>45.60970303216137</v>
      </c>
      <c r="D1742" s="3">
        <v>46.289306357711567</v>
      </c>
      <c r="E1742" s="3">
        <v>45.329369414872417</v>
      </c>
      <c r="F1742" s="3">
        <v>45.754119873046875</v>
      </c>
      <c r="G1742" s="3">
        <v>233400</v>
      </c>
      <c r="H1742" s="3">
        <v>0</v>
      </c>
      <c r="I1742" s="3">
        <v>0</v>
      </c>
      <c r="J1742" s="3" t="str">
        <v>AB</v>
      </c>
      <c r="K1742" s="23">
        <v>44519</v>
      </c>
      <c r="L1742" s="22">
        <v>45.388832092285156</v>
      </c>
    </row>
    <row r="1743" spans="1:12" x14ac:dyDescent="0.25">
      <c r="A1743" s="9">
        <v>1736</v>
      </c>
      <c r="B1743" s="10">
        <v>44523</v>
      </c>
      <c r="C1743" s="3">
        <v>46.280809874213581</v>
      </c>
      <c r="D1743" s="3">
        <v>46.824489946181444</v>
      </c>
      <c r="E1743" s="3">
        <v>45.788101024213525</v>
      </c>
      <c r="F1743" s="3">
        <v>46.6630859375</v>
      </c>
      <c r="G1743" s="3">
        <v>245600</v>
      </c>
      <c r="H1743" s="3">
        <v>0</v>
      </c>
      <c r="I1743" s="3">
        <v>0</v>
      </c>
      <c r="J1743" s="3" t="str">
        <v>AB</v>
      </c>
      <c r="K1743" s="23">
        <v>44522</v>
      </c>
      <c r="L1743" s="22">
        <v>45.754119873046875</v>
      </c>
    </row>
    <row r="1744" spans="1:12" x14ac:dyDescent="0.25">
      <c r="A1744" s="9">
        <v>1737</v>
      </c>
      <c r="B1744" s="10">
        <v>44524</v>
      </c>
      <c r="C1744" s="3">
        <v>47.036865201433805</v>
      </c>
      <c r="D1744" s="3">
        <v>47.28322124685711</v>
      </c>
      <c r="E1744" s="3">
        <v>46.849977201965125</v>
      </c>
      <c r="F1744" s="3">
        <v>47.181282043457031</v>
      </c>
      <c r="G1744" s="3">
        <v>190100</v>
      </c>
      <c r="H1744" s="3">
        <v>0</v>
      </c>
      <c r="I1744" s="3">
        <v>0</v>
      </c>
      <c r="J1744" s="3" t="str">
        <v>AB</v>
      </c>
      <c r="K1744" s="23">
        <v>44523</v>
      </c>
      <c r="L1744" s="22">
        <v>46.6630859375</v>
      </c>
    </row>
    <row r="1745" spans="1:12" x14ac:dyDescent="0.25">
      <c r="A1745" s="9">
        <v>1738</v>
      </c>
      <c r="B1745" s="10">
        <v>44526</v>
      </c>
      <c r="C1745" s="3">
        <v>45.966494211147889</v>
      </c>
      <c r="D1745" s="3">
        <v>46.629103876068001</v>
      </c>
      <c r="E1745" s="3">
        <v>45.278397315630933</v>
      </c>
      <c r="F1745" s="3">
        <v>46.025959014892578</v>
      </c>
      <c r="G1745" s="3">
        <v>194200</v>
      </c>
      <c r="H1745" s="3">
        <v>0</v>
      </c>
      <c r="I1745" s="3">
        <v>0</v>
      </c>
      <c r="J1745" s="3" t="str">
        <v>AB</v>
      </c>
      <c r="K1745" s="23">
        <v>44524</v>
      </c>
      <c r="L1745" s="22">
        <v>47.181282043457031</v>
      </c>
    </row>
    <row r="1746" spans="1:12" x14ac:dyDescent="0.25">
      <c r="A1746" s="9">
        <v>1739</v>
      </c>
      <c r="B1746" s="10">
        <v>44529</v>
      </c>
      <c r="C1746" s="3">
        <v>46.144890040556362</v>
      </c>
      <c r="D1746" s="3">
        <v>46.382749262845266</v>
      </c>
      <c r="E1746" s="3">
        <v>44.641273012682532</v>
      </c>
      <c r="F1746" s="3">
        <v>45.12548828125</v>
      </c>
      <c r="G1746" s="3">
        <v>355800</v>
      </c>
      <c r="H1746" s="3">
        <v>0</v>
      </c>
      <c r="I1746" s="3">
        <v>0</v>
      </c>
      <c r="J1746" s="3" t="str">
        <v>AB</v>
      </c>
      <c r="K1746" s="23">
        <v>44526</v>
      </c>
      <c r="L1746" s="22">
        <v>46.025959014892578</v>
      </c>
    </row>
    <row r="1747" spans="1:12" x14ac:dyDescent="0.25">
      <c r="A1747" s="9">
        <v>1740</v>
      </c>
      <c r="B1747" s="10">
        <v>44530</v>
      </c>
      <c r="C1747" s="3">
        <v>45.006561542078572</v>
      </c>
      <c r="D1747" s="3">
        <v>45.159471977761541</v>
      </c>
      <c r="E1747" s="3">
        <v>42.568494636272042</v>
      </c>
      <c r="F1747" s="3">
        <v>42.576988220214844</v>
      </c>
      <c r="G1747" s="3">
        <v>626500</v>
      </c>
      <c r="H1747" s="3">
        <v>0</v>
      </c>
      <c r="I1747" s="3">
        <v>0</v>
      </c>
      <c r="J1747" s="3" t="str">
        <v>AB</v>
      </c>
      <c r="K1747" s="23">
        <v>44529</v>
      </c>
      <c r="L1747" s="22">
        <v>45.12548828125</v>
      </c>
    </row>
    <row r="1748" spans="1:12" x14ac:dyDescent="0.25">
      <c r="A1748" s="9">
        <v>1741</v>
      </c>
      <c r="B1748" s="10">
        <v>44531</v>
      </c>
      <c r="C1748" s="3">
        <v>43.324546725000353</v>
      </c>
      <c r="D1748" s="3">
        <v>43.766287590282779</v>
      </c>
      <c r="E1748" s="3">
        <v>42.109760155620883</v>
      </c>
      <c r="F1748" s="3">
        <v>42.432571411132813</v>
      </c>
      <c r="G1748" s="3">
        <v>372600</v>
      </c>
      <c r="H1748" s="3">
        <v>0</v>
      </c>
      <c r="I1748" s="3">
        <v>0</v>
      </c>
      <c r="J1748" s="3" t="str">
        <v>AB</v>
      </c>
      <c r="K1748" s="23">
        <v>44530</v>
      </c>
      <c r="L1748" s="22">
        <v>42.576988220214844</v>
      </c>
    </row>
    <row r="1749" spans="1:12" x14ac:dyDescent="0.25">
      <c r="A1749" s="9">
        <v>1742</v>
      </c>
      <c r="B1749" s="10">
        <v>44532</v>
      </c>
      <c r="C1749" s="3">
        <v>42.356121840887639</v>
      </c>
      <c r="D1749" s="3">
        <v>43.936194273935705</v>
      </c>
      <c r="E1749" s="3">
        <v>42.016320132919944</v>
      </c>
      <c r="F1749" s="3">
        <v>43.154651641845703</v>
      </c>
      <c r="G1749" s="3">
        <v>285900</v>
      </c>
      <c r="H1749" s="3">
        <v>0</v>
      </c>
      <c r="I1749" s="3">
        <v>0</v>
      </c>
      <c r="J1749" s="3" t="str">
        <v>AB</v>
      </c>
      <c r="K1749" s="23">
        <v>44531</v>
      </c>
      <c r="L1749" s="22">
        <v>42.432571411132813</v>
      </c>
    </row>
    <row r="1750" spans="1:12" x14ac:dyDescent="0.25">
      <c r="A1750" s="9">
        <v>1743</v>
      </c>
      <c r="B1750" s="10">
        <v>44533</v>
      </c>
      <c r="C1750" s="3">
        <v>43.672838298009196</v>
      </c>
      <c r="D1750" s="3">
        <v>43.672838298009196</v>
      </c>
      <c r="E1750" s="3">
        <v>42.526013453857452</v>
      </c>
      <c r="F1750" s="3">
        <v>43.146148681640625</v>
      </c>
      <c r="G1750" s="3">
        <v>289700</v>
      </c>
      <c r="H1750" s="3">
        <v>0</v>
      </c>
      <c r="I1750" s="3">
        <v>0</v>
      </c>
      <c r="J1750" s="3" t="str">
        <v>AB</v>
      </c>
      <c r="K1750" s="23">
        <v>44532</v>
      </c>
      <c r="L1750" s="22">
        <v>43.154651641845703</v>
      </c>
    </row>
    <row r="1751" spans="1:12" x14ac:dyDescent="0.25">
      <c r="A1751" s="9">
        <v>1744</v>
      </c>
      <c r="B1751" s="10">
        <v>44536</v>
      </c>
      <c r="C1751" s="3">
        <v>43.553914117787542</v>
      </c>
      <c r="D1751" s="3">
        <v>45.023550373173279</v>
      </c>
      <c r="E1751" s="3">
        <v>43.035718019526598</v>
      </c>
      <c r="F1751" s="3">
        <v>44.547828674316406</v>
      </c>
      <c r="G1751" s="3">
        <v>272200</v>
      </c>
      <c r="H1751" s="3">
        <v>0</v>
      </c>
      <c r="I1751" s="3">
        <v>0</v>
      </c>
      <c r="J1751" s="3" t="str">
        <v>AB</v>
      </c>
      <c r="K1751" s="23">
        <v>44533</v>
      </c>
      <c r="L1751" s="22">
        <v>43.146148681640625</v>
      </c>
    </row>
    <row r="1752" spans="1:12" x14ac:dyDescent="0.25">
      <c r="A1752" s="9">
        <v>1745</v>
      </c>
      <c r="B1752" s="10">
        <v>44537</v>
      </c>
      <c r="C1752" s="3">
        <v>44.862146977785251</v>
      </c>
      <c r="D1752" s="3">
        <v>45.380339842602361</v>
      </c>
      <c r="E1752" s="3">
        <v>44.309970056151762</v>
      </c>
      <c r="F1752" s="3">
        <v>44.921611785888672</v>
      </c>
      <c r="G1752" s="3">
        <v>441500</v>
      </c>
      <c r="H1752" s="3">
        <v>0</v>
      </c>
      <c r="I1752" s="3">
        <v>0</v>
      </c>
      <c r="J1752" s="3" t="str">
        <v>AB</v>
      </c>
      <c r="K1752" s="23">
        <v>44536</v>
      </c>
      <c r="L1752" s="22">
        <v>44.547828674316406</v>
      </c>
    </row>
    <row r="1753" spans="1:12" x14ac:dyDescent="0.25">
      <c r="A1753" s="9">
        <v>1746</v>
      </c>
      <c r="B1753" s="10">
        <v>44538</v>
      </c>
      <c r="C1753" s="3">
        <v>44.598797604151997</v>
      </c>
      <c r="D1753" s="3">
        <v>44.853647228057966</v>
      </c>
      <c r="E1753" s="3">
        <v>43.757790280614635</v>
      </c>
      <c r="F1753" s="3">
        <v>43.987155914306641</v>
      </c>
      <c r="G1753" s="3">
        <v>187500</v>
      </c>
      <c r="H1753" s="3">
        <v>0</v>
      </c>
      <c r="I1753" s="3">
        <v>0</v>
      </c>
      <c r="J1753" s="3" t="str">
        <v>AB</v>
      </c>
      <c r="K1753" s="23">
        <v>44537</v>
      </c>
      <c r="L1753" s="22">
        <v>44.921611785888672</v>
      </c>
    </row>
    <row r="1754" spans="1:12" x14ac:dyDescent="0.25">
      <c r="A1754" s="9">
        <v>1747</v>
      </c>
      <c r="B1754" s="10">
        <v>44539</v>
      </c>
      <c r="C1754" s="3">
        <v>42.517515099274505</v>
      </c>
      <c r="D1754" s="3">
        <v>43.231095912770357</v>
      </c>
      <c r="E1754" s="3">
        <v>42.050290299618652</v>
      </c>
      <c r="F1754" s="3">
        <v>42.347614288330078</v>
      </c>
      <c r="G1754" s="3">
        <v>1049200</v>
      </c>
      <c r="H1754" s="3">
        <v>0</v>
      </c>
      <c r="I1754" s="3">
        <v>0</v>
      </c>
      <c r="J1754" s="3" t="str">
        <v>AB</v>
      </c>
      <c r="K1754" s="23">
        <v>44538</v>
      </c>
      <c r="L1754" s="22">
        <v>43.987155914306641</v>
      </c>
    </row>
    <row r="1755" spans="1:12" x14ac:dyDescent="0.25">
      <c r="A1755" s="9">
        <v>1748</v>
      </c>
      <c r="B1755" s="10">
        <v>44540</v>
      </c>
      <c r="C1755" s="3">
        <v>42.101265916269639</v>
      </c>
      <c r="D1755" s="3">
        <v>43.528427692454287</v>
      </c>
      <c r="E1755" s="3">
        <v>42.101265916269639</v>
      </c>
      <c r="F1755" s="3">
        <v>43.273574829101563</v>
      </c>
      <c r="G1755" s="3">
        <v>381600</v>
      </c>
      <c r="H1755" s="3">
        <v>0</v>
      </c>
      <c r="I1755" s="3">
        <v>0</v>
      </c>
      <c r="J1755" s="3" t="str">
        <v>AB</v>
      </c>
      <c r="K1755" s="23">
        <v>44539</v>
      </c>
      <c r="L1755" s="22">
        <v>42.347614288330078</v>
      </c>
    </row>
    <row r="1756" spans="1:12" x14ac:dyDescent="0.25">
      <c r="A1756" s="9">
        <v>1749</v>
      </c>
      <c r="B1756" s="10">
        <v>44543</v>
      </c>
      <c r="C1756" s="3">
        <v>43.069695898066492</v>
      </c>
      <c r="D1756" s="3">
        <v>43.163141514736118</v>
      </c>
      <c r="E1756" s="3">
        <v>42.143739795613669</v>
      </c>
      <c r="F1756" s="3">
        <v>42.169223785400391</v>
      </c>
      <c r="G1756" s="3">
        <v>405800</v>
      </c>
      <c r="H1756" s="3">
        <v>0</v>
      </c>
      <c r="I1756" s="3">
        <v>0</v>
      </c>
      <c r="J1756" s="3" t="str">
        <v>AB</v>
      </c>
      <c r="K1756" s="23">
        <v>44540</v>
      </c>
      <c r="L1756" s="22">
        <v>43.273574829101563</v>
      </c>
    </row>
    <row r="1757" spans="1:12" x14ac:dyDescent="0.25">
      <c r="A1757" s="9">
        <v>1750</v>
      </c>
      <c r="B1757" s="10">
        <v>44544</v>
      </c>
      <c r="C1757" s="3">
        <v>42.050293895758742</v>
      </c>
      <c r="D1757" s="3">
        <v>42.390095546707428</v>
      </c>
      <c r="E1757" s="3">
        <v>40.521192947667075</v>
      </c>
      <c r="F1757" s="3">
        <v>41.081863403320313</v>
      </c>
      <c r="G1757" s="3">
        <v>545600</v>
      </c>
      <c r="H1757" s="3">
        <v>0</v>
      </c>
      <c r="I1757" s="3">
        <v>0</v>
      </c>
      <c r="J1757" s="3" t="str">
        <v>AB</v>
      </c>
      <c r="K1757" s="23">
        <v>44543</v>
      </c>
      <c r="L1757" s="22">
        <v>42.169223785400391</v>
      </c>
    </row>
    <row r="1758" spans="1:12" x14ac:dyDescent="0.25">
      <c r="A1758" s="9">
        <v>1751</v>
      </c>
      <c r="B1758" s="10">
        <v>44545</v>
      </c>
      <c r="C1758" s="3">
        <v>40.971426535845765</v>
      </c>
      <c r="D1758" s="3">
        <v>41.115843368727141</v>
      </c>
      <c r="E1758" s="3">
        <v>39.688681649112567</v>
      </c>
      <c r="F1758" s="3">
        <v>40.657112121582031</v>
      </c>
      <c r="G1758" s="3">
        <v>633700</v>
      </c>
      <c r="H1758" s="3">
        <v>0</v>
      </c>
      <c r="I1758" s="3">
        <v>0</v>
      </c>
      <c r="J1758" s="3" t="str">
        <v>AB</v>
      </c>
      <c r="K1758" s="23">
        <v>44544</v>
      </c>
      <c r="L1758" s="22">
        <v>41.081863403320313</v>
      </c>
    </row>
    <row r="1759" spans="1:12" x14ac:dyDescent="0.25">
      <c r="A1759" s="9">
        <v>1752</v>
      </c>
      <c r="B1759" s="10">
        <v>44546</v>
      </c>
      <c r="C1759" s="3">
        <v>41.15831724661389</v>
      </c>
      <c r="D1759" s="3">
        <v>41.625542070718524</v>
      </c>
      <c r="E1759" s="3">
        <v>40.44473639577803</v>
      </c>
      <c r="F1759" s="3">
        <v>40.623130798339844</v>
      </c>
      <c r="G1759" s="3">
        <v>347300</v>
      </c>
      <c r="H1759" s="3">
        <v>0</v>
      </c>
      <c r="I1759" s="3">
        <v>0</v>
      </c>
      <c r="J1759" s="3" t="str">
        <v>AB</v>
      </c>
      <c r="K1759" s="23">
        <v>44545</v>
      </c>
      <c r="L1759" s="22">
        <v>40.657112121582031</v>
      </c>
    </row>
    <row r="1760" spans="1:12" x14ac:dyDescent="0.25">
      <c r="A1760" s="9">
        <v>1753</v>
      </c>
      <c r="B1760" s="10">
        <v>44547</v>
      </c>
      <c r="C1760" s="3">
        <v>39.63771071325187</v>
      </c>
      <c r="D1760" s="3">
        <v>40.487211588581388</v>
      </c>
      <c r="E1760" s="3">
        <v>39.085533848052215</v>
      </c>
      <c r="F1760" s="3">
        <v>39.977512359619141</v>
      </c>
      <c r="G1760" s="3">
        <v>466700</v>
      </c>
      <c r="H1760" s="3">
        <v>0</v>
      </c>
      <c r="I1760" s="3">
        <v>0</v>
      </c>
      <c r="J1760" s="3" t="str">
        <v>AB</v>
      </c>
      <c r="K1760" s="23">
        <v>44546</v>
      </c>
      <c r="L1760" s="22">
        <v>40.623130798339844</v>
      </c>
    </row>
    <row r="1761" spans="1:12" x14ac:dyDescent="0.25">
      <c r="A1761" s="9">
        <v>1754</v>
      </c>
      <c r="B1761" s="10">
        <v>44550</v>
      </c>
      <c r="C1761" s="3">
        <v>39.289416527238394</v>
      </c>
      <c r="D1761" s="3">
        <v>39.416842958156835</v>
      </c>
      <c r="E1761" s="3">
        <v>37.590414731465927</v>
      </c>
      <c r="F1761" s="3">
        <v>38.686271667480469</v>
      </c>
      <c r="G1761" s="3">
        <v>551000</v>
      </c>
      <c r="H1761" s="3">
        <v>0</v>
      </c>
      <c r="I1761" s="3">
        <v>0</v>
      </c>
      <c r="J1761" s="3" t="str">
        <v>AB</v>
      </c>
      <c r="K1761" s="23">
        <v>44547</v>
      </c>
      <c r="L1761" s="22">
        <v>39.977512359619141</v>
      </c>
    </row>
    <row r="1762" spans="1:12" x14ac:dyDescent="0.25">
      <c r="A1762" s="9">
        <v>1755</v>
      </c>
      <c r="B1762" s="10">
        <v>44551</v>
      </c>
      <c r="C1762" s="3">
        <v>39.136506652490915</v>
      </c>
      <c r="D1762" s="3">
        <v>39.773632334796183</v>
      </c>
      <c r="E1762" s="3">
        <v>39.034567450686936</v>
      </c>
      <c r="F1762" s="3">
        <v>39.646205902099609</v>
      </c>
      <c r="G1762" s="3">
        <v>269400</v>
      </c>
      <c r="H1762" s="3">
        <v>0</v>
      </c>
      <c r="I1762" s="3">
        <v>0</v>
      </c>
      <c r="J1762" s="3" t="str">
        <v>AB</v>
      </c>
      <c r="K1762" s="23">
        <v>44550</v>
      </c>
      <c r="L1762" s="22">
        <v>38.686271667480469</v>
      </c>
    </row>
    <row r="1763" spans="1:12" x14ac:dyDescent="0.25">
      <c r="A1763" s="9">
        <v>1756</v>
      </c>
      <c r="B1763" s="10">
        <v>44552</v>
      </c>
      <c r="C1763" s="3">
        <v>39.790625611401772</v>
      </c>
      <c r="D1763" s="3">
        <v>40.767553024290777</v>
      </c>
      <c r="E1763" s="3">
        <v>39.527279143778806</v>
      </c>
      <c r="F1763" s="3">
        <v>40.580661773681641</v>
      </c>
      <c r="G1763" s="3">
        <v>276500</v>
      </c>
      <c r="H1763" s="3">
        <v>0</v>
      </c>
      <c r="I1763" s="3">
        <v>0</v>
      </c>
      <c r="J1763" s="3" t="str">
        <v>AB</v>
      </c>
      <c r="K1763" s="23">
        <v>44551</v>
      </c>
      <c r="L1763" s="22">
        <v>39.646205902099609</v>
      </c>
    </row>
    <row r="1764" spans="1:12" x14ac:dyDescent="0.25">
      <c r="A1764" s="9">
        <v>1757</v>
      </c>
      <c r="B1764" s="10">
        <v>44553</v>
      </c>
      <c r="C1764" s="3">
        <v>40.725075125773394</v>
      </c>
      <c r="D1764" s="3">
        <v>41.9398617658739</v>
      </c>
      <c r="E1764" s="3">
        <v>40.725075125773394</v>
      </c>
      <c r="F1764" s="3">
        <v>41.600063323974609</v>
      </c>
      <c r="G1764" s="3">
        <v>300000</v>
      </c>
      <c r="H1764" s="3">
        <v>0</v>
      </c>
      <c r="I1764" s="3">
        <v>0</v>
      </c>
      <c r="J1764" s="3" t="str">
        <v>AB</v>
      </c>
      <c r="K1764" s="23">
        <v>44552</v>
      </c>
      <c r="L1764" s="22">
        <v>40.580661773681641</v>
      </c>
    </row>
    <row r="1765" spans="1:12" x14ac:dyDescent="0.25">
      <c r="A1765" s="9">
        <v>1758</v>
      </c>
      <c r="B1765" s="10">
        <v>44557</v>
      </c>
      <c r="C1765" s="3">
        <v>42.330628772428184</v>
      </c>
      <c r="D1765" s="3">
        <v>42.364606343469653</v>
      </c>
      <c r="E1765" s="3">
        <v>41.243265484387052</v>
      </c>
      <c r="F1765" s="3">
        <v>41.430156707763672</v>
      </c>
      <c r="G1765" s="3">
        <v>226300</v>
      </c>
      <c r="H1765" s="3">
        <v>0</v>
      </c>
      <c r="I1765" s="3">
        <v>0</v>
      </c>
      <c r="J1765" s="3" t="str">
        <v>AB</v>
      </c>
      <c r="K1765" s="23">
        <v>44553</v>
      </c>
      <c r="L1765" s="22">
        <v>41.600063323974609</v>
      </c>
    </row>
    <row r="1766" spans="1:12" x14ac:dyDescent="0.25">
      <c r="A1766" s="9">
        <v>1759</v>
      </c>
      <c r="B1766" s="10">
        <v>44558</v>
      </c>
      <c r="C1766" s="3">
        <v>41.489627476561061</v>
      </c>
      <c r="D1766" s="3">
        <v>41.685012310659168</v>
      </c>
      <c r="E1766" s="3">
        <v>41.30273622629808</v>
      </c>
      <c r="F1766" s="3">
        <v>41.651031494140625</v>
      </c>
      <c r="G1766" s="3">
        <v>142400</v>
      </c>
      <c r="H1766" s="3">
        <v>0</v>
      </c>
      <c r="I1766" s="3">
        <v>0</v>
      </c>
      <c r="J1766" s="3" t="str">
        <v>AB</v>
      </c>
      <c r="K1766" s="23">
        <v>44557</v>
      </c>
      <c r="L1766" s="22">
        <v>41.430156707763672</v>
      </c>
    </row>
    <row r="1767" spans="1:12" x14ac:dyDescent="0.25">
      <c r="A1767" s="9">
        <v>1760</v>
      </c>
      <c r="B1767" s="10">
        <v>44559</v>
      </c>
      <c r="C1767" s="3">
        <v>41.328222808578474</v>
      </c>
      <c r="D1767" s="3">
        <v>41.591566030980282</v>
      </c>
      <c r="E1767" s="3">
        <v>41.073369929289143</v>
      </c>
      <c r="F1767" s="3">
        <v>41.421665191650391</v>
      </c>
      <c r="G1767" s="3">
        <v>211900</v>
      </c>
      <c r="H1767" s="3">
        <v>0</v>
      </c>
      <c r="I1767" s="3">
        <v>0</v>
      </c>
      <c r="J1767" s="3" t="str">
        <v>AB</v>
      </c>
      <c r="K1767" s="23">
        <v>44558</v>
      </c>
      <c r="L1767" s="22">
        <v>41.651031494140625</v>
      </c>
    </row>
    <row r="1768" spans="1:12" x14ac:dyDescent="0.25">
      <c r="A1768" s="9">
        <v>1761</v>
      </c>
      <c r="B1768" s="10">
        <v>44560</v>
      </c>
      <c r="C1768" s="3">
        <v>41.421665591454548</v>
      </c>
      <c r="D1768" s="3">
        <v>42.135246531056445</v>
      </c>
      <c r="E1768" s="3">
        <v>41.421665591454548</v>
      </c>
      <c r="F1768" s="3">
        <v>41.634040832519531</v>
      </c>
      <c r="G1768" s="3">
        <v>176300</v>
      </c>
      <c r="H1768" s="3">
        <v>0</v>
      </c>
      <c r="I1768" s="3">
        <v>0</v>
      </c>
      <c r="J1768" s="3" t="str">
        <v>AB</v>
      </c>
      <c r="K1768" s="23">
        <v>44559</v>
      </c>
      <c r="L1768" s="22">
        <v>41.421665191650391</v>
      </c>
    </row>
    <row r="1769" spans="1:12" x14ac:dyDescent="0.25">
      <c r="A1769" s="9">
        <v>1762</v>
      </c>
      <c r="B1769" s="10">
        <v>44561</v>
      </c>
      <c r="C1769" s="3">
        <v>41.761467891474119</v>
      </c>
      <c r="D1769" s="3">
        <v>41.939862318867625</v>
      </c>
      <c r="E1769" s="3">
        <v>41.464143845818278</v>
      </c>
      <c r="F1769" s="3">
        <v>41.489627838134766</v>
      </c>
      <c r="G1769" s="3">
        <v>160000</v>
      </c>
      <c r="H1769" s="3">
        <v>0</v>
      </c>
      <c r="I1769" s="3">
        <v>0</v>
      </c>
      <c r="J1769" s="3" t="str">
        <v>AB</v>
      </c>
      <c r="K1769" s="23">
        <v>44560</v>
      </c>
      <c r="L1769" s="22">
        <v>41.634040832519531</v>
      </c>
    </row>
    <row r="1770" spans="1:12" x14ac:dyDescent="0.25">
      <c r="A1770" s="9">
        <v>1763</v>
      </c>
      <c r="B1770" s="10">
        <v>44564</v>
      </c>
      <c r="C1770" s="3">
        <v>41.634040497913304</v>
      </c>
      <c r="D1770" s="3">
        <v>42.245682224253258</v>
      </c>
      <c r="E1770" s="3">
        <v>41.285745234989491</v>
      </c>
      <c r="F1770" s="3">
        <v>41.387687683105469</v>
      </c>
      <c r="G1770" s="3">
        <v>245900</v>
      </c>
      <c r="H1770" s="3">
        <v>0</v>
      </c>
      <c r="I1770" s="3">
        <v>0</v>
      </c>
      <c r="J1770" s="3" t="str">
        <v>AB</v>
      </c>
      <c r="K1770" s="23">
        <v>44561</v>
      </c>
      <c r="L1770" s="22">
        <v>41.489627838134766</v>
      </c>
    </row>
    <row r="1771" spans="1:12" x14ac:dyDescent="0.25">
      <c r="A1771" s="9">
        <v>1764</v>
      </c>
      <c r="B1771" s="10">
        <v>44565</v>
      </c>
      <c r="C1771" s="3">
        <v>41.149820058844952</v>
      </c>
      <c r="D1771" s="3">
        <v>41.676512919727337</v>
      </c>
      <c r="E1771" s="3">
        <v>40.877980045752111</v>
      </c>
      <c r="F1771" s="3">
        <v>40.928951263427734</v>
      </c>
      <c r="G1771" s="3">
        <v>356700</v>
      </c>
      <c r="H1771" s="3">
        <v>0</v>
      </c>
      <c r="I1771" s="3">
        <v>0</v>
      </c>
      <c r="J1771" s="3" t="str">
        <v>AB</v>
      </c>
      <c r="K1771" s="23">
        <v>44564</v>
      </c>
      <c r="L1771" s="22">
        <v>41.387687683105469</v>
      </c>
    </row>
    <row r="1772" spans="1:12" x14ac:dyDescent="0.25">
      <c r="A1772" s="9">
        <v>1765</v>
      </c>
      <c r="B1772" s="10">
        <v>44566</v>
      </c>
      <c r="C1772" s="3">
        <v>40.877986496801178</v>
      </c>
      <c r="D1772" s="3">
        <v>41.302736989363169</v>
      </c>
      <c r="E1772" s="3">
        <v>39.6292222522695</v>
      </c>
      <c r="F1772" s="3">
        <v>39.773635864257813</v>
      </c>
      <c r="G1772" s="3">
        <v>369100</v>
      </c>
      <c r="H1772" s="3">
        <v>0</v>
      </c>
      <c r="I1772" s="3">
        <v>0</v>
      </c>
      <c r="J1772" s="3" t="str">
        <v>AB</v>
      </c>
      <c r="K1772" s="23">
        <v>44565</v>
      </c>
      <c r="L1772" s="22">
        <v>40.928951263427734</v>
      </c>
    </row>
    <row r="1773" spans="1:12" x14ac:dyDescent="0.25">
      <c r="A1773" s="9">
        <v>1766</v>
      </c>
      <c r="B1773" s="10">
        <v>44567</v>
      </c>
      <c r="C1773" s="3">
        <v>39.782131634952194</v>
      </c>
      <c r="D1773" s="3">
        <v>40.266346924398164</v>
      </c>
      <c r="E1773" s="3">
        <v>39.510288345572086</v>
      </c>
      <c r="F1773" s="3">
        <v>39.850090026855469</v>
      </c>
      <c r="G1773" s="3">
        <v>288000</v>
      </c>
      <c r="H1773" s="3">
        <v>0</v>
      </c>
      <c r="I1773" s="3">
        <v>0</v>
      </c>
      <c r="J1773" s="3" t="str">
        <v>AB</v>
      </c>
      <c r="K1773" s="23">
        <v>44566</v>
      </c>
      <c r="L1773" s="22">
        <v>39.773635864257813</v>
      </c>
    </row>
    <row r="1774" spans="1:12" x14ac:dyDescent="0.25">
      <c r="A1774" s="9">
        <v>1767</v>
      </c>
      <c r="B1774" s="10">
        <v>44568</v>
      </c>
      <c r="C1774" s="3">
        <v>39.994501709694518</v>
      </c>
      <c r="D1774" s="3">
        <v>41.455640973070594</v>
      </c>
      <c r="E1774" s="3">
        <v>39.73115527868574</v>
      </c>
      <c r="F1774" s="3">
        <v>41.302730560302734</v>
      </c>
      <c r="G1774" s="3">
        <v>263100</v>
      </c>
      <c r="H1774" s="3">
        <v>0</v>
      </c>
      <c r="I1774" s="3">
        <v>0</v>
      </c>
      <c r="J1774" s="3" t="str">
        <v>AB</v>
      </c>
      <c r="K1774" s="23">
        <v>44567</v>
      </c>
      <c r="L1774" s="22">
        <v>39.850090026855469</v>
      </c>
    </row>
    <row r="1775" spans="1:12" x14ac:dyDescent="0.25">
      <c r="A1775" s="9">
        <v>1768</v>
      </c>
      <c r="B1775" s="10">
        <v>44571</v>
      </c>
      <c r="C1775" s="3">
        <v>40.784539059085958</v>
      </c>
      <c r="D1775" s="3">
        <v>42.678929023518819</v>
      </c>
      <c r="E1775" s="3">
        <v>40.784539059085958</v>
      </c>
      <c r="F1775" s="3">
        <v>42.390098571777344</v>
      </c>
      <c r="G1775" s="3">
        <v>366800</v>
      </c>
      <c r="H1775" s="3">
        <v>0</v>
      </c>
      <c r="I1775" s="3">
        <v>0</v>
      </c>
      <c r="J1775" s="3" t="str">
        <v>AB</v>
      </c>
      <c r="K1775" s="23">
        <v>44568</v>
      </c>
      <c r="L1775" s="22">
        <v>41.302730560302734</v>
      </c>
    </row>
    <row r="1776" spans="1:12" x14ac:dyDescent="0.25">
      <c r="A1776" s="9">
        <v>1769</v>
      </c>
      <c r="B1776" s="10">
        <v>44572</v>
      </c>
      <c r="C1776" s="3">
        <v>42.47504511806828</v>
      </c>
      <c r="D1776" s="3">
        <v>43.817258099281844</v>
      </c>
      <c r="E1776" s="3">
        <v>42.271163475642489</v>
      </c>
      <c r="F1776" s="3">
        <v>43.417991638183594</v>
      </c>
      <c r="G1776" s="3">
        <v>269600</v>
      </c>
      <c r="H1776" s="3">
        <v>0</v>
      </c>
      <c r="I1776" s="3">
        <v>0</v>
      </c>
      <c r="J1776" s="3" t="str">
        <v>AB</v>
      </c>
      <c r="K1776" s="23">
        <v>44571</v>
      </c>
      <c r="L1776" s="22">
        <v>42.390098571777344</v>
      </c>
    </row>
    <row r="1777" spans="1:12" x14ac:dyDescent="0.25">
      <c r="A1777" s="9">
        <v>1770</v>
      </c>
      <c r="B1777" s="10">
        <v>44573</v>
      </c>
      <c r="C1777" s="3">
        <v>44.21652151306003</v>
      </c>
      <c r="D1777" s="3">
        <v>44.615787975903451</v>
      </c>
      <c r="E1777" s="3">
        <v>43.13765497347476</v>
      </c>
      <c r="F1777" s="3">
        <v>43.468959808349609</v>
      </c>
      <c r="G1777" s="3">
        <v>273400</v>
      </c>
      <c r="H1777" s="3">
        <v>0</v>
      </c>
      <c r="I1777" s="3">
        <v>0</v>
      </c>
      <c r="J1777" s="3" t="str">
        <v>AB</v>
      </c>
      <c r="K1777" s="23">
        <v>44572</v>
      </c>
      <c r="L1777" s="22">
        <v>43.417991638183594</v>
      </c>
    </row>
    <row r="1778" spans="1:12" x14ac:dyDescent="0.25">
      <c r="A1778" s="9">
        <v>1771</v>
      </c>
      <c r="B1778" s="10">
        <v>44574</v>
      </c>
      <c r="C1778" s="3">
        <v>43.749298215762337</v>
      </c>
      <c r="D1778" s="3">
        <v>44.292978296454287</v>
      </c>
      <c r="E1778" s="3">
        <v>42.8573228808403</v>
      </c>
      <c r="F1778" s="3">
        <v>42.908290863037109</v>
      </c>
      <c r="G1778" s="3">
        <v>237000</v>
      </c>
      <c r="H1778" s="3">
        <v>0</v>
      </c>
      <c r="I1778" s="3">
        <v>0</v>
      </c>
      <c r="J1778" s="3" t="str">
        <v>AB</v>
      </c>
      <c r="K1778" s="23">
        <v>44573</v>
      </c>
      <c r="L1778" s="22">
        <v>43.468959808349609</v>
      </c>
    </row>
    <row r="1779" spans="1:12" x14ac:dyDescent="0.25">
      <c r="A1779" s="9">
        <v>1772</v>
      </c>
      <c r="B1779" s="10">
        <v>44575</v>
      </c>
      <c r="C1779" s="3">
        <v>42.857323932752323</v>
      </c>
      <c r="D1779" s="3">
        <v>43.180135203807254</v>
      </c>
      <c r="E1779" s="3">
        <v>42.356118238452169</v>
      </c>
      <c r="F1779" s="3">
        <v>42.831836700439453</v>
      </c>
      <c r="G1779" s="3">
        <v>240700</v>
      </c>
      <c r="H1779" s="3">
        <v>0</v>
      </c>
      <c r="I1779" s="3">
        <v>0</v>
      </c>
      <c r="J1779" s="3" t="str">
        <v>AB</v>
      </c>
      <c r="K1779" s="23">
        <v>44574</v>
      </c>
      <c r="L1779" s="22">
        <v>42.908290863037109</v>
      </c>
    </row>
    <row r="1780" spans="1:12" x14ac:dyDescent="0.25">
      <c r="A1780" s="9">
        <v>1773</v>
      </c>
      <c r="B1780" s="10">
        <v>44579</v>
      </c>
      <c r="C1780" s="3">
        <v>42.806351658054595</v>
      </c>
      <c r="D1780" s="3">
        <v>43.749298215762337</v>
      </c>
      <c r="E1780" s="3">
        <v>42.432572412726103</v>
      </c>
      <c r="F1780" s="3">
        <v>42.908290863037109</v>
      </c>
      <c r="G1780" s="3">
        <v>306100</v>
      </c>
      <c r="H1780" s="3">
        <v>0</v>
      </c>
      <c r="I1780" s="3">
        <v>0</v>
      </c>
      <c r="J1780" s="3" t="str">
        <v>AB</v>
      </c>
      <c r="K1780" s="23">
        <v>44575</v>
      </c>
      <c r="L1780" s="22">
        <v>42.831836700439453</v>
      </c>
    </row>
    <row r="1781" spans="1:12" x14ac:dyDescent="0.25">
      <c r="A1781" s="9">
        <v>1774</v>
      </c>
      <c r="B1781" s="10">
        <v>44580</v>
      </c>
      <c r="C1781" s="3">
        <v>43.231099686381555</v>
      </c>
      <c r="D1781" s="3">
        <v>44.004145365098289</v>
      </c>
      <c r="E1781" s="3">
        <v>42.610964426803406</v>
      </c>
      <c r="F1781" s="3">
        <v>42.670429229736328</v>
      </c>
      <c r="G1781" s="3">
        <v>350500</v>
      </c>
      <c r="H1781" s="3">
        <v>0</v>
      </c>
      <c r="I1781" s="3">
        <v>0</v>
      </c>
      <c r="J1781" s="3" t="str">
        <v>AB</v>
      </c>
      <c r="K1781" s="23">
        <v>44579</v>
      </c>
      <c r="L1781" s="22">
        <v>42.908290863037109</v>
      </c>
    </row>
    <row r="1782" spans="1:12" x14ac:dyDescent="0.25">
      <c r="A1782" s="9">
        <v>1775</v>
      </c>
      <c r="B1782" s="10">
        <v>44581</v>
      </c>
      <c r="C1782" s="3">
        <v>42.993238103491777</v>
      </c>
      <c r="D1782" s="3">
        <v>44.046617332140919</v>
      </c>
      <c r="E1782" s="3">
        <v>42.254173278808594</v>
      </c>
      <c r="F1782" s="3">
        <v>42.254173278808594</v>
      </c>
      <c r="G1782" s="3">
        <v>361300</v>
      </c>
      <c r="H1782" s="3">
        <v>0</v>
      </c>
      <c r="I1782" s="3">
        <v>0</v>
      </c>
      <c r="J1782" s="3" t="str">
        <v>AB</v>
      </c>
      <c r="K1782" s="23">
        <v>44580</v>
      </c>
      <c r="L1782" s="22">
        <v>42.670429229736328</v>
      </c>
    </row>
    <row r="1783" spans="1:12" x14ac:dyDescent="0.25">
      <c r="A1783" s="9">
        <v>1776</v>
      </c>
      <c r="B1783" s="10">
        <v>44582</v>
      </c>
      <c r="C1783" s="3">
        <v>41.922870273736415</v>
      </c>
      <c r="D1783" s="3">
        <v>41.990831904712465</v>
      </c>
      <c r="E1783" s="3">
        <v>39.960525167842299</v>
      </c>
      <c r="F1783" s="3">
        <v>40.640125274658203</v>
      </c>
      <c r="G1783" s="3">
        <v>635600</v>
      </c>
      <c r="H1783" s="3">
        <v>0</v>
      </c>
      <c r="I1783" s="3">
        <v>0</v>
      </c>
      <c r="J1783" s="3" t="str">
        <v>AB</v>
      </c>
      <c r="K1783" s="23">
        <v>44581</v>
      </c>
      <c r="L1783" s="22">
        <v>42.254173278808594</v>
      </c>
    </row>
    <row r="1784" spans="1:12" x14ac:dyDescent="0.25">
      <c r="A1784" s="9">
        <v>1777</v>
      </c>
      <c r="B1784" s="10">
        <v>44585</v>
      </c>
      <c r="C1784" s="3">
        <v>39.739654253239799</v>
      </c>
      <c r="D1784" s="3">
        <v>39.926545503222087</v>
      </c>
      <c r="E1784" s="3">
        <v>36.970282522918033</v>
      </c>
      <c r="F1784" s="3">
        <v>38.8306884765625</v>
      </c>
      <c r="G1784" s="3">
        <v>1112300</v>
      </c>
      <c r="H1784" s="3">
        <v>0</v>
      </c>
      <c r="I1784" s="3">
        <v>0</v>
      </c>
      <c r="J1784" s="3" t="str">
        <v>AB</v>
      </c>
      <c r="K1784" s="23">
        <v>44582</v>
      </c>
      <c r="L1784" s="22">
        <v>40.640125274658203</v>
      </c>
    </row>
    <row r="1785" spans="1:12" x14ac:dyDescent="0.25">
      <c r="A1785" s="9">
        <v>1778</v>
      </c>
      <c r="B1785" s="10">
        <v>44586</v>
      </c>
      <c r="C1785" s="3">
        <v>38.737241087969693</v>
      </c>
      <c r="D1785" s="3">
        <v>39.034568357640381</v>
      </c>
      <c r="E1785" s="3">
        <v>37.522454499568781</v>
      </c>
      <c r="F1785" s="3">
        <v>38.303997039794922</v>
      </c>
      <c r="G1785" s="3">
        <v>478300</v>
      </c>
      <c r="H1785" s="3">
        <v>0</v>
      </c>
      <c r="I1785" s="3">
        <v>0</v>
      </c>
      <c r="J1785" s="3" t="str">
        <v>AB</v>
      </c>
      <c r="K1785" s="23">
        <v>44585</v>
      </c>
      <c r="L1785" s="22">
        <v>38.8306884765625</v>
      </c>
    </row>
    <row r="1786" spans="1:12" x14ac:dyDescent="0.25">
      <c r="A1786" s="9">
        <v>1779</v>
      </c>
      <c r="B1786" s="10">
        <v>44587</v>
      </c>
      <c r="C1786" s="3">
        <v>39.212962850119695</v>
      </c>
      <c r="D1786" s="3">
        <v>40.979926342297894</v>
      </c>
      <c r="E1786" s="3">
        <v>38.677776356159526</v>
      </c>
      <c r="F1786" s="3">
        <v>39.195972442626953</v>
      </c>
      <c r="G1786" s="3">
        <v>473200</v>
      </c>
      <c r="H1786" s="3">
        <v>0</v>
      </c>
      <c r="I1786" s="3">
        <v>0</v>
      </c>
      <c r="J1786" s="3" t="str">
        <v>AB</v>
      </c>
      <c r="K1786" s="23">
        <v>44586</v>
      </c>
      <c r="L1786" s="22">
        <v>38.303997039794922</v>
      </c>
    </row>
    <row r="1787" spans="1:12" x14ac:dyDescent="0.25">
      <c r="A1787" s="9">
        <v>1780</v>
      </c>
      <c r="B1787" s="10">
        <v>44588</v>
      </c>
      <c r="C1787" s="3">
        <v>39.731161476745434</v>
      </c>
      <c r="D1787" s="3">
        <v>40.461732842696868</v>
      </c>
      <c r="E1787" s="3">
        <v>38.405938772885456</v>
      </c>
      <c r="F1787" s="3">
        <v>39.255439758300781</v>
      </c>
      <c r="G1787" s="3">
        <v>501400</v>
      </c>
      <c r="H1787" s="3">
        <v>0</v>
      </c>
      <c r="I1787" s="3">
        <v>0</v>
      </c>
      <c r="J1787" s="3" t="str">
        <v>AB</v>
      </c>
      <c r="K1787" s="23">
        <v>44587</v>
      </c>
      <c r="L1787" s="22">
        <v>39.195972442626953</v>
      </c>
    </row>
    <row r="1788" spans="1:12" x14ac:dyDescent="0.25">
      <c r="A1788" s="9">
        <v>1781</v>
      </c>
      <c r="B1788" s="10">
        <v>44589</v>
      </c>
      <c r="C1788" s="3">
        <v>39.484805427137417</v>
      </c>
      <c r="D1788" s="3">
        <v>39.493302251724451</v>
      </c>
      <c r="E1788" s="3">
        <v>37.717845061957668</v>
      </c>
      <c r="F1788" s="3">
        <v>38.73724365234375</v>
      </c>
      <c r="G1788" s="3">
        <v>396700</v>
      </c>
      <c r="H1788" s="3">
        <v>0</v>
      </c>
      <c r="I1788" s="3">
        <v>0</v>
      </c>
      <c r="J1788" s="3" t="str">
        <v>AB</v>
      </c>
      <c r="K1788" s="23">
        <v>44588</v>
      </c>
      <c r="L1788" s="22">
        <v>39.255439758300781</v>
      </c>
    </row>
    <row r="1789" spans="1:12" x14ac:dyDescent="0.25">
      <c r="A1789" s="9">
        <v>1782</v>
      </c>
      <c r="B1789" s="10">
        <v>44592</v>
      </c>
      <c r="C1789" s="3">
        <v>38.533357301720464</v>
      </c>
      <c r="D1789" s="3">
        <v>40.104932505682818</v>
      </c>
      <c r="E1789" s="3">
        <v>38.507873314381229</v>
      </c>
      <c r="F1789" s="3">
        <v>39.884063720703125</v>
      </c>
      <c r="G1789" s="3">
        <v>509400</v>
      </c>
      <c r="H1789" s="3">
        <v>0</v>
      </c>
      <c r="I1789" s="3">
        <v>0</v>
      </c>
      <c r="J1789" s="3" t="str">
        <v>AB</v>
      </c>
      <c r="K1789" s="23">
        <v>44589</v>
      </c>
      <c r="L1789" s="22">
        <v>38.73724365234375</v>
      </c>
    </row>
    <row r="1790" spans="1:12" x14ac:dyDescent="0.25">
      <c r="A1790" s="9">
        <v>1783</v>
      </c>
      <c r="B1790" s="10">
        <v>44593</v>
      </c>
      <c r="C1790" s="3">
        <v>40.640120993802419</v>
      </c>
      <c r="D1790" s="3">
        <v>41.396176235532309</v>
      </c>
      <c r="E1790" s="3">
        <v>40.130421777527246</v>
      </c>
      <c r="F1790" s="3">
        <v>41.268753051757813</v>
      </c>
      <c r="G1790" s="3">
        <v>413600</v>
      </c>
      <c r="H1790" s="3">
        <v>0</v>
      </c>
      <c r="I1790" s="3">
        <v>0</v>
      </c>
      <c r="J1790" s="3" t="str">
        <v>AB</v>
      </c>
      <c r="K1790" s="23">
        <v>44592</v>
      </c>
      <c r="L1790" s="22">
        <v>39.884063720703125</v>
      </c>
    </row>
    <row r="1791" spans="1:12" x14ac:dyDescent="0.25">
      <c r="A1791" s="9">
        <v>1784</v>
      </c>
      <c r="B1791" s="10">
        <v>44594</v>
      </c>
      <c r="C1791" s="3">
        <v>41.608550962370579</v>
      </c>
      <c r="D1791" s="3">
        <v>41.62554136812615</v>
      </c>
      <c r="E1791" s="3">
        <v>40.223863678882402</v>
      </c>
      <c r="F1791" s="3">
        <v>40.393764495849609</v>
      </c>
      <c r="G1791" s="3">
        <v>354900</v>
      </c>
      <c r="H1791" s="3">
        <v>0</v>
      </c>
      <c r="I1791" s="3">
        <v>0</v>
      </c>
      <c r="J1791" s="3" t="str">
        <v>AB</v>
      </c>
      <c r="K1791" s="23">
        <v>44593</v>
      </c>
      <c r="L1791" s="22">
        <v>41.268753051757813</v>
      </c>
    </row>
    <row r="1792" spans="1:12" x14ac:dyDescent="0.25">
      <c r="A1792" s="9">
        <v>1785</v>
      </c>
      <c r="B1792" s="10">
        <v>44595</v>
      </c>
      <c r="C1792" s="3">
        <v>39.6292186068465</v>
      </c>
      <c r="D1792" s="3">
        <v>40.087946633768155</v>
      </c>
      <c r="E1792" s="3">
        <v>38.898647308349609</v>
      </c>
      <c r="F1792" s="3">
        <v>38.898647308349609</v>
      </c>
      <c r="G1792" s="3">
        <v>386100</v>
      </c>
      <c r="H1792" s="3">
        <v>0</v>
      </c>
      <c r="I1792" s="3">
        <v>0</v>
      </c>
      <c r="J1792" s="3" t="str">
        <v>AB</v>
      </c>
      <c r="K1792" s="23">
        <v>44594</v>
      </c>
      <c r="L1792" s="22">
        <v>40.393764495849609</v>
      </c>
    </row>
    <row r="1793" spans="1:12" x14ac:dyDescent="0.25">
      <c r="A1793" s="9">
        <v>1786</v>
      </c>
      <c r="B1793" s="10">
        <v>44596</v>
      </c>
      <c r="C1793" s="3">
        <v>38.907139302628032</v>
      </c>
      <c r="D1793" s="3">
        <v>40.249352236324086</v>
      </c>
      <c r="E1793" s="3">
        <v>38.822190511634794</v>
      </c>
      <c r="F1793" s="3">
        <v>39.637710571289063</v>
      </c>
      <c r="G1793" s="3">
        <v>357700</v>
      </c>
      <c r="H1793" s="3">
        <v>0</v>
      </c>
      <c r="I1793" s="3">
        <v>0</v>
      </c>
      <c r="J1793" s="3" t="str">
        <v>AB</v>
      </c>
      <c r="K1793" s="23">
        <v>44595</v>
      </c>
      <c r="L1793" s="22">
        <v>38.898647308349609</v>
      </c>
    </row>
    <row r="1794" spans="1:12" x14ac:dyDescent="0.25">
      <c r="A1794" s="9">
        <v>1787</v>
      </c>
      <c r="B1794" s="10">
        <v>44599</v>
      </c>
      <c r="C1794" s="3">
        <v>39.816105772387345</v>
      </c>
      <c r="D1794" s="3">
        <v>40.334301833331907</v>
      </c>
      <c r="E1794" s="3">
        <v>39.221454501785573</v>
      </c>
      <c r="F1794" s="3">
        <v>39.544265747070313</v>
      </c>
      <c r="G1794" s="3">
        <v>374700</v>
      </c>
      <c r="H1794" s="3">
        <v>0</v>
      </c>
      <c r="I1794" s="3">
        <v>0</v>
      </c>
      <c r="J1794" s="3" t="str">
        <v>AB</v>
      </c>
      <c r="K1794" s="23">
        <v>44596</v>
      </c>
      <c r="L1794" s="22">
        <v>39.637710571289063</v>
      </c>
    </row>
    <row r="1795" spans="1:12" x14ac:dyDescent="0.25">
      <c r="A1795" s="9">
        <v>1788</v>
      </c>
      <c r="B1795" s="10">
        <v>44600</v>
      </c>
      <c r="C1795" s="3">
        <v>39.884069604630071</v>
      </c>
      <c r="D1795" s="3">
        <v>41.387686650647211</v>
      </c>
      <c r="E1795" s="3">
        <v>39.595239156684592</v>
      </c>
      <c r="F1795" s="3">
        <v>40.801528930664063</v>
      </c>
      <c r="G1795" s="3">
        <v>351400</v>
      </c>
      <c r="H1795" s="3">
        <v>0</v>
      </c>
      <c r="I1795" s="3">
        <v>0</v>
      </c>
      <c r="J1795" s="3" t="str">
        <v>AB</v>
      </c>
      <c r="K1795" s="23">
        <v>44599</v>
      </c>
      <c r="L1795" s="22">
        <v>39.544265747070313</v>
      </c>
    </row>
    <row r="1796" spans="1:12" x14ac:dyDescent="0.25">
      <c r="A1796" s="9">
        <v>1789</v>
      </c>
      <c r="B1796" s="10">
        <v>44601</v>
      </c>
      <c r="C1796" s="3">
        <v>41.268757469419413</v>
      </c>
      <c r="D1796" s="3">
        <v>42.262672019727297</v>
      </c>
      <c r="E1796" s="3">
        <v>41.243270237465339</v>
      </c>
      <c r="F1796" s="3">
        <v>42.050296783447266</v>
      </c>
      <c r="G1796" s="3">
        <v>315500</v>
      </c>
      <c r="H1796" s="3">
        <v>0</v>
      </c>
      <c r="I1796" s="3">
        <v>0</v>
      </c>
      <c r="J1796" s="3" t="str">
        <v>AB</v>
      </c>
      <c r="K1796" s="23">
        <v>44600</v>
      </c>
      <c r="L1796" s="22">
        <v>40.801528930664063</v>
      </c>
    </row>
    <row r="1797" spans="1:12" x14ac:dyDescent="0.25">
      <c r="A1797" s="9">
        <v>1790</v>
      </c>
      <c r="B1797" s="10">
        <v>44602</v>
      </c>
      <c r="C1797" s="3">
        <v>41.846416726588757</v>
      </c>
      <c r="D1797" s="3">
        <v>43.367024254084129</v>
      </c>
      <c r="E1797" s="3">
        <v>41.685012707472737</v>
      </c>
      <c r="F1797" s="3">
        <v>41.863407135009766</v>
      </c>
      <c r="G1797" s="3">
        <v>440000</v>
      </c>
      <c r="H1797" s="3">
        <v>0</v>
      </c>
      <c r="I1797" s="3">
        <v>0</v>
      </c>
      <c r="J1797" s="3" t="str">
        <v>AB</v>
      </c>
      <c r="K1797" s="23">
        <v>44601</v>
      </c>
      <c r="L1797" s="22">
        <v>42.050296783447266</v>
      </c>
    </row>
    <row r="1798" spans="1:12" x14ac:dyDescent="0.25">
      <c r="A1798" s="9">
        <v>1791</v>
      </c>
      <c r="B1798" s="10">
        <v>44603</v>
      </c>
      <c r="C1798" s="3">
        <v>43.180131057236821</v>
      </c>
      <c r="D1798" s="3">
        <v>43.273573431447538</v>
      </c>
      <c r="E1798" s="3">
        <v>41.200792461835171</v>
      </c>
      <c r="F1798" s="3">
        <v>41.744472503662109</v>
      </c>
      <c r="G1798" s="3">
        <v>572500</v>
      </c>
      <c r="H1798" s="3">
        <v>0</v>
      </c>
      <c r="I1798" s="3">
        <v>0</v>
      </c>
      <c r="J1798" s="3" t="str">
        <v>AB</v>
      </c>
      <c r="K1798" s="23">
        <v>44602</v>
      </c>
      <c r="L1798" s="22">
        <v>41.863407135009766</v>
      </c>
    </row>
    <row r="1799" spans="1:12" x14ac:dyDescent="0.25">
      <c r="A1799" s="9">
        <v>1792</v>
      </c>
      <c r="B1799" s="10">
        <v>44606</v>
      </c>
      <c r="C1799" s="3">
        <v>41.285741096913974</v>
      </c>
      <c r="D1799" s="3">
        <v>41.617049159200384</v>
      </c>
      <c r="E1799" s="3">
        <v>39.586739352339926</v>
      </c>
      <c r="F1799" s="3">
        <v>39.637710571289063</v>
      </c>
      <c r="G1799" s="3">
        <v>943100</v>
      </c>
      <c r="H1799" s="3">
        <v>0</v>
      </c>
      <c r="I1799" s="3">
        <v>0</v>
      </c>
      <c r="J1799" s="3" t="str">
        <v>AB</v>
      </c>
      <c r="K1799" s="23">
        <v>44603</v>
      </c>
      <c r="L1799" s="22">
        <v>41.744472503662109</v>
      </c>
    </row>
    <row r="1800" spans="1:12" x14ac:dyDescent="0.25">
      <c r="A1800" s="9">
        <v>1793</v>
      </c>
      <c r="B1800" s="10">
        <v>44607</v>
      </c>
      <c r="C1800" s="3">
        <v>40.308818024624742</v>
      </c>
      <c r="D1800" s="3">
        <v>40.793033274431579</v>
      </c>
      <c r="E1800" s="3">
        <v>40.028481174426716</v>
      </c>
      <c r="F1800" s="3">
        <v>40.402263641357422</v>
      </c>
      <c r="G1800" s="3">
        <v>470300</v>
      </c>
      <c r="H1800" s="3">
        <v>0</v>
      </c>
      <c r="I1800" s="3">
        <v>0</v>
      </c>
      <c r="J1800" s="3" t="str">
        <v>AB</v>
      </c>
      <c r="K1800" s="23">
        <v>44606</v>
      </c>
      <c r="L1800" s="22">
        <v>39.637710571289063</v>
      </c>
    </row>
    <row r="1801" spans="1:12" x14ac:dyDescent="0.25">
      <c r="A1801" s="9">
        <v>1794</v>
      </c>
      <c r="B1801" s="10">
        <v>44608</v>
      </c>
      <c r="C1801" s="3">
        <v>40.368280680505755</v>
      </c>
      <c r="D1801" s="3">
        <v>40.725069481136188</v>
      </c>
      <c r="E1801" s="3">
        <v>40.130421480085474</v>
      </c>
      <c r="F1801" s="3">
        <v>40.589149475097656</v>
      </c>
      <c r="G1801" s="3">
        <v>593000</v>
      </c>
      <c r="H1801" s="3">
        <v>0</v>
      </c>
      <c r="I1801" s="3">
        <v>0</v>
      </c>
      <c r="J1801" s="3" t="str">
        <v>AB</v>
      </c>
      <c r="K1801" s="23">
        <v>44607</v>
      </c>
      <c r="L1801" s="22">
        <v>40.402263641357422</v>
      </c>
    </row>
    <row r="1802" spans="1:12" x14ac:dyDescent="0.25">
      <c r="A1802" s="9">
        <v>1795</v>
      </c>
      <c r="B1802" s="10">
        <v>44609</v>
      </c>
      <c r="C1802" s="3">
        <v>40.563665669085921</v>
      </c>
      <c r="D1802" s="3">
        <v>40.725069664298665</v>
      </c>
      <c r="E1802" s="3">
        <v>39.229949591150493</v>
      </c>
      <c r="F1802" s="3">
        <v>39.535770416259766</v>
      </c>
      <c r="G1802" s="3">
        <v>568700</v>
      </c>
      <c r="H1802" s="3">
        <v>0</v>
      </c>
      <c r="I1802" s="3">
        <v>0</v>
      </c>
      <c r="J1802" s="3" t="str">
        <v>AB</v>
      </c>
      <c r="K1802" s="23">
        <v>44608</v>
      </c>
      <c r="L1802" s="22">
        <v>40.589149475097656</v>
      </c>
    </row>
    <row r="1803" spans="1:12" x14ac:dyDescent="0.25">
      <c r="A1803" s="9">
        <v>1796</v>
      </c>
      <c r="B1803" s="10">
        <v>44610</v>
      </c>
      <c r="C1803" s="3">
        <v>39.378504777385523</v>
      </c>
      <c r="D1803" s="3">
        <v>40.121164400207569</v>
      </c>
      <c r="E1803" s="3">
        <v>39.125125533656551</v>
      </c>
      <c r="F1803" s="3">
        <v>39.308609008789063</v>
      </c>
      <c r="G1803" s="3">
        <v>458700</v>
      </c>
      <c r="H1803" s="3">
        <v>1.29</v>
      </c>
      <c r="I1803" s="3">
        <v>0</v>
      </c>
      <c r="J1803" s="3" t="str">
        <v>AB</v>
      </c>
      <c r="K1803" s="23">
        <v>44609</v>
      </c>
      <c r="L1803" s="22">
        <v>39.535770416259766</v>
      </c>
    </row>
    <row r="1804" spans="1:12" x14ac:dyDescent="0.25">
      <c r="A1804" s="9">
        <v>1797</v>
      </c>
      <c r="B1804" s="10">
        <v>44614</v>
      </c>
      <c r="C1804" s="3">
        <v>38.618371478288367</v>
      </c>
      <c r="D1804" s="3">
        <v>39.090180428389928</v>
      </c>
      <c r="E1804" s="3">
        <v>36.145745683957088</v>
      </c>
      <c r="F1804" s="3">
        <v>36.888408660888672</v>
      </c>
      <c r="G1804" s="3">
        <v>1032500</v>
      </c>
      <c r="H1804" s="3">
        <v>0</v>
      </c>
      <c r="I1804" s="3">
        <v>0</v>
      </c>
      <c r="J1804" s="3" t="str">
        <v>AB</v>
      </c>
      <c r="K1804" s="23">
        <v>44610</v>
      </c>
      <c r="L1804" s="22">
        <v>39.308609008789063</v>
      </c>
    </row>
    <row r="1805" spans="1:12" x14ac:dyDescent="0.25">
      <c r="A1805" s="9">
        <v>1798</v>
      </c>
      <c r="B1805" s="10">
        <v>44615</v>
      </c>
      <c r="C1805" s="3">
        <v>37.465059418481431</v>
      </c>
      <c r="D1805" s="3">
        <v>37.989289314097263</v>
      </c>
      <c r="E1805" s="3">
        <v>36.801031328864156</v>
      </c>
      <c r="F1805" s="3">
        <v>36.905879974365234</v>
      </c>
      <c r="G1805" s="3">
        <v>445400</v>
      </c>
      <c r="H1805" s="3">
        <v>0</v>
      </c>
      <c r="I1805" s="3">
        <v>0</v>
      </c>
      <c r="J1805" s="3" t="str">
        <v>AB</v>
      </c>
      <c r="K1805" s="23">
        <v>44614</v>
      </c>
      <c r="L1805" s="22">
        <v>36.888408660888672</v>
      </c>
    </row>
    <row r="1806" spans="1:12" x14ac:dyDescent="0.25">
      <c r="A1806" s="9">
        <v>1799</v>
      </c>
      <c r="B1806" s="10">
        <v>44616</v>
      </c>
      <c r="C1806" s="3">
        <v>35.071066388318606</v>
      </c>
      <c r="D1806" s="3">
        <v>38.364986127946665</v>
      </c>
      <c r="E1806" s="3">
        <v>34.721580925006798</v>
      </c>
      <c r="F1806" s="3">
        <v>38.338775634765625</v>
      </c>
      <c r="G1806" s="3">
        <v>743400</v>
      </c>
      <c r="H1806" s="3">
        <v>0</v>
      </c>
      <c r="I1806" s="3">
        <v>0</v>
      </c>
      <c r="J1806" s="3" t="str">
        <v>AB</v>
      </c>
      <c r="K1806" s="23">
        <v>44615</v>
      </c>
      <c r="L1806" s="22">
        <v>36.905879974365234</v>
      </c>
    </row>
    <row r="1807" spans="1:12" x14ac:dyDescent="0.25">
      <c r="A1807" s="9">
        <v>1800</v>
      </c>
      <c r="B1807" s="10">
        <v>44617</v>
      </c>
      <c r="C1807" s="3">
        <v>38.417413393707108</v>
      </c>
      <c r="D1807" s="3">
        <v>39.946421162015568</v>
      </c>
      <c r="E1807" s="3">
        <v>38.347514295900531</v>
      </c>
      <c r="F1807" s="3">
        <v>39.876522064208984</v>
      </c>
      <c r="G1807" s="3">
        <v>477600</v>
      </c>
      <c r="H1807" s="3">
        <v>0</v>
      </c>
      <c r="I1807" s="3">
        <v>0</v>
      </c>
      <c r="J1807" s="3" t="str">
        <v>AB</v>
      </c>
      <c r="K1807" s="23">
        <v>44616</v>
      </c>
      <c r="L1807" s="22">
        <v>38.338775634765625</v>
      </c>
    </row>
    <row r="1808" spans="1:12" x14ac:dyDescent="0.25">
      <c r="A1808" s="9">
        <v>1801</v>
      </c>
      <c r="B1808" s="10">
        <v>44620</v>
      </c>
      <c r="C1808" s="3">
        <v>39.160072680514439</v>
      </c>
      <c r="D1808" s="3">
        <v>39.727991180496105</v>
      </c>
      <c r="E1808" s="3">
        <v>38.758162870082217</v>
      </c>
      <c r="F1808" s="3">
        <v>39.177547454833984</v>
      </c>
      <c r="G1808" s="3">
        <v>320600</v>
      </c>
      <c r="H1808" s="3">
        <v>0</v>
      </c>
      <c r="I1808" s="3">
        <v>0</v>
      </c>
      <c r="J1808" s="3" t="str">
        <v>AB</v>
      </c>
      <c r="K1808" s="23">
        <v>44617</v>
      </c>
      <c r="L1808" s="22">
        <v>39.876522064208984</v>
      </c>
    </row>
    <row r="1809" spans="1:12" x14ac:dyDescent="0.25">
      <c r="A1809" s="9">
        <v>1802</v>
      </c>
      <c r="B1809" s="10">
        <v>44621</v>
      </c>
      <c r="C1809" s="3">
        <v>38.714479022963658</v>
      </c>
      <c r="D1809" s="3">
        <v>39.133863623121712</v>
      </c>
      <c r="E1809" s="3">
        <v>37.666015856082261</v>
      </c>
      <c r="F1809" s="3">
        <v>37.901920318603516</v>
      </c>
      <c r="G1809" s="3">
        <v>289500</v>
      </c>
      <c r="H1809" s="3">
        <v>0</v>
      </c>
      <c r="I1809" s="3">
        <v>0</v>
      </c>
      <c r="J1809" s="3" t="str">
        <v>AB</v>
      </c>
      <c r="K1809" s="23">
        <v>44620</v>
      </c>
      <c r="L1809" s="22">
        <v>39.177547454833984</v>
      </c>
    </row>
    <row r="1810" spans="1:12" x14ac:dyDescent="0.25">
      <c r="A1810" s="9">
        <v>1803</v>
      </c>
      <c r="B1810" s="10">
        <v>44622</v>
      </c>
      <c r="C1810" s="3">
        <v>37.823287513521635</v>
      </c>
      <c r="D1810" s="3">
        <v>39.963899232283886</v>
      </c>
      <c r="E1810" s="3">
        <v>37.823287513521635</v>
      </c>
      <c r="F1810" s="3">
        <v>39.151340484619141</v>
      </c>
      <c r="G1810" s="3">
        <v>341900</v>
      </c>
      <c r="H1810" s="3">
        <v>0</v>
      </c>
      <c r="I1810" s="3">
        <v>0</v>
      </c>
      <c r="J1810" s="3" t="str">
        <v>AB</v>
      </c>
      <c r="K1810" s="23">
        <v>44621</v>
      </c>
      <c r="L1810" s="22">
        <v>37.901920318603516</v>
      </c>
    </row>
    <row r="1811" spans="1:12" x14ac:dyDescent="0.25">
      <c r="A1811" s="9">
        <v>1804</v>
      </c>
      <c r="B1811" s="10">
        <v>44623</v>
      </c>
      <c r="C1811" s="3">
        <v>39.527040693065878</v>
      </c>
      <c r="D1811" s="3">
        <v>39.780416616587068</v>
      </c>
      <c r="E1811" s="3">
        <v>38.583422772180541</v>
      </c>
      <c r="F1811" s="3">
        <v>38.766902923583984</v>
      </c>
      <c r="G1811" s="3">
        <v>274800</v>
      </c>
      <c r="H1811" s="3">
        <v>0</v>
      </c>
      <c r="I1811" s="3">
        <v>0</v>
      </c>
      <c r="J1811" s="3" t="str">
        <v>AB</v>
      </c>
      <c r="K1811" s="23">
        <v>44622</v>
      </c>
      <c r="L1811" s="22">
        <v>39.151340484619141</v>
      </c>
    </row>
    <row r="1812" spans="1:12" x14ac:dyDescent="0.25">
      <c r="A1812" s="9">
        <v>1805</v>
      </c>
      <c r="B1812" s="10">
        <v>44624</v>
      </c>
      <c r="C1812" s="3">
        <v>38.277613405100269</v>
      </c>
      <c r="D1812" s="3">
        <v>38.443618740701567</v>
      </c>
      <c r="E1812" s="3">
        <v>37.500001044512338</v>
      </c>
      <c r="F1812" s="3">
        <v>37.762119293212891</v>
      </c>
      <c r="G1812" s="3">
        <v>333700</v>
      </c>
      <c r="H1812" s="3">
        <v>0</v>
      </c>
      <c r="I1812" s="3">
        <v>0</v>
      </c>
      <c r="J1812" s="3" t="str">
        <v>AB</v>
      </c>
      <c r="K1812" s="23">
        <v>44623</v>
      </c>
      <c r="L1812" s="22">
        <v>38.766902923583984</v>
      </c>
    </row>
    <row r="1813" spans="1:12" x14ac:dyDescent="0.25">
      <c r="A1813" s="9">
        <v>1806</v>
      </c>
      <c r="B1813" s="10">
        <v>44627</v>
      </c>
      <c r="C1813" s="3">
        <v>37.561164790874869</v>
      </c>
      <c r="D1813" s="3">
        <v>37.692220583570254</v>
      </c>
      <c r="E1813" s="3">
        <v>35.272019615842105</v>
      </c>
      <c r="F1813" s="3">
        <v>35.787513732910156</v>
      </c>
      <c r="G1813" s="3">
        <v>700400</v>
      </c>
      <c r="H1813" s="3">
        <v>0</v>
      </c>
      <c r="I1813" s="3">
        <v>0</v>
      </c>
      <c r="J1813" s="3" t="str">
        <v>AB</v>
      </c>
      <c r="K1813" s="23">
        <v>44624</v>
      </c>
      <c r="L1813" s="22">
        <v>37.762119293212891</v>
      </c>
    </row>
    <row r="1814" spans="1:12" x14ac:dyDescent="0.25">
      <c r="A1814" s="9">
        <v>1807</v>
      </c>
      <c r="B1814" s="10">
        <v>44628</v>
      </c>
      <c r="C1814" s="3">
        <v>36.503967585388665</v>
      </c>
      <c r="D1814" s="3">
        <v>38.198984059916683</v>
      </c>
      <c r="E1814" s="3">
        <v>35.927313355129769</v>
      </c>
      <c r="F1814" s="3">
        <v>37.403900146484375</v>
      </c>
      <c r="G1814" s="3">
        <v>557100</v>
      </c>
      <c r="H1814" s="3">
        <v>0</v>
      </c>
      <c r="I1814" s="3">
        <v>0</v>
      </c>
      <c r="J1814" s="3" t="str">
        <v>AB</v>
      </c>
      <c r="K1814" s="23">
        <v>44627</v>
      </c>
      <c r="L1814" s="22">
        <v>35.787513732910156</v>
      </c>
    </row>
    <row r="1815" spans="1:12" x14ac:dyDescent="0.25">
      <c r="A1815" s="9">
        <v>1808</v>
      </c>
      <c r="B1815" s="10">
        <v>44629</v>
      </c>
      <c r="C1815" s="3">
        <v>38.609629651680308</v>
      </c>
      <c r="D1815" s="3">
        <v>39.500823160226766</v>
      </c>
      <c r="E1815" s="3">
        <v>38.487309562208289</v>
      </c>
      <c r="F1815" s="3">
        <v>39.212497711181641</v>
      </c>
      <c r="G1815" s="3">
        <v>413900</v>
      </c>
      <c r="H1815" s="3">
        <v>0</v>
      </c>
      <c r="I1815" s="3">
        <v>0</v>
      </c>
      <c r="J1815" s="3" t="str">
        <v>AB</v>
      </c>
      <c r="K1815" s="23">
        <v>44628</v>
      </c>
      <c r="L1815" s="22">
        <v>37.403900146484375</v>
      </c>
    </row>
    <row r="1816" spans="1:12" x14ac:dyDescent="0.25">
      <c r="A1816" s="9">
        <v>1809</v>
      </c>
      <c r="B1816" s="10">
        <v>44630</v>
      </c>
      <c r="C1816" s="3">
        <v>39.212493373309222</v>
      </c>
      <c r="D1816" s="3">
        <v>39.448397805325158</v>
      </c>
      <c r="E1816" s="3">
        <v>38.58341488793338</v>
      </c>
      <c r="F1816" s="3">
        <v>38.740684509277344</v>
      </c>
      <c r="G1816" s="3">
        <v>398100</v>
      </c>
      <c r="H1816" s="3">
        <v>0</v>
      </c>
      <c r="I1816" s="3">
        <v>0</v>
      </c>
      <c r="J1816" s="3" t="str">
        <v>AB</v>
      </c>
      <c r="K1816" s="23">
        <v>44629</v>
      </c>
      <c r="L1816" s="22">
        <v>39.212497711181641</v>
      </c>
    </row>
    <row r="1817" spans="1:12" x14ac:dyDescent="0.25">
      <c r="A1817" s="9">
        <v>1810</v>
      </c>
      <c r="B1817" s="10">
        <v>44631</v>
      </c>
      <c r="C1817" s="3">
        <v>38.976596895756465</v>
      </c>
      <c r="D1817" s="3">
        <v>39.273661426368434</v>
      </c>
      <c r="E1817" s="3">
        <v>38.295097286164847</v>
      </c>
      <c r="F1817" s="3">
        <v>38.3038330078125</v>
      </c>
      <c r="G1817" s="3">
        <v>210600</v>
      </c>
      <c r="H1817" s="3">
        <v>0</v>
      </c>
      <c r="I1817" s="3">
        <v>0</v>
      </c>
      <c r="J1817" s="3" t="str">
        <v>AB</v>
      </c>
      <c r="K1817" s="23">
        <v>44630</v>
      </c>
      <c r="L1817" s="22">
        <v>38.740684509277344</v>
      </c>
    </row>
    <row r="1818" spans="1:12" x14ac:dyDescent="0.25">
      <c r="A1818" s="9">
        <v>1811</v>
      </c>
      <c r="B1818" s="10">
        <v>44634</v>
      </c>
      <c r="C1818" s="3">
        <v>38.312563025223298</v>
      </c>
      <c r="D1818" s="3">
        <v>38.644577058938928</v>
      </c>
      <c r="E1818" s="3">
        <v>36.975774502986042</v>
      </c>
      <c r="F1818" s="3">
        <v>37.080619812011719</v>
      </c>
      <c r="G1818" s="3">
        <v>507500</v>
      </c>
      <c r="H1818" s="3">
        <v>0</v>
      </c>
      <c r="I1818" s="3">
        <v>0</v>
      </c>
      <c r="J1818" s="3" t="str">
        <v>AB</v>
      </c>
      <c r="K1818" s="23">
        <v>44631</v>
      </c>
      <c r="L1818" s="22">
        <v>38.3038330078125</v>
      </c>
    </row>
    <row r="1819" spans="1:12" x14ac:dyDescent="0.25">
      <c r="A1819" s="9">
        <v>1812</v>
      </c>
      <c r="B1819" s="10">
        <v>44635</v>
      </c>
      <c r="C1819" s="3">
        <v>37.220416903646296</v>
      </c>
      <c r="D1819" s="3">
        <v>37.998029380122134</v>
      </c>
      <c r="E1819" s="3">
        <v>37.115571588324123</v>
      </c>
      <c r="F1819" s="3">
        <v>37.438846588134766</v>
      </c>
      <c r="G1819" s="3">
        <v>397100</v>
      </c>
      <c r="H1819" s="3">
        <v>0</v>
      </c>
      <c r="I1819" s="3">
        <v>0</v>
      </c>
      <c r="J1819" s="3" t="str">
        <v>AB</v>
      </c>
      <c r="K1819" s="23">
        <v>44634</v>
      </c>
      <c r="L1819" s="22">
        <v>37.080619812011719</v>
      </c>
    </row>
    <row r="1820" spans="1:12" x14ac:dyDescent="0.25">
      <c r="A1820" s="9">
        <v>1813</v>
      </c>
      <c r="B1820" s="10">
        <v>44636</v>
      </c>
      <c r="C1820" s="3">
        <v>38.155290910654195</v>
      </c>
      <c r="D1820" s="3">
        <v>39.142593894191918</v>
      </c>
      <c r="E1820" s="3">
        <v>37.744645421638374</v>
      </c>
      <c r="F1820" s="3">
        <v>38.932903289794922</v>
      </c>
      <c r="G1820" s="3">
        <v>500400</v>
      </c>
      <c r="H1820" s="3">
        <v>0</v>
      </c>
      <c r="I1820" s="3">
        <v>0</v>
      </c>
      <c r="J1820" s="3" t="str">
        <v>AB</v>
      </c>
      <c r="K1820" s="23">
        <v>44635</v>
      </c>
      <c r="L1820" s="22">
        <v>37.438846588134766</v>
      </c>
    </row>
    <row r="1821" spans="1:12" x14ac:dyDescent="0.25">
      <c r="A1821" s="9">
        <v>1814</v>
      </c>
      <c r="B1821" s="10">
        <v>44637</v>
      </c>
      <c r="C1821" s="3">
        <v>39.465876359965101</v>
      </c>
      <c r="D1821" s="3">
        <v>40.619188235397296</v>
      </c>
      <c r="E1821" s="3">
        <v>38.932910694852048</v>
      </c>
      <c r="F1821" s="3">
        <v>40.295909881591797</v>
      </c>
      <c r="G1821" s="3">
        <v>625000</v>
      </c>
      <c r="H1821" s="3">
        <v>0</v>
      </c>
      <c r="I1821" s="3">
        <v>0</v>
      </c>
      <c r="J1821" s="3" t="str">
        <v>AB</v>
      </c>
      <c r="K1821" s="23">
        <v>44636</v>
      </c>
      <c r="L1821" s="22">
        <v>38.932903289794922</v>
      </c>
    </row>
    <row r="1822" spans="1:12" x14ac:dyDescent="0.25">
      <c r="A1822" s="9">
        <v>1815</v>
      </c>
      <c r="B1822" s="10">
        <v>44638</v>
      </c>
      <c r="C1822" s="3">
        <v>40.077475944363634</v>
      </c>
      <c r="D1822" s="3">
        <v>41.056043290755284</v>
      </c>
      <c r="E1822" s="3">
        <v>40.042529729327917</v>
      </c>
      <c r="F1822" s="3">
        <v>40.697818756103516</v>
      </c>
      <c r="G1822" s="3">
        <v>386700</v>
      </c>
      <c r="H1822" s="3">
        <v>0</v>
      </c>
      <c r="I1822" s="3">
        <v>0</v>
      </c>
      <c r="J1822" s="3" t="str">
        <v>AB</v>
      </c>
      <c r="K1822" s="23">
        <v>44637</v>
      </c>
      <c r="L1822" s="22">
        <v>40.295909881591797</v>
      </c>
    </row>
    <row r="1823" spans="1:12" x14ac:dyDescent="0.25">
      <c r="A1823" s="9">
        <v>1816</v>
      </c>
      <c r="B1823" s="10">
        <v>44641</v>
      </c>
      <c r="C1823" s="3">
        <v>40.890036952998223</v>
      </c>
      <c r="D1823" s="3">
        <v>41.169626687178145</v>
      </c>
      <c r="E1823" s="3">
        <v>40.304646988612923</v>
      </c>
      <c r="F1823" s="3">
        <v>40.63665771484375</v>
      </c>
      <c r="G1823" s="3">
        <v>313800</v>
      </c>
      <c r="H1823" s="3">
        <v>0</v>
      </c>
      <c r="I1823" s="3">
        <v>0</v>
      </c>
      <c r="J1823" s="3" t="str">
        <v>AB</v>
      </c>
      <c r="K1823" s="23">
        <v>44638</v>
      </c>
      <c r="L1823" s="22">
        <v>40.697818756103516</v>
      </c>
    </row>
    <row r="1824" spans="1:12" x14ac:dyDescent="0.25">
      <c r="A1824" s="9">
        <v>1817</v>
      </c>
      <c r="B1824" s="10">
        <v>44642</v>
      </c>
      <c r="C1824" s="3">
        <v>40.680346203059308</v>
      </c>
      <c r="D1824" s="3">
        <v>41.28321094073646</v>
      </c>
      <c r="E1824" s="3">
        <v>40.435702686618811</v>
      </c>
      <c r="F1824" s="3">
        <v>41.056045532226563</v>
      </c>
      <c r="G1824" s="3">
        <v>254000</v>
      </c>
      <c r="H1824" s="3">
        <v>0</v>
      </c>
      <c r="I1824" s="3">
        <v>0</v>
      </c>
      <c r="J1824" s="3" t="str">
        <v>AB</v>
      </c>
      <c r="K1824" s="23">
        <v>44641</v>
      </c>
      <c r="L1824" s="22">
        <v>40.63665771484375</v>
      </c>
    </row>
    <row r="1825" spans="1:12" x14ac:dyDescent="0.25">
      <c r="A1825" s="9">
        <v>1818</v>
      </c>
      <c r="B1825" s="10">
        <v>44643</v>
      </c>
      <c r="C1825" s="3">
        <v>40.269693379910848</v>
      </c>
      <c r="D1825" s="3">
        <v>40.540547365774408</v>
      </c>
      <c r="E1825" s="3">
        <v>39.570719114908982</v>
      </c>
      <c r="F1825" s="3">
        <v>39.928943634033203</v>
      </c>
      <c r="G1825" s="3">
        <v>382000</v>
      </c>
      <c r="H1825" s="3">
        <v>0</v>
      </c>
      <c r="I1825" s="3">
        <v>0</v>
      </c>
      <c r="J1825" s="3" t="str">
        <v>AB</v>
      </c>
      <c r="K1825" s="23">
        <v>44642</v>
      </c>
      <c r="L1825" s="22">
        <v>41.056045532226563</v>
      </c>
    </row>
    <row r="1826" spans="1:12" x14ac:dyDescent="0.25">
      <c r="A1826" s="9">
        <v>1819</v>
      </c>
      <c r="B1826" s="10">
        <v>44644</v>
      </c>
      <c r="C1826" s="3">
        <v>39.928943988805194</v>
      </c>
      <c r="D1826" s="3">
        <v>40.409488591952893</v>
      </c>
      <c r="E1826" s="3">
        <v>39.684300494151714</v>
      </c>
      <c r="F1826" s="3">
        <v>39.946418762207031</v>
      </c>
      <c r="G1826" s="3">
        <v>204200</v>
      </c>
      <c r="H1826" s="3">
        <v>0</v>
      </c>
      <c r="I1826" s="3">
        <v>0</v>
      </c>
      <c r="J1826" s="3" t="str">
        <v>AB</v>
      </c>
      <c r="K1826" s="23">
        <v>44643</v>
      </c>
      <c r="L1826" s="22">
        <v>39.928943634033203</v>
      </c>
    </row>
    <row r="1827" spans="1:12" x14ac:dyDescent="0.25">
      <c r="A1827" s="9">
        <v>1820</v>
      </c>
      <c r="B1827" s="10">
        <v>44645</v>
      </c>
      <c r="C1827" s="3">
        <v>40.252220571708129</v>
      </c>
      <c r="D1827" s="3">
        <v>40.374540657433386</v>
      </c>
      <c r="E1827" s="3">
        <v>39.850310766333045</v>
      </c>
      <c r="F1827" s="3">
        <v>40.260959625244141</v>
      </c>
      <c r="G1827" s="3">
        <v>153900</v>
      </c>
      <c r="H1827" s="3">
        <v>0</v>
      </c>
      <c r="I1827" s="3">
        <v>0</v>
      </c>
      <c r="J1827" s="3" t="str">
        <v>AB</v>
      </c>
      <c r="K1827" s="23">
        <v>44644</v>
      </c>
      <c r="L1827" s="22">
        <v>39.946418762207031</v>
      </c>
    </row>
    <row r="1828" spans="1:12" x14ac:dyDescent="0.25">
      <c r="A1828" s="9">
        <v>1821</v>
      </c>
      <c r="B1828" s="10">
        <v>44648</v>
      </c>
      <c r="C1828" s="3">
        <v>40.313380614570761</v>
      </c>
      <c r="D1828" s="3">
        <v>40.357065883333725</v>
      </c>
      <c r="E1828" s="3">
        <v>39.640616810109485</v>
      </c>
      <c r="F1828" s="3">
        <v>40.260959625244141</v>
      </c>
      <c r="G1828" s="3">
        <v>212800</v>
      </c>
      <c r="H1828" s="3">
        <v>0</v>
      </c>
      <c r="I1828" s="3">
        <v>0</v>
      </c>
      <c r="J1828" s="3" t="str">
        <v>AB</v>
      </c>
      <c r="K1828" s="23">
        <v>44645</v>
      </c>
      <c r="L1828" s="22">
        <v>40.260959625244141</v>
      </c>
    </row>
    <row r="1829" spans="1:12" x14ac:dyDescent="0.25">
      <c r="A1829" s="9">
        <v>1822</v>
      </c>
      <c r="B1829" s="10">
        <v>44649</v>
      </c>
      <c r="C1829" s="3">
        <v>40.767715339543777</v>
      </c>
      <c r="D1829" s="3">
        <v>41.388054830794829</v>
      </c>
      <c r="E1829" s="3">
        <v>40.645395252026375</v>
      </c>
      <c r="F1829" s="3">
        <v>40.98614501953125</v>
      </c>
      <c r="G1829" s="3">
        <v>267400</v>
      </c>
      <c r="H1829" s="3">
        <v>0</v>
      </c>
      <c r="I1829" s="3">
        <v>0</v>
      </c>
      <c r="J1829" s="3" t="str">
        <v>AB</v>
      </c>
      <c r="K1829" s="23">
        <v>44648</v>
      </c>
      <c r="L1829" s="22">
        <v>40.260959625244141</v>
      </c>
    </row>
    <row r="1830" spans="1:12" x14ac:dyDescent="0.25">
      <c r="A1830" s="9">
        <v>1823</v>
      </c>
      <c r="B1830" s="10">
        <v>44650</v>
      </c>
      <c r="C1830" s="3">
        <v>41.178370792749803</v>
      </c>
      <c r="D1830" s="3">
        <v>41.676390276163417</v>
      </c>
      <c r="E1830" s="3">
        <v>40.855092414905705</v>
      </c>
      <c r="F1830" s="3">
        <v>41.134685516357422</v>
      </c>
      <c r="G1830" s="3">
        <v>242000</v>
      </c>
      <c r="H1830" s="3">
        <v>0</v>
      </c>
      <c r="I1830" s="3">
        <v>0</v>
      </c>
      <c r="J1830" s="3" t="str">
        <v>AB</v>
      </c>
      <c r="K1830" s="23">
        <v>44649</v>
      </c>
      <c r="L1830" s="22">
        <v>40.98614501953125</v>
      </c>
    </row>
    <row r="1831" spans="1:12" x14ac:dyDescent="0.25">
      <c r="A1831" s="9">
        <v>1824</v>
      </c>
      <c r="B1831" s="10">
        <v>44651</v>
      </c>
      <c r="C1831" s="3">
        <v>41.370581773543563</v>
      </c>
      <c r="D1831" s="3">
        <v>41.789969709542127</v>
      </c>
      <c r="E1831" s="3">
        <v>41.073517263111903</v>
      </c>
      <c r="F1831" s="3">
        <v>41.082256317138672</v>
      </c>
      <c r="G1831" s="3">
        <v>272700</v>
      </c>
      <c r="H1831" s="3">
        <v>0</v>
      </c>
      <c r="I1831" s="3">
        <v>0</v>
      </c>
      <c r="J1831" s="3" t="str">
        <v>AB</v>
      </c>
      <c r="K1831" s="23">
        <v>44650</v>
      </c>
      <c r="L1831" s="22">
        <v>41.134685516357422</v>
      </c>
    </row>
    <row r="1832" spans="1:12" x14ac:dyDescent="0.25">
      <c r="A1832" s="9">
        <v>1825</v>
      </c>
      <c r="B1832" s="10">
        <v>44652</v>
      </c>
      <c r="C1832" s="3">
        <v>41.117202791339651</v>
      </c>
      <c r="D1832" s="3">
        <v>41.807438024053354</v>
      </c>
      <c r="E1832" s="3">
        <v>40.977407934122311</v>
      </c>
      <c r="F1832" s="3">
        <v>41.789966583251953</v>
      </c>
      <c r="G1832" s="3">
        <v>256900</v>
      </c>
      <c r="H1832" s="3">
        <v>0</v>
      </c>
      <c r="I1832" s="3">
        <v>0</v>
      </c>
      <c r="J1832" s="3" t="str">
        <v>AB</v>
      </c>
      <c r="K1832" s="23">
        <v>44651</v>
      </c>
      <c r="L1832" s="22">
        <v>41.082256317138672</v>
      </c>
    </row>
    <row r="1833" spans="1:12" x14ac:dyDescent="0.25">
      <c r="A1833" s="9">
        <v>1826</v>
      </c>
      <c r="B1833" s="10">
        <v>44655</v>
      </c>
      <c r="C1833" s="3">
        <v>41.877332603469995</v>
      </c>
      <c r="D1833" s="3">
        <v>43.205385270315524</v>
      </c>
      <c r="E1833" s="3">
        <v>41.125934077086292</v>
      </c>
      <c r="F1833" s="3">
        <v>41.545318603515625</v>
      </c>
      <c r="G1833" s="3">
        <v>471500</v>
      </c>
      <c r="H1833" s="3">
        <v>0</v>
      </c>
      <c r="I1833" s="3">
        <v>0</v>
      </c>
      <c r="J1833" s="3" t="str">
        <v>AB</v>
      </c>
      <c r="K1833" s="23">
        <v>44652</v>
      </c>
      <c r="L1833" s="22">
        <v>41.789966583251953</v>
      </c>
    </row>
    <row r="1834" spans="1:12" x14ac:dyDescent="0.25">
      <c r="A1834" s="9">
        <v>1827</v>
      </c>
      <c r="B1834" s="10">
        <v>44656</v>
      </c>
      <c r="C1834" s="3">
        <v>41.755019677215301</v>
      </c>
      <c r="D1834" s="3">
        <v>41.929764093034755</v>
      </c>
      <c r="E1834" s="3">
        <v>41.038570572030807</v>
      </c>
      <c r="F1834" s="3">
        <v>41.283210754394531</v>
      </c>
      <c r="G1834" s="3">
        <v>185300</v>
      </c>
      <c r="H1834" s="3">
        <v>0</v>
      </c>
      <c r="I1834" s="3">
        <v>0</v>
      </c>
      <c r="J1834" s="3" t="str">
        <v>AB</v>
      </c>
      <c r="K1834" s="23">
        <v>44655</v>
      </c>
      <c r="L1834" s="22">
        <v>41.545318603515625</v>
      </c>
    </row>
    <row r="1835" spans="1:12" x14ac:dyDescent="0.25">
      <c r="A1835" s="9">
        <v>1828</v>
      </c>
      <c r="B1835" s="10">
        <v>44657</v>
      </c>
      <c r="C1835" s="3">
        <v>40.890038552785313</v>
      </c>
      <c r="D1835" s="3">
        <v>41.7462825638327</v>
      </c>
      <c r="E1835" s="3">
        <v>40.453179159415868</v>
      </c>
      <c r="F1835" s="3">
        <v>41.615226745605469</v>
      </c>
      <c r="G1835" s="3">
        <v>287100</v>
      </c>
      <c r="H1835" s="3">
        <v>0</v>
      </c>
      <c r="I1835" s="3">
        <v>0</v>
      </c>
      <c r="J1835" s="3" t="str">
        <v>AB</v>
      </c>
      <c r="K1835" s="23">
        <v>44656</v>
      </c>
      <c r="L1835" s="22">
        <v>41.283210754394531</v>
      </c>
    </row>
    <row r="1836" spans="1:12" x14ac:dyDescent="0.25">
      <c r="A1836" s="9">
        <v>1829</v>
      </c>
      <c r="B1836" s="10">
        <v>44658</v>
      </c>
      <c r="C1836" s="3">
        <v>41.728805550754267</v>
      </c>
      <c r="D1836" s="3">
        <v>42.349148389136978</v>
      </c>
      <c r="E1836" s="3">
        <v>41.527850640535704</v>
      </c>
      <c r="F1836" s="3">
        <v>41.929763793945313</v>
      </c>
      <c r="G1836" s="3">
        <v>341700</v>
      </c>
      <c r="H1836" s="3">
        <v>0</v>
      </c>
      <c r="I1836" s="3">
        <v>0</v>
      </c>
      <c r="J1836" s="3" t="str">
        <v>AB</v>
      </c>
      <c r="K1836" s="23">
        <v>44657</v>
      </c>
      <c r="L1836" s="22">
        <v>41.615226745605469</v>
      </c>
    </row>
    <row r="1837" spans="1:12" x14ac:dyDescent="0.25">
      <c r="A1837" s="9">
        <v>1830</v>
      </c>
      <c r="B1837" s="10">
        <v>44659</v>
      </c>
      <c r="C1837" s="3">
        <v>42.060816275924481</v>
      </c>
      <c r="D1837" s="3">
        <v>42.209350183095047</v>
      </c>
      <c r="E1837" s="3">
        <v>41.353106285731066</v>
      </c>
      <c r="F1837" s="3">
        <v>41.519111633300781</v>
      </c>
      <c r="G1837" s="3">
        <v>252800</v>
      </c>
      <c r="H1837" s="3">
        <v>0</v>
      </c>
      <c r="I1837" s="3">
        <v>0</v>
      </c>
      <c r="J1837" s="3" t="str">
        <v>AB</v>
      </c>
      <c r="K1837" s="23">
        <v>44658</v>
      </c>
      <c r="L1837" s="22">
        <v>41.929763793945313</v>
      </c>
    </row>
    <row r="1838" spans="1:12" x14ac:dyDescent="0.25">
      <c r="A1838" s="9">
        <v>1831</v>
      </c>
      <c r="B1838" s="10">
        <v>44662</v>
      </c>
      <c r="C1838" s="3">
        <v>41.204576222270276</v>
      </c>
      <c r="D1838" s="3">
        <v>41.720070419410163</v>
      </c>
      <c r="E1838" s="3">
        <v>41.064781355230942</v>
      </c>
      <c r="F1838" s="3">
        <v>41.309421539306641</v>
      </c>
      <c r="G1838" s="3">
        <v>168100</v>
      </c>
      <c r="H1838" s="3">
        <v>0</v>
      </c>
      <c r="I1838" s="3">
        <v>0</v>
      </c>
      <c r="J1838" s="3" t="str">
        <v>AB</v>
      </c>
      <c r="K1838" s="23">
        <v>44659</v>
      </c>
      <c r="L1838" s="22">
        <v>41.519111633300781</v>
      </c>
    </row>
    <row r="1839" spans="1:12" x14ac:dyDescent="0.25">
      <c r="A1839" s="9">
        <v>1832</v>
      </c>
      <c r="B1839" s="10">
        <v>44663</v>
      </c>
      <c r="C1839" s="3">
        <v>41.30068631930537</v>
      </c>
      <c r="D1839" s="3">
        <v>41.597750831989167</v>
      </c>
      <c r="E1839" s="3">
        <v>40.060003942929775</v>
      </c>
      <c r="F1839" s="3">
        <v>40.435703277587891</v>
      </c>
      <c r="G1839" s="3">
        <v>262700</v>
      </c>
      <c r="H1839" s="3">
        <v>0</v>
      </c>
      <c r="I1839" s="3">
        <v>0</v>
      </c>
      <c r="J1839" s="3" t="str">
        <v>AB</v>
      </c>
      <c r="K1839" s="23">
        <v>44662</v>
      </c>
      <c r="L1839" s="22">
        <v>41.309421539306641</v>
      </c>
    </row>
    <row r="1840" spans="1:12" x14ac:dyDescent="0.25">
      <c r="A1840" s="9">
        <v>1833</v>
      </c>
      <c r="B1840" s="10">
        <v>44664</v>
      </c>
      <c r="C1840" s="3">
        <v>40.409491142026653</v>
      </c>
      <c r="D1840" s="3">
        <v>40.785190461444373</v>
      </c>
      <c r="E1840" s="3">
        <v>40.068741371618124</v>
      </c>
      <c r="F1840" s="3">
        <v>40.330856323242188</v>
      </c>
      <c r="G1840" s="3">
        <v>186200</v>
      </c>
      <c r="H1840" s="3">
        <v>0</v>
      </c>
      <c r="I1840" s="3">
        <v>0</v>
      </c>
      <c r="J1840" s="3" t="str">
        <v>AB</v>
      </c>
      <c r="K1840" s="23">
        <v>44663</v>
      </c>
      <c r="L1840" s="22">
        <v>40.435703277587891</v>
      </c>
    </row>
    <row r="1841" spans="1:12" x14ac:dyDescent="0.25">
      <c r="A1841" s="9">
        <v>1834</v>
      </c>
      <c r="B1841" s="10">
        <v>44665</v>
      </c>
      <c r="C1841" s="3">
        <v>40.234749926190325</v>
      </c>
      <c r="D1841" s="3">
        <v>40.592974499560711</v>
      </c>
      <c r="E1841" s="3">
        <v>39.107651878400823</v>
      </c>
      <c r="F1841" s="3">
        <v>39.151340484619141</v>
      </c>
      <c r="G1841" s="3">
        <v>327900</v>
      </c>
      <c r="H1841" s="3">
        <v>0</v>
      </c>
      <c r="I1841" s="3">
        <v>0</v>
      </c>
      <c r="J1841" s="3" t="str">
        <v>AB</v>
      </c>
      <c r="K1841" s="23">
        <v>44664</v>
      </c>
      <c r="L1841" s="22">
        <v>40.330856323242188</v>
      </c>
    </row>
    <row r="1842" spans="1:12" x14ac:dyDescent="0.25">
      <c r="A1842" s="9">
        <v>1835</v>
      </c>
      <c r="B1842" s="10">
        <v>44669</v>
      </c>
      <c r="C1842" s="3">
        <v>38.89795745862321</v>
      </c>
      <c r="D1842" s="3">
        <v>39.195021954025364</v>
      </c>
      <c r="E1842" s="3">
        <v>37.063146163619663</v>
      </c>
      <c r="F1842" s="3">
        <v>37.124309539794922</v>
      </c>
      <c r="G1842" s="3">
        <v>673500</v>
      </c>
      <c r="H1842" s="3">
        <v>0</v>
      </c>
      <c r="I1842" s="3">
        <v>0</v>
      </c>
      <c r="J1842" s="3" t="str">
        <v>AB</v>
      </c>
      <c r="K1842" s="23">
        <v>44665</v>
      </c>
      <c r="L1842" s="22">
        <v>39.151340484619141</v>
      </c>
    </row>
    <row r="1843" spans="1:12" x14ac:dyDescent="0.25">
      <c r="A1843" s="9">
        <v>1836</v>
      </c>
      <c r="B1843" s="10">
        <v>44670</v>
      </c>
      <c r="C1843" s="3">
        <v>36.905877814331419</v>
      </c>
      <c r="D1843" s="3">
        <v>39.046485873620512</v>
      </c>
      <c r="E1843" s="3">
        <v>36.905877814331419</v>
      </c>
      <c r="F1843" s="3">
        <v>38.574680328369141</v>
      </c>
      <c r="G1843" s="3">
        <v>444000</v>
      </c>
      <c r="H1843" s="3">
        <v>0</v>
      </c>
      <c r="I1843" s="3">
        <v>0</v>
      </c>
      <c r="J1843" s="3" t="str">
        <v>AB</v>
      </c>
      <c r="K1843" s="23">
        <v>44669</v>
      </c>
      <c r="L1843" s="22">
        <v>37.124309539794922</v>
      </c>
    </row>
    <row r="1844" spans="1:12" x14ac:dyDescent="0.25">
      <c r="A1844" s="9">
        <v>1837</v>
      </c>
      <c r="B1844" s="10">
        <v>44671</v>
      </c>
      <c r="C1844" s="3">
        <v>38.758161807874181</v>
      </c>
      <c r="D1844" s="3">
        <v>38.9853272018577</v>
      </c>
      <c r="E1844" s="3">
        <v>38.478572092368786</v>
      </c>
      <c r="F1844" s="3">
        <v>38.653316497802734</v>
      </c>
      <c r="G1844" s="3">
        <v>233600</v>
      </c>
      <c r="H1844" s="3">
        <v>0</v>
      </c>
      <c r="I1844" s="3">
        <v>0</v>
      </c>
      <c r="J1844" s="3" t="str">
        <v>AB</v>
      </c>
      <c r="K1844" s="23">
        <v>44670</v>
      </c>
      <c r="L1844" s="22">
        <v>38.574680328369141</v>
      </c>
    </row>
    <row r="1845" spans="1:12" x14ac:dyDescent="0.25">
      <c r="A1845" s="9">
        <v>1838</v>
      </c>
      <c r="B1845" s="10">
        <v>44672</v>
      </c>
      <c r="C1845" s="3">
        <v>39.037753054767897</v>
      </c>
      <c r="D1845" s="3">
        <v>39.14259836895225</v>
      </c>
      <c r="E1845" s="3">
        <v>37.578641045073937</v>
      </c>
      <c r="F1845" s="3">
        <v>37.631065368652344</v>
      </c>
      <c r="G1845" s="3">
        <v>316000</v>
      </c>
      <c r="H1845" s="3">
        <v>0</v>
      </c>
      <c r="I1845" s="3">
        <v>0</v>
      </c>
      <c r="J1845" s="3" t="str">
        <v>AB</v>
      </c>
      <c r="K1845" s="23">
        <v>44671</v>
      </c>
      <c r="L1845" s="22">
        <v>38.653316497802734</v>
      </c>
    </row>
    <row r="1846" spans="1:12" x14ac:dyDescent="0.25">
      <c r="A1846" s="9">
        <v>1839</v>
      </c>
      <c r="B1846" s="10">
        <v>44673</v>
      </c>
      <c r="C1846" s="3">
        <v>37.569904305567462</v>
      </c>
      <c r="D1846" s="3">
        <v>37.65727484285658</v>
      </c>
      <c r="E1846" s="3">
        <v>36.748609922943707</v>
      </c>
      <c r="F1846" s="3">
        <v>36.897140502929688</v>
      </c>
      <c r="G1846" s="3">
        <v>392900</v>
      </c>
      <c r="H1846" s="3">
        <v>0</v>
      </c>
      <c r="I1846" s="3">
        <v>0</v>
      </c>
      <c r="J1846" s="3" t="str">
        <v>AB</v>
      </c>
      <c r="K1846" s="23">
        <v>44672</v>
      </c>
      <c r="L1846" s="22">
        <v>37.631065368652344</v>
      </c>
    </row>
    <row r="1847" spans="1:12" x14ac:dyDescent="0.25">
      <c r="A1847" s="9">
        <v>1840</v>
      </c>
      <c r="B1847" s="10">
        <v>44676</v>
      </c>
      <c r="C1847" s="3">
        <v>36.827244092047764</v>
      </c>
      <c r="D1847" s="3">
        <v>36.984513722780314</v>
      </c>
      <c r="E1847" s="3">
        <v>34.153663702566632</v>
      </c>
      <c r="F1847" s="3">
        <v>35.499191284179688</v>
      </c>
      <c r="G1847" s="3">
        <v>2226000</v>
      </c>
      <c r="H1847" s="3">
        <v>0</v>
      </c>
      <c r="I1847" s="3">
        <v>0</v>
      </c>
      <c r="J1847" s="3" t="str">
        <v>AB</v>
      </c>
      <c r="K1847" s="23">
        <v>44673</v>
      </c>
      <c r="L1847" s="22">
        <v>36.897140502929688</v>
      </c>
    </row>
    <row r="1848" spans="1:12" x14ac:dyDescent="0.25">
      <c r="A1848" s="9">
        <v>1841</v>
      </c>
      <c r="B1848" s="10">
        <v>44677</v>
      </c>
      <c r="C1848" s="3">
        <v>35.368133477027797</v>
      </c>
      <c r="D1848" s="3">
        <v>35.534138834386653</v>
      </c>
      <c r="E1848" s="3">
        <v>34.101240663159906</v>
      </c>
      <c r="F1848" s="3">
        <v>34.2322998046875</v>
      </c>
      <c r="G1848" s="3">
        <v>721100</v>
      </c>
      <c r="H1848" s="3">
        <v>0</v>
      </c>
      <c r="I1848" s="3">
        <v>0</v>
      </c>
      <c r="J1848" s="3" t="str">
        <v>AB</v>
      </c>
      <c r="K1848" s="23">
        <v>44676</v>
      </c>
      <c r="L1848" s="22">
        <v>35.499191284179688</v>
      </c>
    </row>
    <row r="1849" spans="1:12" x14ac:dyDescent="0.25">
      <c r="A1849" s="9">
        <v>1842</v>
      </c>
      <c r="B1849" s="10">
        <v>44678</v>
      </c>
      <c r="C1849" s="3">
        <v>34.503152584567538</v>
      </c>
      <c r="D1849" s="3">
        <v>35.202126870985175</v>
      </c>
      <c r="E1849" s="3">
        <v>34.28472291175126</v>
      </c>
      <c r="F1849" s="3">
        <v>34.607997894287109</v>
      </c>
      <c r="G1849" s="3">
        <v>447800</v>
      </c>
      <c r="H1849" s="3">
        <v>0</v>
      </c>
      <c r="I1849" s="3">
        <v>0</v>
      </c>
      <c r="J1849" s="3" t="str">
        <v>AB</v>
      </c>
      <c r="K1849" s="23">
        <v>44677</v>
      </c>
      <c r="L1849" s="22">
        <v>34.2322998046875</v>
      </c>
    </row>
    <row r="1850" spans="1:12" x14ac:dyDescent="0.25">
      <c r="A1850" s="9">
        <v>1843</v>
      </c>
      <c r="B1850" s="10">
        <v>44679</v>
      </c>
      <c r="C1850" s="3">
        <v>35.018648576895984</v>
      </c>
      <c r="D1850" s="3">
        <v>35.403083621285141</v>
      </c>
      <c r="E1850" s="3">
        <v>33.95271065126235</v>
      </c>
      <c r="F1850" s="3">
        <v>34.957485198974609</v>
      </c>
      <c r="G1850" s="3">
        <v>507000</v>
      </c>
      <c r="H1850" s="3">
        <v>0</v>
      </c>
      <c r="I1850" s="3">
        <v>0</v>
      </c>
      <c r="J1850" s="3" t="str">
        <v>AB</v>
      </c>
      <c r="K1850" s="23">
        <v>44678</v>
      </c>
      <c r="L1850" s="22">
        <v>34.607997894287109</v>
      </c>
    </row>
    <row r="1851" spans="1:12" x14ac:dyDescent="0.25">
      <c r="A1851" s="9">
        <v>1844</v>
      </c>
      <c r="B1851" s="10">
        <v>44680</v>
      </c>
      <c r="C1851" s="3">
        <v>34.905065455598461</v>
      </c>
      <c r="D1851" s="3">
        <v>36.521443843552277</v>
      </c>
      <c r="E1851" s="3">
        <v>34.765270586007709</v>
      </c>
      <c r="F1851" s="3">
        <v>34.782745361328125</v>
      </c>
      <c r="G1851" s="3">
        <v>455000</v>
      </c>
      <c r="H1851" s="3">
        <v>0</v>
      </c>
      <c r="I1851" s="3">
        <v>0</v>
      </c>
      <c r="J1851" s="3" t="str">
        <v>AB</v>
      </c>
      <c r="K1851" s="23">
        <v>44679</v>
      </c>
      <c r="L1851" s="22">
        <v>34.957485198974609</v>
      </c>
    </row>
    <row r="1852" spans="1:12" x14ac:dyDescent="0.25">
      <c r="A1852" s="9">
        <v>1845</v>
      </c>
      <c r="B1852" s="10">
        <v>44683</v>
      </c>
      <c r="C1852" s="3">
        <v>34.89632504701342</v>
      </c>
      <c r="D1852" s="3">
        <v>35.306973918673158</v>
      </c>
      <c r="E1852" s="3">
        <v>33.795440908336701</v>
      </c>
      <c r="F1852" s="3">
        <v>34.704109191894531</v>
      </c>
      <c r="G1852" s="3">
        <v>621600</v>
      </c>
      <c r="H1852" s="3">
        <v>0</v>
      </c>
      <c r="I1852" s="3">
        <v>0</v>
      </c>
      <c r="J1852" s="3" t="str">
        <v>AB</v>
      </c>
      <c r="K1852" s="23">
        <v>44680</v>
      </c>
      <c r="L1852" s="22">
        <v>34.782745361328125</v>
      </c>
    </row>
    <row r="1853" spans="1:12" x14ac:dyDescent="0.25">
      <c r="A1853" s="9">
        <v>1846</v>
      </c>
      <c r="B1853" s="10">
        <v>44684</v>
      </c>
      <c r="C1853" s="3">
        <v>34.730322527999292</v>
      </c>
      <c r="D1853" s="3">
        <v>36.110799840888816</v>
      </c>
      <c r="E1853" s="3">
        <v>34.459468498350994</v>
      </c>
      <c r="F1853" s="3">
        <v>35.106021881103516</v>
      </c>
      <c r="G1853" s="3">
        <v>717000</v>
      </c>
      <c r="H1853" s="3">
        <v>0</v>
      </c>
      <c r="I1853" s="3">
        <v>0</v>
      </c>
      <c r="J1853" s="3" t="str">
        <v>AB</v>
      </c>
      <c r="K1853" s="23">
        <v>44683</v>
      </c>
      <c r="L1853" s="22">
        <v>34.704109191894531</v>
      </c>
    </row>
    <row r="1854" spans="1:12" x14ac:dyDescent="0.25">
      <c r="A1854" s="9">
        <v>1847</v>
      </c>
      <c r="B1854" s="10">
        <v>44685</v>
      </c>
      <c r="C1854" s="3">
        <v>35.368135658909438</v>
      </c>
      <c r="D1854" s="3">
        <v>36.975778340358616</v>
      </c>
      <c r="E1854" s="3">
        <v>35.062335420443269</v>
      </c>
      <c r="F1854" s="3">
        <v>36.608818054199219</v>
      </c>
      <c r="G1854" s="3">
        <v>571400</v>
      </c>
      <c r="H1854" s="3">
        <v>0</v>
      </c>
      <c r="I1854" s="3">
        <v>0</v>
      </c>
      <c r="J1854" s="3" t="str">
        <v>AB</v>
      </c>
      <c r="K1854" s="23">
        <v>44684</v>
      </c>
      <c r="L1854" s="22">
        <v>35.106021881103516</v>
      </c>
    </row>
    <row r="1855" spans="1:12" x14ac:dyDescent="0.25">
      <c r="A1855" s="9">
        <v>1848</v>
      </c>
      <c r="B1855" s="10">
        <v>44686</v>
      </c>
      <c r="C1855" s="3">
        <v>36.512706215498596</v>
      </c>
      <c r="D1855" s="3">
        <v>36.512706215498596</v>
      </c>
      <c r="E1855" s="3">
        <v>35.210863852383362</v>
      </c>
      <c r="F1855" s="3">
        <v>36.049633026123047</v>
      </c>
      <c r="G1855" s="3">
        <v>577300</v>
      </c>
      <c r="H1855" s="3">
        <v>0</v>
      </c>
      <c r="I1855" s="3">
        <v>0</v>
      </c>
      <c r="J1855" s="3" t="str">
        <v>AB</v>
      </c>
      <c r="K1855" s="23">
        <v>44685</v>
      </c>
      <c r="L1855" s="22">
        <v>36.608818054199219</v>
      </c>
    </row>
    <row r="1856" spans="1:12" x14ac:dyDescent="0.25">
      <c r="A1856" s="9">
        <v>1849</v>
      </c>
      <c r="B1856" s="10">
        <v>44687</v>
      </c>
      <c r="C1856" s="3">
        <v>35.576243364349487</v>
      </c>
      <c r="D1856" s="3">
        <v>36.174687170934568</v>
      </c>
      <c r="E1856" s="3">
        <v>34.611583404289249</v>
      </c>
      <c r="F1856" s="3">
        <v>35.638767242431641</v>
      </c>
      <c r="G1856" s="3">
        <v>502100</v>
      </c>
      <c r="H1856" s="3">
        <v>0.9</v>
      </c>
      <c r="I1856" s="3">
        <v>0</v>
      </c>
      <c r="J1856" s="3" t="str">
        <v>AB</v>
      </c>
      <c r="K1856" s="23">
        <v>44686</v>
      </c>
      <c r="L1856" s="22">
        <v>36.049633026123047</v>
      </c>
    </row>
    <row r="1857" spans="1:12" x14ac:dyDescent="0.25">
      <c r="A1857" s="9">
        <v>1850</v>
      </c>
      <c r="B1857" s="10">
        <v>44690</v>
      </c>
      <c r="C1857" s="3">
        <v>34.906336565524931</v>
      </c>
      <c r="D1857" s="3">
        <v>35.513710804211819</v>
      </c>
      <c r="E1857" s="3">
        <v>34.388277758595002</v>
      </c>
      <c r="F1857" s="3">
        <v>34.468666076660156</v>
      </c>
      <c r="G1857" s="3">
        <v>507300</v>
      </c>
      <c r="H1857" s="3">
        <v>0</v>
      </c>
      <c r="I1857" s="3">
        <v>0</v>
      </c>
      <c r="J1857" s="3" t="str">
        <v>AB</v>
      </c>
      <c r="K1857" s="23">
        <v>44687</v>
      </c>
      <c r="L1857" s="22">
        <v>35.638767242431641</v>
      </c>
    </row>
    <row r="1858" spans="1:12" x14ac:dyDescent="0.25">
      <c r="A1858" s="9">
        <v>1851</v>
      </c>
      <c r="B1858" s="10">
        <v>44691</v>
      </c>
      <c r="C1858" s="3">
        <v>34.95099272014577</v>
      </c>
      <c r="D1858" s="3">
        <v>35.370795313230374</v>
      </c>
      <c r="E1858" s="3">
        <v>34.164974062188769</v>
      </c>
      <c r="F1858" s="3">
        <v>35.183223724365234</v>
      </c>
      <c r="G1858" s="3">
        <v>620400</v>
      </c>
      <c r="H1858" s="3">
        <v>0</v>
      </c>
      <c r="I1858" s="3">
        <v>0</v>
      </c>
      <c r="J1858" s="3" t="str">
        <v>AB</v>
      </c>
      <c r="K1858" s="23">
        <v>44690</v>
      </c>
      <c r="L1858" s="22">
        <v>34.468666076660156</v>
      </c>
    </row>
    <row r="1859" spans="1:12" x14ac:dyDescent="0.25">
      <c r="A1859" s="9">
        <v>1852</v>
      </c>
      <c r="B1859" s="10">
        <v>44692</v>
      </c>
      <c r="C1859" s="3">
        <v>34.942058401114302</v>
      </c>
      <c r="D1859" s="3">
        <v>35.201087777479493</v>
      </c>
      <c r="E1859" s="3">
        <v>32.717987512820621</v>
      </c>
      <c r="F1859" s="3">
        <v>32.941287994384766</v>
      </c>
      <c r="G1859" s="3">
        <v>914900</v>
      </c>
      <c r="H1859" s="3">
        <v>0</v>
      </c>
      <c r="I1859" s="3">
        <v>0</v>
      </c>
      <c r="J1859" s="3" t="str">
        <v>AB</v>
      </c>
      <c r="K1859" s="23">
        <v>44691</v>
      </c>
      <c r="L1859" s="22">
        <v>35.183223724365234</v>
      </c>
    </row>
    <row r="1860" spans="1:12" x14ac:dyDescent="0.25">
      <c r="A1860" s="9">
        <v>1853</v>
      </c>
      <c r="B1860" s="10">
        <v>44693</v>
      </c>
      <c r="C1860" s="3">
        <v>32.441097905201723</v>
      </c>
      <c r="D1860" s="3">
        <v>33.378959368199546</v>
      </c>
      <c r="E1860" s="3">
        <v>31.440712571823738</v>
      </c>
      <c r="F1860" s="3">
        <v>32.646533966064453</v>
      </c>
      <c r="G1860" s="3">
        <v>709000</v>
      </c>
      <c r="H1860" s="3">
        <v>0</v>
      </c>
      <c r="I1860" s="3">
        <v>0</v>
      </c>
      <c r="J1860" s="3" t="str">
        <v>AB</v>
      </c>
      <c r="K1860" s="23">
        <v>44692</v>
      </c>
      <c r="L1860" s="22">
        <v>32.941287994384766</v>
      </c>
    </row>
    <row r="1861" spans="1:12" x14ac:dyDescent="0.25">
      <c r="A1861" s="9">
        <v>1854</v>
      </c>
      <c r="B1861" s="10">
        <v>44694</v>
      </c>
      <c r="C1861" s="3">
        <v>33.227117306638434</v>
      </c>
      <c r="D1861" s="3">
        <v>34.575850917751573</v>
      </c>
      <c r="E1861" s="3">
        <v>33.200318927883025</v>
      </c>
      <c r="F1861" s="3">
        <v>34.120319366455078</v>
      </c>
      <c r="G1861" s="3">
        <v>498300</v>
      </c>
      <c r="H1861" s="3">
        <v>0</v>
      </c>
      <c r="I1861" s="3">
        <v>0</v>
      </c>
      <c r="J1861" s="3" t="str">
        <v>AB</v>
      </c>
      <c r="K1861" s="23">
        <v>44693</v>
      </c>
      <c r="L1861" s="22">
        <v>32.646533966064453</v>
      </c>
    </row>
    <row r="1862" spans="1:12" x14ac:dyDescent="0.25">
      <c r="A1862" s="9">
        <v>1855</v>
      </c>
      <c r="B1862" s="10">
        <v>44697</v>
      </c>
      <c r="C1862" s="3">
        <v>34.120316535165394</v>
      </c>
      <c r="D1862" s="3">
        <v>34.307888134411364</v>
      </c>
      <c r="E1862" s="3">
        <v>33.191385652287465</v>
      </c>
      <c r="F1862" s="3">
        <v>33.798763275146484</v>
      </c>
      <c r="G1862" s="3">
        <v>508400</v>
      </c>
      <c r="H1862" s="3">
        <v>0</v>
      </c>
      <c r="I1862" s="3">
        <v>0</v>
      </c>
      <c r="J1862" s="3" t="str">
        <v>AB</v>
      </c>
      <c r="K1862" s="23">
        <v>44694</v>
      </c>
      <c r="L1862" s="22">
        <v>34.120319366455078</v>
      </c>
    </row>
    <row r="1863" spans="1:12" x14ac:dyDescent="0.25">
      <c r="A1863" s="9">
        <v>1856</v>
      </c>
      <c r="B1863" s="10">
        <v>44698</v>
      </c>
      <c r="C1863" s="3">
        <v>34.397206668004095</v>
      </c>
      <c r="D1863" s="3">
        <v>35.763808011083654</v>
      </c>
      <c r="E1863" s="3">
        <v>34.397206668004095</v>
      </c>
      <c r="F1863" s="3">
        <v>35.326137542724609</v>
      </c>
      <c r="G1863" s="3">
        <v>389500</v>
      </c>
      <c r="H1863" s="3">
        <v>0</v>
      </c>
      <c r="I1863" s="3">
        <v>0</v>
      </c>
      <c r="J1863" s="3" t="str">
        <v>AB</v>
      </c>
      <c r="K1863" s="23">
        <v>44697</v>
      </c>
      <c r="L1863" s="22">
        <v>33.798763275146484</v>
      </c>
    </row>
    <row r="1864" spans="1:12" x14ac:dyDescent="0.25">
      <c r="A1864" s="9">
        <v>1857</v>
      </c>
      <c r="B1864" s="10">
        <v>44699</v>
      </c>
      <c r="C1864" s="3">
        <v>35.058181029835318</v>
      </c>
      <c r="D1864" s="3">
        <v>35.469053161733427</v>
      </c>
      <c r="E1864" s="3">
        <v>34.477598325021766</v>
      </c>
      <c r="F1864" s="3">
        <v>34.84381103515625</v>
      </c>
      <c r="G1864" s="3">
        <v>398400</v>
      </c>
      <c r="H1864" s="3">
        <v>0</v>
      </c>
      <c r="I1864" s="3">
        <v>0</v>
      </c>
      <c r="J1864" s="3" t="str">
        <v>AB</v>
      </c>
      <c r="K1864" s="23">
        <v>44698</v>
      </c>
      <c r="L1864" s="22">
        <v>35.326137542724609</v>
      </c>
    </row>
    <row r="1865" spans="1:12" x14ac:dyDescent="0.25">
      <c r="A1865" s="9">
        <v>1858</v>
      </c>
      <c r="B1865" s="10">
        <v>44700</v>
      </c>
      <c r="C1865" s="3">
        <v>34.325754332366614</v>
      </c>
      <c r="D1865" s="3">
        <v>34.754490898476753</v>
      </c>
      <c r="E1865" s="3">
        <v>34.147113244663551</v>
      </c>
      <c r="F1865" s="3">
        <v>34.432937622070313</v>
      </c>
      <c r="G1865" s="3">
        <v>354300</v>
      </c>
      <c r="H1865" s="3">
        <v>0</v>
      </c>
      <c r="I1865" s="3">
        <v>0</v>
      </c>
      <c r="J1865" s="3" t="str">
        <v>AB</v>
      </c>
      <c r="K1865" s="23">
        <v>44699</v>
      </c>
      <c r="L1865" s="22">
        <v>34.84381103515625</v>
      </c>
    </row>
    <row r="1866" spans="1:12" x14ac:dyDescent="0.25">
      <c r="A1866" s="9">
        <v>1859</v>
      </c>
      <c r="B1866" s="10">
        <v>44701</v>
      </c>
      <c r="C1866" s="3">
        <v>34.709828530158106</v>
      </c>
      <c r="D1866" s="3">
        <v>35.192158403799169</v>
      </c>
      <c r="E1866" s="3">
        <v>34.2364325841558</v>
      </c>
      <c r="F1866" s="3">
        <v>34.879535675048828</v>
      </c>
      <c r="G1866" s="3">
        <v>416800</v>
      </c>
      <c r="H1866" s="3">
        <v>0</v>
      </c>
      <c r="I1866" s="3">
        <v>0</v>
      </c>
      <c r="J1866" s="3" t="str">
        <v>AB</v>
      </c>
      <c r="K1866" s="23">
        <v>44700</v>
      </c>
      <c r="L1866" s="22">
        <v>34.432937622070313</v>
      </c>
    </row>
    <row r="1867" spans="1:12" x14ac:dyDescent="0.25">
      <c r="A1867" s="9">
        <v>1860</v>
      </c>
      <c r="B1867" s="10">
        <v>44704</v>
      </c>
      <c r="C1867" s="3">
        <v>35.058179030763476</v>
      </c>
      <c r="D1867" s="3">
        <v>36.594487584356898</v>
      </c>
      <c r="E1867" s="3">
        <v>35.058179030763476</v>
      </c>
      <c r="F1867" s="3">
        <v>35.486915588378906</v>
      </c>
      <c r="G1867" s="3">
        <v>455000</v>
      </c>
      <c r="H1867" s="3">
        <v>0</v>
      </c>
      <c r="I1867" s="3">
        <v>0</v>
      </c>
      <c r="J1867" s="3" t="str">
        <v>AB</v>
      </c>
      <c r="K1867" s="23">
        <v>44701</v>
      </c>
      <c r="L1867" s="22">
        <v>34.879535675048828</v>
      </c>
    </row>
    <row r="1868" spans="1:12" x14ac:dyDescent="0.25">
      <c r="A1868" s="9">
        <v>1861</v>
      </c>
      <c r="B1868" s="10">
        <v>44705</v>
      </c>
      <c r="C1868" s="3">
        <v>35.522646008685321</v>
      </c>
      <c r="D1868" s="3">
        <v>35.781675421456214</v>
      </c>
      <c r="E1868" s="3">
        <v>34.602648985673014</v>
      </c>
      <c r="F1868" s="3">
        <v>35.397598266601563</v>
      </c>
      <c r="G1868" s="3">
        <v>391300</v>
      </c>
      <c r="H1868" s="3">
        <v>0</v>
      </c>
      <c r="I1868" s="3">
        <v>0</v>
      </c>
      <c r="J1868" s="3" t="str">
        <v>AB</v>
      </c>
      <c r="K1868" s="23">
        <v>44704</v>
      </c>
      <c r="L1868" s="22">
        <v>35.486915588378906</v>
      </c>
    </row>
    <row r="1869" spans="1:12" x14ac:dyDescent="0.25">
      <c r="A1869" s="9">
        <v>1862</v>
      </c>
      <c r="B1869" s="10">
        <v>44706</v>
      </c>
      <c r="C1869" s="3">
        <v>35.245755429501259</v>
      </c>
      <c r="D1869" s="3">
        <v>36.933906919491228</v>
      </c>
      <c r="E1869" s="3">
        <v>35.21002652635012</v>
      </c>
      <c r="F1869" s="3">
        <v>36.665946960449219</v>
      </c>
      <c r="G1869" s="3">
        <v>413800</v>
      </c>
      <c r="H1869" s="3">
        <v>0</v>
      </c>
      <c r="I1869" s="3">
        <v>0</v>
      </c>
      <c r="J1869" s="3" t="str">
        <v>AB</v>
      </c>
      <c r="K1869" s="23">
        <v>44705</v>
      </c>
      <c r="L1869" s="22">
        <v>35.397598266601563</v>
      </c>
    </row>
    <row r="1870" spans="1:12" x14ac:dyDescent="0.25">
      <c r="A1870" s="9">
        <v>1863</v>
      </c>
      <c r="B1870" s="10">
        <v>44707</v>
      </c>
      <c r="C1870" s="3">
        <v>37.300114631111398</v>
      </c>
      <c r="D1870" s="3">
        <v>38.032543417807339</v>
      </c>
      <c r="E1870" s="3">
        <v>37.067883606521427</v>
      </c>
      <c r="F1870" s="3">
        <v>37.755649566650391</v>
      </c>
      <c r="G1870" s="3">
        <v>493300</v>
      </c>
      <c r="H1870" s="3">
        <v>0</v>
      </c>
      <c r="I1870" s="3">
        <v>0</v>
      </c>
      <c r="J1870" s="3" t="str">
        <v>AB</v>
      </c>
      <c r="K1870" s="23">
        <v>44706</v>
      </c>
      <c r="L1870" s="22">
        <v>36.665946960449219</v>
      </c>
    </row>
    <row r="1871" spans="1:12" x14ac:dyDescent="0.25">
      <c r="A1871" s="9">
        <v>1864</v>
      </c>
      <c r="B1871" s="10">
        <v>44708</v>
      </c>
      <c r="C1871" s="3">
        <v>38.139725923674526</v>
      </c>
      <c r="D1871" s="3">
        <v>39.247294491007175</v>
      </c>
      <c r="E1871" s="3">
        <v>38.095066505318329</v>
      </c>
      <c r="F1871" s="3">
        <v>38.318367004394531</v>
      </c>
      <c r="G1871" s="3">
        <v>366700</v>
      </c>
      <c r="H1871" s="3">
        <v>0</v>
      </c>
      <c r="I1871" s="3">
        <v>0</v>
      </c>
      <c r="J1871" s="3" t="str">
        <v>AB</v>
      </c>
      <c r="K1871" s="23">
        <v>44707</v>
      </c>
      <c r="L1871" s="22">
        <v>37.755649566650391</v>
      </c>
    </row>
    <row r="1872" spans="1:12" x14ac:dyDescent="0.25">
      <c r="A1872" s="9">
        <v>1865</v>
      </c>
      <c r="B1872" s="10">
        <v>44712</v>
      </c>
      <c r="C1872" s="3">
        <v>38.318371846954363</v>
      </c>
      <c r="D1872" s="3">
        <v>38.318371846954363</v>
      </c>
      <c r="E1872" s="3">
        <v>37.282257536591601</v>
      </c>
      <c r="F1872" s="3">
        <v>37.996818542480469</v>
      </c>
      <c r="G1872" s="3">
        <v>282700</v>
      </c>
      <c r="H1872" s="3">
        <v>0</v>
      </c>
      <c r="I1872" s="3">
        <v>0</v>
      </c>
      <c r="J1872" s="3" t="str">
        <v>AB</v>
      </c>
      <c r="K1872" s="23">
        <v>44708</v>
      </c>
      <c r="L1872" s="22">
        <v>38.318367004394531</v>
      </c>
    </row>
    <row r="1873" spans="1:12" x14ac:dyDescent="0.25">
      <c r="A1873" s="9">
        <v>1866</v>
      </c>
      <c r="B1873" s="10">
        <v>44713</v>
      </c>
      <c r="C1873" s="3">
        <v>38.005747245595849</v>
      </c>
      <c r="D1873" s="3">
        <v>38.407688856953293</v>
      </c>
      <c r="E1873" s="3">
        <v>37.434098468241032</v>
      </c>
      <c r="F1873" s="3">
        <v>37.612739562988281</v>
      </c>
      <c r="G1873" s="3">
        <v>247100</v>
      </c>
      <c r="H1873" s="3">
        <v>0</v>
      </c>
      <c r="I1873" s="3">
        <v>0</v>
      </c>
      <c r="J1873" s="3" t="str">
        <v>AB</v>
      </c>
      <c r="K1873" s="23">
        <v>44712</v>
      </c>
      <c r="L1873" s="22">
        <v>37.996818542480469</v>
      </c>
    </row>
    <row r="1874" spans="1:12" x14ac:dyDescent="0.25">
      <c r="A1874" s="9">
        <v>1867</v>
      </c>
      <c r="B1874" s="10">
        <v>44714</v>
      </c>
      <c r="C1874" s="3">
        <v>37.69312239925727</v>
      </c>
      <c r="D1874" s="3">
        <v>38.827489267412382</v>
      </c>
      <c r="E1874" s="3">
        <v>37.577005193477383</v>
      </c>
      <c r="F1874" s="3">
        <v>38.720302581787109</v>
      </c>
      <c r="G1874" s="3">
        <v>198400</v>
      </c>
      <c r="H1874" s="3">
        <v>0</v>
      </c>
      <c r="I1874" s="3">
        <v>0</v>
      </c>
      <c r="J1874" s="3" t="str">
        <v>AB</v>
      </c>
      <c r="K1874" s="23">
        <v>44713</v>
      </c>
      <c r="L1874" s="22">
        <v>37.612739562988281</v>
      </c>
    </row>
    <row r="1875" spans="1:12" x14ac:dyDescent="0.25">
      <c r="A1875" s="9">
        <v>1868</v>
      </c>
      <c r="B1875" s="10">
        <v>44715</v>
      </c>
      <c r="C1875" s="3">
        <v>38.586325715637187</v>
      </c>
      <c r="D1875" s="3">
        <v>38.738168414760779</v>
      </c>
      <c r="E1875" s="3">
        <v>38.050402490229871</v>
      </c>
      <c r="F1875" s="3">
        <v>38.139724731445313</v>
      </c>
      <c r="G1875" s="3">
        <v>243800</v>
      </c>
      <c r="H1875" s="3">
        <v>0</v>
      </c>
      <c r="I1875" s="3">
        <v>0</v>
      </c>
      <c r="J1875" s="3" t="str">
        <v>AB</v>
      </c>
      <c r="K1875" s="23">
        <v>44714</v>
      </c>
      <c r="L1875" s="22">
        <v>38.720302581787109</v>
      </c>
    </row>
    <row r="1876" spans="1:12" x14ac:dyDescent="0.25">
      <c r="A1876" s="9">
        <v>1869</v>
      </c>
      <c r="B1876" s="10">
        <v>44718</v>
      </c>
      <c r="C1876" s="3">
        <v>38.22904950991343</v>
      </c>
      <c r="D1876" s="3">
        <v>38.98827334547461</v>
      </c>
      <c r="E1876" s="3">
        <v>38.139730662104178</v>
      </c>
      <c r="F1876" s="3">
        <v>38.738174438476563</v>
      </c>
      <c r="G1876" s="3">
        <v>220000</v>
      </c>
      <c r="H1876" s="3">
        <v>0</v>
      </c>
      <c r="I1876" s="3">
        <v>0</v>
      </c>
      <c r="J1876" s="3" t="str">
        <v>AB</v>
      </c>
      <c r="K1876" s="23">
        <v>44715</v>
      </c>
      <c r="L1876" s="22">
        <v>38.139724731445313</v>
      </c>
    </row>
    <row r="1877" spans="1:12" x14ac:dyDescent="0.25">
      <c r="A1877" s="9">
        <v>1870</v>
      </c>
      <c r="B1877" s="10">
        <v>44719</v>
      </c>
      <c r="C1877" s="3">
        <v>38.720309559478146</v>
      </c>
      <c r="D1877" s="3">
        <v>39.604581135116639</v>
      </c>
      <c r="E1877" s="3">
        <v>38.407690188305523</v>
      </c>
      <c r="F1877" s="3">
        <v>39.524192810058594</v>
      </c>
      <c r="G1877" s="3">
        <v>349900</v>
      </c>
      <c r="H1877" s="3">
        <v>0</v>
      </c>
      <c r="I1877" s="3">
        <v>0</v>
      </c>
      <c r="J1877" s="3" t="str">
        <v>AB</v>
      </c>
      <c r="K1877" s="23">
        <v>44718</v>
      </c>
      <c r="L1877" s="22">
        <v>38.738174438476563</v>
      </c>
    </row>
    <row r="1878" spans="1:12" x14ac:dyDescent="0.25">
      <c r="A1878" s="9">
        <v>1871</v>
      </c>
      <c r="B1878" s="10">
        <v>44720</v>
      </c>
      <c r="C1878" s="3">
        <v>38.961475099193002</v>
      </c>
      <c r="D1878" s="3">
        <v>39.497398409777212</v>
      </c>
      <c r="E1878" s="3">
        <v>38.327302418599224</v>
      </c>
      <c r="F1878" s="3">
        <v>38.488079071044922</v>
      </c>
      <c r="G1878" s="3">
        <v>250500</v>
      </c>
      <c r="H1878" s="3">
        <v>0</v>
      </c>
      <c r="I1878" s="3">
        <v>0</v>
      </c>
      <c r="J1878" s="3" t="str">
        <v>AB</v>
      </c>
      <c r="K1878" s="23">
        <v>44719</v>
      </c>
      <c r="L1878" s="22">
        <v>39.524192810058594</v>
      </c>
    </row>
    <row r="1879" spans="1:12" x14ac:dyDescent="0.25">
      <c r="A1879" s="9">
        <v>1872</v>
      </c>
      <c r="B1879" s="10">
        <v>44721</v>
      </c>
      <c r="C1879" s="3">
        <v>38.18438219847129</v>
      </c>
      <c r="D1879" s="3">
        <v>38.997195811901335</v>
      </c>
      <c r="E1879" s="3">
        <v>38.014675059770923</v>
      </c>
      <c r="F1879" s="3">
        <v>38.2647705078125</v>
      </c>
      <c r="G1879" s="3">
        <v>228100</v>
      </c>
      <c r="H1879" s="3">
        <v>0</v>
      </c>
      <c r="I1879" s="3">
        <v>0</v>
      </c>
      <c r="J1879" s="3" t="str">
        <v>AB</v>
      </c>
      <c r="K1879" s="23">
        <v>44720</v>
      </c>
      <c r="L1879" s="22">
        <v>38.488079071044922</v>
      </c>
    </row>
    <row r="1880" spans="1:12" x14ac:dyDescent="0.25">
      <c r="A1880" s="9">
        <v>1873</v>
      </c>
      <c r="B1880" s="10">
        <v>44722</v>
      </c>
      <c r="C1880" s="3">
        <v>37.889629316490499</v>
      </c>
      <c r="D1880" s="3">
        <v>38.630988653316052</v>
      </c>
      <c r="E1880" s="3">
        <v>37.380504420695168</v>
      </c>
      <c r="F1880" s="3">
        <v>38.407688140869141</v>
      </c>
      <c r="G1880" s="3">
        <v>438500</v>
      </c>
      <c r="H1880" s="3">
        <v>0</v>
      </c>
      <c r="I1880" s="3">
        <v>0</v>
      </c>
      <c r="J1880" s="3" t="str">
        <v>AB</v>
      </c>
      <c r="K1880" s="23">
        <v>44721</v>
      </c>
      <c r="L1880" s="22">
        <v>38.2647705078125</v>
      </c>
    </row>
    <row r="1881" spans="1:12" x14ac:dyDescent="0.25">
      <c r="A1881" s="9">
        <v>1874</v>
      </c>
      <c r="B1881" s="10">
        <v>44725</v>
      </c>
      <c r="C1881" s="3">
        <v>36.942836141871993</v>
      </c>
      <c r="D1881" s="3">
        <v>37.460891542372643</v>
      </c>
      <c r="E1881" s="3">
        <v>35.772740267477708</v>
      </c>
      <c r="F1881" s="3">
        <v>36.219341278076172</v>
      </c>
      <c r="G1881" s="3">
        <v>544400</v>
      </c>
      <c r="H1881" s="3">
        <v>0</v>
      </c>
      <c r="I1881" s="3">
        <v>0</v>
      </c>
      <c r="J1881" s="3" t="str">
        <v>AB</v>
      </c>
      <c r="K1881" s="23">
        <v>44722</v>
      </c>
      <c r="L1881" s="22">
        <v>38.407688140869141</v>
      </c>
    </row>
    <row r="1882" spans="1:12" x14ac:dyDescent="0.25">
      <c r="A1882" s="9">
        <v>1875</v>
      </c>
      <c r="B1882" s="10">
        <v>44726</v>
      </c>
      <c r="C1882" s="3">
        <v>36.121087320678342</v>
      </c>
      <c r="D1882" s="3">
        <v>37.076813179291953</v>
      </c>
      <c r="E1882" s="3">
        <v>35.79953746576799</v>
      </c>
      <c r="F1882" s="3">
        <v>36.040699005126953</v>
      </c>
      <c r="G1882" s="3">
        <v>362500</v>
      </c>
      <c r="H1882" s="3">
        <v>0</v>
      </c>
      <c r="I1882" s="3">
        <v>0</v>
      </c>
      <c r="J1882" s="3" t="str">
        <v>AB</v>
      </c>
      <c r="K1882" s="23">
        <v>44725</v>
      </c>
      <c r="L1882" s="22">
        <v>36.219341278076172</v>
      </c>
    </row>
    <row r="1883" spans="1:12" x14ac:dyDescent="0.25">
      <c r="A1883" s="9">
        <v>1876</v>
      </c>
      <c r="B1883" s="10">
        <v>44727</v>
      </c>
      <c r="C1883" s="3">
        <v>36.648082016042046</v>
      </c>
      <c r="D1883" s="3">
        <v>37.621672466395552</v>
      </c>
      <c r="E1883" s="3">
        <v>36.219345405881199</v>
      </c>
      <c r="F1883" s="3">
        <v>36.960704803466797</v>
      </c>
      <c r="G1883" s="3">
        <v>385500</v>
      </c>
      <c r="H1883" s="3">
        <v>0</v>
      </c>
      <c r="I1883" s="3">
        <v>0</v>
      </c>
      <c r="J1883" s="3" t="str">
        <v>AB</v>
      </c>
      <c r="K1883" s="23">
        <v>44726</v>
      </c>
      <c r="L1883" s="22">
        <v>36.040699005126953</v>
      </c>
    </row>
    <row r="1884" spans="1:12" x14ac:dyDescent="0.25">
      <c r="A1884" s="9">
        <v>1877</v>
      </c>
      <c r="B1884" s="10">
        <v>44728</v>
      </c>
      <c r="C1884" s="3">
        <v>36.183610743371261</v>
      </c>
      <c r="D1884" s="3">
        <v>36.56768786770283</v>
      </c>
      <c r="E1884" s="3">
        <v>35.022448849778314</v>
      </c>
      <c r="F1884" s="3">
        <v>36.076427459716797</v>
      </c>
      <c r="G1884" s="3">
        <v>491400</v>
      </c>
      <c r="H1884" s="3">
        <v>0</v>
      </c>
      <c r="I1884" s="3">
        <v>0</v>
      </c>
      <c r="J1884" s="3" t="str">
        <v>AB</v>
      </c>
      <c r="K1884" s="23">
        <v>44727</v>
      </c>
      <c r="L1884" s="22">
        <v>36.960704803466797</v>
      </c>
    </row>
    <row r="1885" spans="1:12" x14ac:dyDescent="0.25">
      <c r="A1885" s="9">
        <v>1878</v>
      </c>
      <c r="B1885" s="10">
        <v>44729</v>
      </c>
      <c r="C1885" s="3">
        <v>35.897786922964698</v>
      </c>
      <c r="D1885" s="3">
        <v>36.826717814753231</v>
      </c>
      <c r="E1885" s="3">
        <v>35.790603637695313</v>
      </c>
      <c r="F1885" s="3">
        <v>35.790603637695313</v>
      </c>
      <c r="G1885" s="3">
        <v>268300</v>
      </c>
      <c r="H1885" s="3">
        <v>0</v>
      </c>
      <c r="I1885" s="3">
        <v>0</v>
      </c>
      <c r="J1885" s="3" t="str">
        <v>AB</v>
      </c>
      <c r="K1885" s="23">
        <v>44728</v>
      </c>
      <c r="L1885" s="22">
        <v>36.076427459716797</v>
      </c>
    </row>
    <row r="1886" spans="1:12" x14ac:dyDescent="0.25">
      <c r="A1886" s="9">
        <v>1879</v>
      </c>
      <c r="B1886" s="10">
        <v>44733</v>
      </c>
      <c r="C1886" s="3">
        <v>36.657011941739405</v>
      </c>
      <c r="D1886" s="3">
        <v>37.237591213897119</v>
      </c>
      <c r="E1886" s="3">
        <v>36.505165825621326</v>
      </c>
      <c r="F1886" s="3">
        <v>36.978565216064453</v>
      </c>
      <c r="G1886" s="3">
        <v>308300</v>
      </c>
      <c r="H1886" s="3">
        <v>0</v>
      </c>
      <c r="I1886" s="3">
        <v>0</v>
      </c>
      <c r="J1886" s="3" t="str">
        <v>AB</v>
      </c>
      <c r="K1886" s="23">
        <v>44729</v>
      </c>
      <c r="L1886" s="22">
        <v>35.790603637695313</v>
      </c>
    </row>
    <row r="1887" spans="1:12" x14ac:dyDescent="0.25">
      <c r="A1887" s="9">
        <v>1880</v>
      </c>
      <c r="B1887" s="10">
        <v>44734</v>
      </c>
      <c r="C1887" s="3">
        <v>36.692741969578513</v>
      </c>
      <c r="D1887" s="3">
        <v>37.139342996040014</v>
      </c>
      <c r="E1887" s="3">
        <v>36.183613664700616</v>
      </c>
      <c r="F1887" s="3">
        <v>36.630214691162109</v>
      </c>
      <c r="G1887" s="3">
        <v>288100</v>
      </c>
      <c r="H1887" s="3">
        <v>0</v>
      </c>
      <c r="I1887" s="3">
        <v>0</v>
      </c>
      <c r="J1887" s="3" t="str">
        <v>AB</v>
      </c>
      <c r="K1887" s="23">
        <v>44733</v>
      </c>
      <c r="L1887" s="22">
        <v>36.978565216064453</v>
      </c>
    </row>
    <row r="1888" spans="1:12" x14ac:dyDescent="0.25">
      <c r="A1888" s="9">
        <v>1881</v>
      </c>
      <c r="B1888" s="10">
        <v>44735</v>
      </c>
      <c r="C1888" s="3">
        <v>36.621287522725183</v>
      </c>
      <c r="D1888" s="3">
        <v>37.78244961637683</v>
      </c>
      <c r="E1888" s="3">
        <v>36.603423071155682</v>
      </c>
      <c r="F1888" s="3">
        <v>37.416236877441406</v>
      </c>
      <c r="G1888" s="3">
        <v>300900</v>
      </c>
      <c r="H1888" s="3">
        <v>0</v>
      </c>
      <c r="I1888" s="3">
        <v>0</v>
      </c>
      <c r="J1888" s="3" t="str">
        <v>AB</v>
      </c>
      <c r="K1888" s="23">
        <v>44734</v>
      </c>
      <c r="L1888" s="22">
        <v>36.630214691162109</v>
      </c>
    </row>
    <row r="1889" spans="1:12" x14ac:dyDescent="0.25">
      <c r="A1889" s="9">
        <v>1882</v>
      </c>
      <c r="B1889" s="10">
        <v>44736</v>
      </c>
      <c r="C1889" s="3">
        <v>37.809246307788904</v>
      </c>
      <c r="D1889" s="3">
        <v>38.800697770872951</v>
      </c>
      <c r="E1889" s="3">
        <v>37.809246307788904</v>
      </c>
      <c r="F1889" s="3">
        <v>38.541671752929688</v>
      </c>
      <c r="G1889" s="3">
        <v>262600</v>
      </c>
      <c r="H1889" s="3">
        <v>0</v>
      </c>
      <c r="I1889" s="3">
        <v>0</v>
      </c>
      <c r="J1889" s="3" t="str">
        <v>AB</v>
      </c>
      <c r="K1889" s="23">
        <v>44735</v>
      </c>
      <c r="L1889" s="22">
        <v>37.416236877441406</v>
      </c>
    </row>
    <row r="1890" spans="1:12" x14ac:dyDescent="0.25">
      <c r="A1890" s="9">
        <v>1883</v>
      </c>
      <c r="B1890" s="10">
        <v>44739</v>
      </c>
      <c r="C1890" s="3">
        <v>38.657783423101414</v>
      </c>
      <c r="D1890" s="3">
        <v>38.675647872879559</v>
      </c>
      <c r="E1890" s="3">
        <v>37.844969698320519</v>
      </c>
      <c r="F1890" s="3">
        <v>38.166522979736328</v>
      </c>
      <c r="G1890" s="3">
        <v>226700</v>
      </c>
      <c r="H1890" s="3">
        <v>0</v>
      </c>
      <c r="I1890" s="3">
        <v>0</v>
      </c>
      <c r="J1890" s="3" t="str">
        <v>AB</v>
      </c>
      <c r="K1890" s="23">
        <v>44736</v>
      </c>
      <c r="L1890" s="22">
        <v>38.541671752929688</v>
      </c>
    </row>
    <row r="1891" spans="1:12" x14ac:dyDescent="0.25">
      <c r="A1891" s="9">
        <v>1884</v>
      </c>
      <c r="B1891" s="10">
        <v>44740</v>
      </c>
      <c r="C1891" s="3">
        <v>38.622057256371619</v>
      </c>
      <c r="D1891" s="3">
        <v>38.773899965891076</v>
      </c>
      <c r="E1891" s="3">
        <v>37.880697936354501</v>
      </c>
      <c r="F1891" s="3">
        <v>38.220115661621094</v>
      </c>
      <c r="G1891" s="3">
        <v>187600</v>
      </c>
      <c r="H1891" s="3">
        <v>0</v>
      </c>
      <c r="I1891" s="3">
        <v>0</v>
      </c>
      <c r="J1891" s="3" t="str">
        <v>AB</v>
      </c>
      <c r="K1891" s="23">
        <v>44739</v>
      </c>
      <c r="L1891" s="22">
        <v>38.166522979736328</v>
      </c>
    </row>
    <row r="1892" spans="1:12" x14ac:dyDescent="0.25">
      <c r="A1892" s="9">
        <v>1885</v>
      </c>
      <c r="B1892" s="10">
        <v>44741</v>
      </c>
      <c r="C1892" s="3">
        <v>37.970018827886115</v>
      </c>
      <c r="D1892" s="3">
        <v>38.434484317215357</v>
      </c>
      <c r="E1892" s="3">
        <v>36.933904553934902</v>
      </c>
      <c r="F1892" s="3">
        <v>37.317981719970703</v>
      </c>
      <c r="G1892" s="3">
        <v>365300</v>
      </c>
      <c r="H1892" s="3">
        <v>0</v>
      </c>
      <c r="I1892" s="3">
        <v>0</v>
      </c>
      <c r="J1892" s="3" t="str">
        <v>AB</v>
      </c>
      <c r="K1892" s="23">
        <v>44740</v>
      </c>
      <c r="L1892" s="22">
        <v>38.220115661621094</v>
      </c>
    </row>
    <row r="1893" spans="1:12" x14ac:dyDescent="0.25">
      <c r="A1893" s="9">
        <v>1886</v>
      </c>
      <c r="B1893" s="10">
        <v>44742</v>
      </c>
      <c r="C1893" s="3">
        <v>36.683812071291733</v>
      </c>
      <c r="D1893" s="3">
        <v>37.48769537016058</v>
      </c>
      <c r="E1893" s="3">
        <v>36.308668803350145</v>
      </c>
      <c r="F1893" s="3">
        <v>37.139347076416016</v>
      </c>
      <c r="G1893" s="3">
        <v>319800</v>
      </c>
      <c r="H1893" s="3">
        <v>0</v>
      </c>
      <c r="I1893" s="3">
        <v>0</v>
      </c>
      <c r="J1893" s="3" t="str">
        <v>AB</v>
      </c>
      <c r="K1893" s="23">
        <v>44741</v>
      </c>
      <c r="L1893" s="22">
        <v>37.317981719970703</v>
      </c>
    </row>
    <row r="1894" spans="1:12" x14ac:dyDescent="0.25">
      <c r="A1894" s="9">
        <v>1887</v>
      </c>
      <c r="B1894" s="10">
        <v>44743</v>
      </c>
      <c r="C1894" s="3">
        <v>37.06788156247822</v>
      </c>
      <c r="D1894" s="3">
        <v>37.728852516055142</v>
      </c>
      <c r="E1894" s="3">
        <v>36.701668892972044</v>
      </c>
      <c r="F1894" s="3">
        <v>37.648464202880859</v>
      </c>
      <c r="G1894" s="3">
        <v>201700</v>
      </c>
      <c r="H1894" s="3">
        <v>0</v>
      </c>
      <c r="I1894" s="3">
        <v>0</v>
      </c>
      <c r="J1894" s="3" t="str">
        <v>AB</v>
      </c>
      <c r="K1894" s="23">
        <v>44742</v>
      </c>
      <c r="L1894" s="22">
        <v>37.139347076416016</v>
      </c>
    </row>
    <row r="1895" spans="1:12" x14ac:dyDescent="0.25">
      <c r="A1895" s="9">
        <v>1888</v>
      </c>
      <c r="B1895" s="10">
        <v>44747</v>
      </c>
      <c r="C1895" s="3">
        <v>37.201867458651222</v>
      </c>
      <c r="D1895" s="3">
        <v>37.603805663020836</v>
      </c>
      <c r="E1895" s="3">
        <v>36.058566495771011</v>
      </c>
      <c r="F1895" s="3">
        <v>37.353710174560547</v>
      </c>
      <c r="G1895" s="3">
        <v>330900</v>
      </c>
      <c r="H1895" s="3">
        <v>0</v>
      </c>
      <c r="I1895" s="3">
        <v>0</v>
      </c>
      <c r="J1895" s="3" t="str">
        <v>AB</v>
      </c>
      <c r="K1895" s="23">
        <v>44743</v>
      </c>
      <c r="L1895" s="22">
        <v>37.648464202880859</v>
      </c>
    </row>
    <row r="1896" spans="1:12" x14ac:dyDescent="0.25">
      <c r="A1896" s="9">
        <v>1889</v>
      </c>
      <c r="B1896" s="10">
        <v>44748</v>
      </c>
      <c r="C1896" s="3">
        <v>37.255455229985593</v>
      </c>
      <c r="D1896" s="3">
        <v>37.61273739892372</v>
      </c>
      <c r="E1896" s="3">
        <v>36.335458244818561</v>
      </c>
      <c r="F1896" s="3">
        <v>36.755264282226563</v>
      </c>
      <c r="G1896" s="3">
        <v>254400</v>
      </c>
      <c r="H1896" s="3">
        <v>0</v>
      </c>
      <c r="I1896" s="3">
        <v>0</v>
      </c>
      <c r="J1896" s="3" t="str">
        <v>AB</v>
      </c>
      <c r="K1896" s="23">
        <v>44747</v>
      </c>
      <c r="L1896" s="22">
        <v>37.353710174560547</v>
      </c>
    </row>
    <row r="1897" spans="1:12" x14ac:dyDescent="0.25">
      <c r="A1897" s="9">
        <v>1890</v>
      </c>
      <c r="B1897" s="10">
        <v>44749</v>
      </c>
      <c r="C1897" s="3">
        <v>36.844583771192411</v>
      </c>
      <c r="D1897" s="3">
        <v>37.505554773206782</v>
      </c>
      <c r="E1897" s="3">
        <v>36.844583771192411</v>
      </c>
      <c r="F1897" s="3">
        <v>37.443027496337891</v>
      </c>
      <c r="G1897" s="3">
        <v>243200</v>
      </c>
      <c r="H1897" s="3">
        <v>0</v>
      </c>
      <c r="I1897" s="3">
        <v>0</v>
      </c>
      <c r="J1897" s="3" t="str">
        <v>AB</v>
      </c>
      <c r="K1897" s="23">
        <v>44748</v>
      </c>
      <c r="L1897" s="22">
        <v>36.755264282226563</v>
      </c>
    </row>
    <row r="1898" spans="1:12" x14ac:dyDescent="0.25">
      <c r="A1898" s="9">
        <v>1891</v>
      </c>
      <c r="B1898" s="10">
        <v>44750</v>
      </c>
      <c r="C1898" s="3">
        <v>37.514487845137644</v>
      </c>
      <c r="D1898" s="3">
        <v>37.514487845137644</v>
      </c>
      <c r="E1898" s="3">
        <v>36.737402979531126</v>
      </c>
      <c r="F1898" s="3">
        <v>37.032157897949219</v>
      </c>
      <c r="G1898" s="3">
        <v>113200</v>
      </c>
      <c r="H1898" s="3">
        <v>0</v>
      </c>
      <c r="I1898" s="3">
        <v>0</v>
      </c>
      <c r="J1898" s="3" t="str">
        <v>AB</v>
      </c>
      <c r="K1898" s="23">
        <v>44749</v>
      </c>
      <c r="L1898" s="22">
        <v>37.443027496337891</v>
      </c>
    </row>
    <row r="1899" spans="1:12" x14ac:dyDescent="0.25">
      <c r="A1899" s="9">
        <v>1892</v>
      </c>
      <c r="B1899" s="10">
        <v>44753</v>
      </c>
      <c r="C1899" s="3">
        <v>36.665943683478915</v>
      </c>
      <c r="D1899" s="3">
        <v>36.924973097230605</v>
      </c>
      <c r="E1899" s="3">
        <v>36.272936005828228</v>
      </c>
      <c r="F1899" s="3">
        <v>36.639148712158203</v>
      </c>
      <c r="G1899" s="3">
        <v>191400</v>
      </c>
      <c r="H1899" s="3">
        <v>0</v>
      </c>
      <c r="I1899" s="3">
        <v>0</v>
      </c>
      <c r="J1899" s="3" t="str">
        <v>AB</v>
      </c>
      <c r="K1899" s="23">
        <v>44750</v>
      </c>
      <c r="L1899" s="22">
        <v>37.032157897949219</v>
      </c>
    </row>
    <row r="1900" spans="1:12" x14ac:dyDescent="0.25">
      <c r="A1900" s="9">
        <v>1893</v>
      </c>
      <c r="B1900" s="10">
        <v>44754</v>
      </c>
      <c r="C1900" s="3">
        <v>36.621284169842866</v>
      </c>
      <c r="D1900" s="3">
        <v>36.951767975381657</v>
      </c>
      <c r="E1900" s="3">
        <v>36.397983656612119</v>
      </c>
      <c r="F1900" s="3">
        <v>36.630214691162109</v>
      </c>
      <c r="G1900" s="3">
        <v>211400</v>
      </c>
      <c r="H1900" s="3">
        <v>0</v>
      </c>
      <c r="I1900" s="3">
        <v>0</v>
      </c>
      <c r="J1900" s="3" t="str">
        <v>AB</v>
      </c>
      <c r="K1900" s="23">
        <v>44753</v>
      </c>
      <c r="L1900" s="22">
        <v>36.639148712158203</v>
      </c>
    </row>
    <row r="1901" spans="1:12" x14ac:dyDescent="0.25">
      <c r="A1901" s="9">
        <v>1894</v>
      </c>
      <c r="B1901" s="10">
        <v>44755</v>
      </c>
      <c r="C1901" s="3">
        <v>36.594488552346569</v>
      </c>
      <c r="D1901" s="3">
        <v>36.951767322829113</v>
      </c>
      <c r="E1901" s="3">
        <v>36.094294184916556</v>
      </c>
      <c r="F1901" s="3">
        <v>36.424777984619141</v>
      </c>
      <c r="G1901" s="3">
        <v>179400</v>
      </c>
      <c r="H1901" s="3">
        <v>0</v>
      </c>
      <c r="I1901" s="3">
        <v>0</v>
      </c>
      <c r="J1901" s="3" t="str">
        <v>AB</v>
      </c>
      <c r="K1901" s="23">
        <v>44754</v>
      </c>
      <c r="L1901" s="22">
        <v>36.630214691162109</v>
      </c>
    </row>
    <row r="1902" spans="1:12" x14ac:dyDescent="0.25">
      <c r="A1902" s="9">
        <v>1895</v>
      </c>
      <c r="B1902" s="10">
        <v>44756</v>
      </c>
      <c r="C1902" s="3">
        <v>35.73700931516904</v>
      </c>
      <c r="D1902" s="3">
        <v>36.255068093193557</v>
      </c>
      <c r="E1902" s="3">
        <v>35.62982603282763</v>
      </c>
      <c r="F1902" s="3">
        <v>36.112155914306641</v>
      </c>
      <c r="G1902" s="3">
        <v>156200</v>
      </c>
      <c r="H1902" s="3">
        <v>0</v>
      </c>
      <c r="I1902" s="3">
        <v>0</v>
      </c>
      <c r="J1902" s="3" t="str">
        <v>AB</v>
      </c>
      <c r="K1902" s="23">
        <v>44755</v>
      </c>
      <c r="L1902" s="22">
        <v>36.424777984619141</v>
      </c>
    </row>
    <row r="1903" spans="1:12" x14ac:dyDescent="0.25">
      <c r="A1903" s="9">
        <v>1896</v>
      </c>
      <c r="B1903" s="10">
        <v>44757</v>
      </c>
      <c r="C1903" s="3">
        <v>36.594485167157195</v>
      </c>
      <c r="D1903" s="3">
        <v>36.889240040356484</v>
      </c>
      <c r="E1903" s="3">
        <v>35.987107565497695</v>
      </c>
      <c r="F1903" s="3">
        <v>36.648075103759766</v>
      </c>
      <c r="G1903" s="3">
        <v>200900</v>
      </c>
      <c r="H1903" s="3">
        <v>0</v>
      </c>
      <c r="I1903" s="3">
        <v>0</v>
      </c>
      <c r="J1903" s="3" t="str">
        <v>AB</v>
      </c>
      <c r="K1903" s="23">
        <v>44756</v>
      </c>
      <c r="L1903" s="22">
        <v>36.112155914306641</v>
      </c>
    </row>
    <row r="1904" spans="1:12" x14ac:dyDescent="0.25">
      <c r="A1904" s="9">
        <v>1897</v>
      </c>
      <c r="B1904" s="10">
        <v>44760</v>
      </c>
      <c r="C1904" s="3">
        <v>36.746331745265486</v>
      </c>
      <c r="D1904" s="3">
        <v>37.21972774083104</v>
      </c>
      <c r="E1904" s="3">
        <v>35.647693634033203</v>
      </c>
      <c r="F1904" s="3">
        <v>35.647693634033203</v>
      </c>
      <c r="G1904" s="3">
        <v>369300</v>
      </c>
      <c r="H1904" s="3">
        <v>0</v>
      </c>
      <c r="I1904" s="3">
        <v>0</v>
      </c>
      <c r="J1904" s="3" t="str">
        <v>AB</v>
      </c>
      <c r="K1904" s="23">
        <v>44757</v>
      </c>
      <c r="L1904" s="22">
        <v>36.648075103759766</v>
      </c>
    </row>
    <row r="1905" spans="1:12" x14ac:dyDescent="0.25">
      <c r="A1905" s="9">
        <v>1898</v>
      </c>
      <c r="B1905" s="10">
        <v>44761</v>
      </c>
      <c r="C1905" s="3">
        <v>35.835268045673267</v>
      </c>
      <c r="D1905" s="3">
        <v>36.773129588782972</v>
      </c>
      <c r="E1905" s="3">
        <v>35.835268045673267</v>
      </c>
      <c r="F1905" s="3">
        <v>36.719539642333984</v>
      </c>
      <c r="G1905" s="3">
        <v>297700</v>
      </c>
      <c r="H1905" s="3">
        <v>0</v>
      </c>
      <c r="I1905" s="3">
        <v>0</v>
      </c>
      <c r="J1905" s="3" t="str">
        <v>AB</v>
      </c>
      <c r="K1905" s="23">
        <v>44760</v>
      </c>
      <c r="L1905" s="22">
        <v>35.647693634033203</v>
      </c>
    </row>
    <row r="1906" spans="1:12" x14ac:dyDescent="0.25">
      <c r="A1906" s="9">
        <v>1899</v>
      </c>
      <c r="B1906" s="10">
        <v>44762</v>
      </c>
      <c r="C1906" s="3">
        <v>36.808857523803539</v>
      </c>
      <c r="D1906" s="3">
        <v>37.987884016831444</v>
      </c>
      <c r="E1906" s="3">
        <v>36.746333649725969</v>
      </c>
      <c r="F1906" s="3">
        <v>37.532352447509766</v>
      </c>
      <c r="G1906" s="3">
        <v>357500</v>
      </c>
      <c r="H1906" s="3">
        <v>0</v>
      </c>
      <c r="I1906" s="3">
        <v>0</v>
      </c>
      <c r="J1906" s="3" t="str">
        <v>AB</v>
      </c>
      <c r="K1906" s="23">
        <v>44761</v>
      </c>
      <c r="L1906" s="22">
        <v>36.719539642333984</v>
      </c>
    </row>
    <row r="1907" spans="1:12" x14ac:dyDescent="0.25">
      <c r="A1907" s="9">
        <v>1900</v>
      </c>
      <c r="B1907" s="10">
        <v>44763</v>
      </c>
      <c r="C1907" s="3">
        <v>37.621665072472069</v>
      </c>
      <c r="D1907" s="3">
        <v>37.818170591245064</v>
      </c>
      <c r="E1907" s="3">
        <v>36.907104195972579</v>
      </c>
      <c r="F1907" s="3">
        <v>37.693122863769531</v>
      </c>
      <c r="G1907" s="3">
        <v>237800</v>
      </c>
      <c r="H1907" s="3">
        <v>0</v>
      </c>
      <c r="I1907" s="3">
        <v>0</v>
      </c>
      <c r="J1907" s="3" t="str">
        <v>AB</v>
      </c>
      <c r="K1907" s="23">
        <v>44762</v>
      </c>
      <c r="L1907" s="22">
        <v>37.532352447509766</v>
      </c>
    </row>
    <row r="1908" spans="1:12" x14ac:dyDescent="0.25">
      <c r="A1908" s="9">
        <v>1901</v>
      </c>
      <c r="B1908" s="10">
        <v>44764</v>
      </c>
      <c r="C1908" s="3">
        <v>37.871772567698379</v>
      </c>
      <c r="D1908" s="3">
        <v>37.916431993792024</v>
      </c>
      <c r="E1908" s="3">
        <v>36.790995375375644</v>
      </c>
      <c r="F1908" s="3">
        <v>37.139347076416016</v>
      </c>
      <c r="G1908" s="3">
        <v>162800</v>
      </c>
      <c r="H1908" s="3">
        <v>0</v>
      </c>
      <c r="I1908" s="3">
        <v>0</v>
      </c>
      <c r="J1908" s="3" t="str">
        <v>AB</v>
      </c>
      <c r="K1908" s="23">
        <v>44763</v>
      </c>
      <c r="L1908" s="22">
        <v>37.693122863769531</v>
      </c>
    </row>
    <row r="1909" spans="1:12" x14ac:dyDescent="0.25">
      <c r="A1909" s="9">
        <v>1902</v>
      </c>
      <c r="B1909" s="10">
        <v>44767</v>
      </c>
      <c r="C1909" s="3">
        <v>37.737787561330613</v>
      </c>
      <c r="D1909" s="3">
        <v>37.737787561330613</v>
      </c>
      <c r="E1909" s="3">
        <v>36.799926066709311</v>
      </c>
      <c r="F1909" s="3">
        <v>37.335845947265625</v>
      </c>
      <c r="G1909" s="3">
        <v>196400</v>
      </c>
      <c r="H1909" s="3">
        <v>0</v>
      </c>
      <c r="I1909" s="3">
        <v>0</v>
      </c>
      <c r="J1909" s="3" t="str">
        <v>AB</v>
      </c>
      <c r="K1909" s="23">
        <v>44764</v>
      </c>
      <c r="L1909" s="22">
        <v>37.139347076416016</v>
      </c>
    </row>
    <row r="1910" spans="1:12" x14ac:dyDescent="0.25">
      <c r="A1910" s="9">
        <v>1903</v>
      </c>
      <c r="B1910" s="10">
        <v>44768</v>
      </c>
      <c r="C1910" s="3">
        <v>37.16613870934075</v>
      </c>
      <c r="D1910" s="3">
        <v>37.16613870934075</v>
      </c>
      <c r="E1910" s="3">
        <v>36.683808773381379</v>
      </c>
      <c r="F1910" s="3">
        <v>36.844585418701172</v>
      </c>
      <c r="G1910" s="3">
        <v>156200</v>
      </c>
      <c r="H1910" s="3">
        <v>0</v>
      </c>
      <c r="I1910" s="3">
        <v>0</v>
      </c>
      <c r="J1910" s="3" t="str">
        <v>AB</v>
      </c>
      <c r="K1910" s="23">
        <v>44767</v>
      </c>
      <c r="L1910" s="22">
        <v>37.335845947265625</v>
      </c>
    </row>
    <row r="1911" spans="1:12" x14ac:dyDescent="0.25">
      <c r="A1911" s="9">
        <v>1904</v>
      </c>
      <c r="B1911" s="10">
        <v>44769</v>
      </c>
      <c r="C1911" s="3">
        <v>37.103613380807872</v>
      </c>
      <c r="D1911" s="3">
        <v>37.389437759648857</v>
      </c>
      <c r="E1911" s="3">
        <v>36.701671783282947</v>
      </c>
      <c r="F1911" s="3">
        <v>37.201866149902344</v>
      </c>
      <c r="G1911" s="3">
        <v>157200</v>
      </c>
      <c r="H1911" s="3">
        <v>0</v>
      </c>
      <c r="I1911" s="3">
        <v>0</v>
      </c>
      <c r="J1911" s="3" t="str">
        <v>AB</v>
      </c>
      <c r="K1911" s="23">
        <v>44768</v>
      </c>
      <c r="L1911" s="22">
        <v>36.844585418701172</v>
      </c>
    </row>
    <row r="1912" spans="1:12" x14ac:dyDescent="0.25">
      <c r="A1912" s="9">
        <v>1905</v>
      </c>
      <c r="B1912" s="10">
        <v>44770</v>
      </c>
      <c r="C1912" s="3">
        <v>37.666327747454822</v>
      </c>
      <c r="D1912" s="3">
        <v>38.273705396856336</v>
      </c>
      <c r="E1912" s="3">
        <v>37.067884026386004</v>
      </c>
      <c r="F1912" s="3">
        <v>37.978950500488281</v>
      </c>
      <c r="G1912" s="3">
        <v>311500</v>
      </c>
      <c r="H1912" s="3">
        <v>0</v>
      </c>
      <c r="I1912" s="3">
        <v>0</v>
      </c>
      <c r="J1912" s="3" t="str">
        <v>AB</v>
      </c>
      <c r="K1912" s="23">
        <v>44769</v>
      </c>
      <c r="L1912" s="22">
        <v>37.201866149902344</v>
      </c>
    </row>
    <row r="1913" spans="1:12" x14ac:dyDescent="0.25">
      <c r="A1913" s="9">
        <v>1906</v>
      </c>
      <c r="B1913" s="10">
        <v>44771</v>
      </c>
      <c r="C1913" s="3">
        <v>37.782443339418769</v>
      </c>
      <c r="D1913" s="3">
        <v>40.024382233140081</v>
      </c>
      <c r="E1913" s="3">
        <v>37.648465085849494</v>
      </c>
      <c r="F1913" s="3">
        <v>39.354480743408203</v>
      </c>
      <c r="G1913" s="3">
        <v>520600</v>
      </c>
      <c r="H1913" s="3">
        <v>0</v>
      </c>
      <c r="I1913" s="3">
        <v>0</v>
      </c>
      <c r="J1913" s="3" t="str">
        <v>AB</v>
      </c>
      <c r="K1913" s="23">
        <v>44770</v>
      </c>
      <c r="L1913" s="22">
        <v>37.978950500488281</v>
      </c>
    </row>
    <row r="1914" spans="1:12" x14ac:dyDescent="0.25">
      <c r="A1914" s="9">
        <v>1907</v>
      </c>
      <c r="B1914" s="10">
        <v>44774</v>
      </c>
      <c r="C1914" s="3">
        <v>39.077591040687764</v>
      </c>
      <c r="D1914" s="3">
        <v>39.711763700397142</v>
      </c>
      <c r="E1914" s="3">
        <v>38.666718901210892</v>
      </c>
      <c r="F1914" s="3">
        <v>39.309822082519531</v>
      </c>
      <c r="G1914" s="3">
        <v>406300</v>
      </c>
      <c r="H1914" s="3">
        <v>0</v>
      </c>
      <c r="I1914" s="3">
        <v>0</v>
      </c>
      <c r="J1914" s="3" t="str">
        <v>AB</v>
      </c>
      <c r="K1914" s="23">
        <v>44771</v>
      </c>
      <c r="L1914" s="22">
        <v>39.354480743408203</v>
      </c>
    </row>
    <row r="1915" spans="1:12" x14ac:dyDescent="0.25">
      <c r="A1915" s="9">
        <v>1908</v>
      </c>
      <c r="B1915" s="10">
        <v>44775</v>
      </c>
      <c r="C1915" s="3">
        <v>39.309818896975735</v>
      </c>
      <c r="D1915" s="3">
        <v>39.827877697435149</v>
      </c>
      <c r="E1915" s="3">
        <v>38.604191899767429</v>
      </c>
      <c r="F1915" s="3">
        <v>39.291957855224609</v>
      </c>
      <c r="G1915" s="3">
        <v>243500</v>
      </c>
      <c r="H1915" s="3">
        <v>0</v>
      </c>
      <c r="I1915" s="3">
        <v>0</v>
      </c>
      <c r="J1915" s="3" t="str">
        <v>AB</v>
      </c>
      <c r="K1915" s="23">
        <v>44774</v>
      </c>
      <c r="L1915" s="22">
        <v>39.309822082519531</v>
      </c>
    </row>
    <row r="1916" spans="1:12" x14ac:dyDescent="0.25">
      <c r="A1916" s="9">
        <v>1909</v>
      </c>
      <c r="B1916" s="10">
        <v>44776</v>
      </c>
      <c r="C1916" s="3">
        <v>39.801088079116994</v>
      </c>
      <c r="D1916" s="3">
        <v>40.810404031234683</v>
      </c>
      <c r="E1916" s="3">
        <v>39.488465289713268</v>
      </c>
      <c r="F1916" s="3">
        <v>40.435260772705078</v>
      </c>
      <c r="G1916" s="3">
        <v>378800</v>
      </c>
      <c r="H1916" s="3">
        <v>0</v>
      </c>
      <c r="I1916" s="3">
        <v>0</v>
      </c>
      <c r="J1916" s="3" t="str">
        <v>AB</v>
      </c>
      <c r="K1916" s="23">
        <v>44775</v>
      </c>
      <c r="L1916" s="22">
        <v>39.291957855224609</v>
      </c>
    </row>
    <row r="1917" spans="1:12" x14ac:dyDescent="0.25">
      <c r="A1917" s="9">
        <v>1910</v>
      </c>
      <c r="B1917" s="10">
        <v>44777</v>
      </c>
      <c r="C1917" s="3">
        <v>40.167298892140586</v>
      </c>
      <c r="D1917" s="3">
        <v>40.863995428788641</v>
      </c>
      <c r="E1917" s="3">
        <v>40.086910568120004</v>
      </c>
      <c r="F1917" s="3">
        <v>40.301277160644531</v>
      </c>
      <c r="G1917" s="3">
        <v>269300</v>
      </c>
      <c r="H1917" s="3">
        <v>0</v>
      </c>
      <c r="I1917" s="3">
        <v>0</v>
      </c>
      <c r="J1917" s="3" t="str">
        <v>AB</v>
      </c>
      <c r="K1917" s="23">
        <v>44776</v>
      </c>
      <c r="L1917" s="22">
        <v>40.435260772705078</v>
      </c>
    </row>
    <row r="1918" spans="1:12" x14ac:dyDescent="0.25">
      <c r="A1918" s="9">
        <v>1911</v>
      </c>
      <c r="B1918" s="10">
        <v>44778</v>
      </c>
      <c r="C1918" s="3">
        <v>40.745941728843945</v>
      </c>
      <c r="D1918" s="3">
        <v>40.745941728843945</v>
      </c>
      <c r="E1918" s="3">
        <v>39.647885917133259</v>
      </c>
      <c r="F1918" s="3">
        <v>39.911056518554688</v>
      </c>
      <c r="G1918" s="3">
        <v>231100</v>
      </c>
      <c r="H1918" s="3">
        <v>0.71</v>
      </c>
      <c r="I1918" s="3">
        <v>0</v>
      </c>
      <c r="J1918" s="3" t="str">
        <v>AB</v>
      </c>
      <c r="K1918" s="23">
        <v>44777</v>
      </c>
      <c r="L1918" s="22">
        <v>40.301277160644531</v>
      </c>
    </row>
    <row r="1919" spans="1:12" x14ac:dyDescent="0.25">
      <c r="A1919" s="9">
        <v>1912</v>
      </c>
      <c r="B1919" s="10">
        <v>44781</v>
      </c>
      <c r="C1919" s="3">
        <v>40.083475977427781</v>
      </c>
      <c r="D1919" s="3">
        <v>40.473693491969541</v>
      </c>
      <c r="E1919" s="3">
        <v>39.402864516497111</v>
      </c>
      <c r="F1919" s="3">
        <v>40.128852844238281</v>
      </c>
      <c r="G1919" s="3">
        <v>264000</v>
      </c>
      <c r="H1919" s="3">
        <v>0</v>
      </c>
      <c r="I1919" s="3">
        <v>0</v>
      </c>
      <c r="J1919" s="3" t="str">
        <v>AB</v>
      </c>
      <c r="K1919" s="23">
        <v>44778</v>
      </c>
      <c r="L1919" s="22">
        <v>39.911056518554688</v>
      </c>
    </row>
    <row r="1920" spans="1:12" x14ac:dyDescent="0.25">
      <c r="A1920" s="9">
        <v>1913</v>
      </c>
      <c r="B1920" s="10">
        <v>44782</v>
      </c>
      <c r="C1920" s="3">
        <v>39.929204926620123</v>
      </c>
      <c r="D1920" s="3">
        <v>40.110702005003979</v>
      </c>
      <c r="E1920" s="3">
        <v>39.048946346608147</v>
      </c>
      <c r="F1920" s="3">
        <v>39.321193695068359</v>
      </c>
      <c r="G1920" s="3">
        <v>232600</v>
      </c>
      <c r="H1920" s="3">
        <v>0</v>
      </c>
      <c r="I1920" s="3">
        <v>0</v>
      </c>
      <c r="J1920" s="3" t="str">
        <v>AB</v>
      </c>
      <c r="K1920" s="23">
        <v>44781</v>
      </c>
      <c r="L1920" s="22">
        <v>40.128852844238281</v>
      </c>
    </row>
    <row r="1921" spans="1:12" x14ac:dyDescent="0.25">
      <c r="A1921" s="9">
        <v>1914</v>
      </c>
      <c r="B1921" s="10">
        <v>44783</v>
      </c>
      <c r="C1921" s="3">
        <v>39.802165276212214</v>
      </c>
      <c r="D1921" s="3">
        <v>40.600750489822524</v>
      </c>
      <c r="E1921" s="3">
        <v>39.720491749118324</v>
      </c>
      <c r="F1921" s="3">
        <v>40.056259155273438</v>
      </c>
      <c r="G1921" s="3">
        <v>315600</v>
      </c>
      <c r="H1921" s="3">
        <v>0</v>
      </c>
      <c r="I1921" s="3">
        <v>0</v>
      </c>
      <c r="J1921" s="3" t="str">
        <v>AB</v>
      </c>
      <c r="K1921" s="23">
        <v>44782</v>
      </c>
      <c r="L1921" s="22">
        <v>39.321193695068359</v>
      </c>
    </row>
    <row r="1922" spans="1:12" x14ac:dyDescent="0.25">
      <c r="A1922" s="9">
        <v>1915</v>
      </c>
      <c r="B1922" s="10">
        <v>44784</v>
      </c>
      <c r="C1922" s="3">
        <v>40.328497544714139</v>
      </c>
      <c r="D1922" s="3">
        <v>40.981885671595528</v>
      </c>
      <c r="E1922" s="3">
        <v>40.04718034923831</v>
      </c>
      <c r="F1922" s="3">
        <v>40.219600677490234</v>
      </c>
      <c r="G1922" s="3">
        <v>248600</v>
      </c>
      <c r="H1922" s="3">
        <v>0</v>
      </c>
      <c r="I1922" s="3">
        <v>0</v>
      </c>
      <c r="J1922" s="3" t="str">
        <v>AB</v>
      </c>
      <c r="K1922" s="23">
        <v>44783</v>
      </c>
      <c r="L1922" s="22">
        <v>40.056259155273438</v>
      </c>
    </row>
    <row r="1923" spans="1:12" x14ac:dyDescent="0.25">
      <c r="A1923" s="9">
        <v>1916</v>
      </c>
      <c r="B1923" s="10">
        <v>44785</v>
      </c>
      <c r="C1923" s="3">
        <v>40.364801147607224</v>
      </c>
      <c r="D1923" s="3">
        <v>41.208759730610105</v>
      </c>
      <c r="E1923" s="3">
        <v>40.337577793887547</v>
      </c>
      <c r="F1923" s="3">
        <v>40.936515808105469</v>
      </c>
      <c r="G1923" s="3">
        <v>192000</v>
      </c>
      <c r="H1923" s="3">
        <v>0</v>
      </c>
      <c r="I1923" s="3">
        <v>0</v>
      </c>
      <c r="J1923" s="3" t="str">
        <v>AB</v>
      </c>
      <c r="K1923" s="23">
        <v>44784</v>
      </c>
      <c r="L1923" s="22">
        <v>40.219600677490234</v>
      </c>
    </row>
    <row r="1924" spans="1:12" x14ac:dyDescent="0.25">
      <c r="A1924" s="9">
        <v>1917</v>
      </c>
      <c r="B1924" s="10">
        <v>44788</v>
      </c>
      <c r="C1924" s="3">
        <v>40.981889369025332</v>
      </c>
      <c r="D1924" s="3">
        <v>41.145236415483026</v>
      </c>
      <c r="E1924" s="3">
        <v>40.609821865820436</v>
      </c>
      <c r="F1924" s="3">
        <v>40.646121978759766</v>
      </c>
      <c r="G1924" s="3">
        <v>150500</v>
      </c>
      <c r="H1924" s="3">
        <v>0</v>
      </c>
      <c r="I1924" s="3">
        <v>0</v>
      </c>
      <c r="J1924" s="3" t="str">
        <v>AB</v>
      </c>
      <c r="K1924" s="23">
        <v>44785</v>
      </c>
      <c r="L1924" s="22">
        <v>40.936515808105469</v>
      </c>
    </row>
    <row r="1925" spans="1:12" x14ac:dyDescent="0.25">
      <c r="A1925" s="9">
        <v>1918</v>
      </c>
      <c r="B1925" s="10">
        <v>44789</v>
      </c>
      <c r="C1925" s="3">
        <v>40.564448455530922</v>
      </c>
      <c r="D1925" s="3">
        <v>41.081712948723847</v>
      </c>
      <c r="E1925" s="3">
        <v>40.500924988771743</v>
      </c>
      <c r="F1925" s="3">
        <v>40.646121978759766</v>
      </c>
      <c r="G1925" s="3">
        <v>263000</v>
      </c>
      <c r="H1925" s="3">
        <v>0</v>
      </c>
      <c r="I1925" s="3">
        <v>0</v>
      </c>
      <c r="J1925" s="3" t="str">
        <v>AB</v>
      </c>
      <c r="K1925" s="23">
        <v>44788</v>
      </c>
      <c r="L1925" s="22">
        <v>40.646121978759766</v>
      </c>
    </row>
    <row r="1926" spans="1:12" x14ac:dyDescent="0.25">
      <c r="A1926" s="9">
        <v>1919</v>
      </c>
      <c r="B1926" s="10">
        <v>44790</v>
      </c>
      <c r="C1926" s="3">
        <v>40.473700888701636</v>
      </c>
      <c r="D1926" s="3">
        <v>40.682424821222149</v>
      </c>
      <c r="E1926" s="3">
        <v>39.874762832095058</v>
      </c>
      <c r="F1926" s="3">
        <v>40.573524475097656</v>
      </c>
      <c r="G1926" s="3">
        <v>136200</v>
      </c>
      <c r="H1926" s="3">
        <v>0</v>
      </c>
      <c r="I1926" s="3">
        <v>0</v>
      </c>
      <c r="J1926" s="3" t="str">
        <v>AB</v>
      </c>
      <c r="K1926" s="23">
        <v>44789</v>
      </c>
      <c r="L1926" s="22">
        <v>40.646121978759766</v>
      </c>
    </row>
    <row r="1927" spans="1:12" x14ac:dyDescent="0.25">
      <c r="A1927" s="9">
        <v>1920</v>
      </c>
      <c r="B1927" s="10">
        <v>44791</v>
      </c>
      <c r="C1927" s="3">
        <v>40.863918474557238</v>
      </c>
      <c r="D1927" s="3">
        <v>40.891145291973132</v>
      </c>
      <c r="E1927" s="3">
        <v>39.983663178219551</v>
      </c>
      <c r="F1927" s="3">
        <v>40.573524475097656</v>
      </c>
      <c r="G1927" s="3">
        <v>262100</v>
      </c>
      <c r="H1927" s="3">
        <v>0</v>
      </c>
      <c r="I1927" s="3">
        <v>0</v>
      </c>
      <c r="J1927" s="3" t="str">
        <v>AB</v>
      </c>
      <c r="K1927" s="23">
        <v>44790</v>
      </c>
      <c r="L1927" s="22">
        <v>40.573524475097656</v>
      </c>
    </row>
    <row r="1928" spans="1:12" x14ac:dyDescent="0.25">
      <c r="A1928" s="9">
        <v>1921</v>
      </c>
      <c r="B1928" s="10">
        <v>44792</v>
      </c>
      <c r="C1928" s="3">
        <v>40.110708430421539</v>
      </c>
      <c r="D1928" s="3">
        <v>40.555372708836408</v>
      </c>
      <c r="E1928" s="3">
        <v>39.711414101659493</v>
      </c>
      <c r="F1928" s="3">
        <v>40.274055480957031</v>
      </c>
      <c r="G1928" s="3">
        <v>232900</v>
      </c>
      <c r="H1928" s="3">
        <v>0</v>
      </c>
      <c r="I1928" s="3">
        <v>0</v>
      </c>
      <c r="J1928" s="3" t="str">
        <v>AB</v>
      </c>
      <c r="K1928" s="23">
        <v>44791</v>
      </c>
      <c r="L1928" s="22">
        <v>40.573524475097656</v>
      </c>
    </row>
    <row r="1929" spans="1:12" x14ac:dyDescent="0.25">
      <c r="A1929" s="9">
        <v>1922</v>
      </c>
      <c r="B1929" s="10">
        <v>44795</v>
      </c>
      <c r="C1929" s="3">
        <v>39.684190281598525</v>
      </c>
      <c r="D1929" s="3">
        <v>39.847537330217683</v>
      </c>
      <c r="E1929" s="3">
        <v>39.348422886889963</v>
      </c>
      <c r="F1929" s="3">
        <v>39.502693176269531</v>
      </c>
      <c r="G1929" s="3">
        <v>185300</v>
      </c>
      <c r="H1929" s="3">
        <v>0</v>
      </c>
      <c r="I1929" s="3">
        <v>0</v>
      </c>
      <c r="J1929" s="3" t="str">
        <v>AB</v>
      </c>
      <c r="K1929" s="23">
        <v>44792</v>
      </c>
      <c r="L1929" s="22">
        <v>40.274055480957031</v>
      </c>
    </row>
    <row r="1930" spans="1:12" x14ac:dyDescent="0.25">
      <c r="A1930" s="9">
        <v>1923</v>
      </c>
      <c r="B1930" s="10">
        <v>44796</v>
      </c>
      <c r="C1930" s="3">
        <v>39.348419039471786</v>
      </c>
      <c r="D1930" s="3">
        <v>40.047180576514684</v>
      </c>
      <c r="E1930" s="3">
        <v>39.348419039471786</v>
      </c>
      <c r="F1930" s="3">
        <v>39.774936676025391</v>
      </c>
      <c r="G1930" s="3">
        <v>154900</v>
      </c>
      <c r="H1930" s="3">
        <v>0</v>
      </c>
      <c r="I1930" s="3">
        <v>0</v>
      </c>
      <c r="J1930" s="3" t="str">
        <v>AB</v>
      </c>
      <c r="K1930" s="23">
        <v>44795</v>
      </c>
      <c r="L1930" s="22">
        <v>39.502693176269531</v>
      </c>
    </row>
    <row r="1931" spans="1:12" x14ac:dyDescent="0.25">
      <c r="A1931" s="9">
        <v>1924</v>
      </c>
      <c r="B1931" s="10">
        <v>44797</v>
      </c>
      <c r="C1931" s="3">
        <v>39.847533035261343</v>
      </c>
      <c r="D1931" s="3">
        <v>40.201450448532832</v>
      </c>
      <c r="E1931" s="3">
        <v>39.620662543495612</v>
      </c>
      <c r="F1931" s="3">
        <v>40.04718017578125</v>
      </c>
      <c r="G1931" s="3">
        <v>152900</v>
      </c>
      <c r="H1931" s="3">
        <v>0</v>
      </c>
      <c r="I1931" s="3">
        <v>0</v>
      </c>
      <c r="J1931" s="3" t="str">
        <v>AB</v>
      </c>
      <c r="K1931" s="23">
        <v>44796</v>
      </c>
      <c r="L1931" s="22">
        <v>39.774936676025391</v>
      </c>
    </row>
    <row r="1932" spans="1:12" x14ac:dyDescent="0.25">
      <c r="A1932" s="9">
        <v>1925</v>
      </c>
      <c r="B1932" s="10">
        <v>44798</v>
      </c>
      <c r="C1932" s="3">
        <v>40.156080569438778</v>
      </c>
      <c r="D1932" s="3">
        <v>41.000039149873615</v>
      </c>
      <c r="E1932" s="3">
        <v>40.147007272149594</v>
      </c>
      <c r="F1932" s="3">
        <v>40.627971649169922</v>
      </c>
      <c r="G1932" s="3">
        <v>260200</v>
      </c>
      <c r="H1932" s="3">
        <v>0</v>
      </c>
      <c r="I1932" s="3">
        <v>0</v>
      </c>
      <c r="J1932" s="3" t="str">
        <v>AB</v>
      </c>
      <c r="K1932" s="23">
        <v>44797</v>
      </c>
      <c r="L1932" s="22">
        <v>40.04718017578125</v>
      </c>
    </row>
    <row r="1933" spans="1:12" x14ac:dyDescent="0.25">
      <c r="A1933" s="9">
        <v>1926</v>
      </c>
      <c r="B1933" s="10">
        <v>44799</v>
      </c>
      <c r="C1933" s="3">
        <v>40.655193187896209</v>
      </c>
      <c r="D1933" s="3">
        <v>40.809466929079605</v>
      </c>
      <c r="E1933" s="3">
        <v>39.448243919696232</v>
      </c>
      <c r="F1933" s="3">
        <v>39.747711181640625</v>
      </c>
      <c r="G1933" s="3">
        <v>247600</v>
      </c>
      <c r="H1933" s="3">
        <v>0</v>
      </c>
      <c r="I1933" s="3">
        <v>0</v>
      </c>
      <c r="J1933" s="3" t="str">
        <v>AB</v>
      </c>
      <c r="K1933" s="23">
        <v>44798</v>
      </c>
      <c r="L1933" s="22">
        <v>40.627971649169922</v>
      </c>
    </row>
    <row r="1934" spans="1:12" x14ac:dyDescent="0.25">
      <c r="A1934" s="9">
        <v>1927</v>
      </c>
      <c r="B1934" s="10">
        <v>44802</v>
      </c>
      <c r="C1934" s="3">
        <v>39.030800782243738</v>
      </c>
      <c r="D1934" s="3">
        <v>39.702339010979344</v>
      </c>
      <c r="E1934" s="3">
        <v>38.912830610227822</v>
      </c>
      <c r="F1934" s="3">
        <v>39.529918670654297</v>
      </c>
      <c r="G1934" s="3">
        <v>264500</v>
      </c>
      <c r="H1934" s="3">
        <v>0</v>
      </c>
      <c r="I1934" s="3">
        <v>0</v>
      </c>
      <c r="J1934" s="3" t="str">
        <v>AB</v>
      </c>
      <c r="K1934" s="23">
        <v>44799</v>
      </c>
      <c r="L1934" s="22">
        <v>39.747711181640625</v>
      </c>
    </row>
    <row r="1935" spans="1:12" x14ac:dyDescent="0.25">
      <c r="A1935" s="9">
        <v>1928</v>
      </c>
      <c r="B1935" s="10">
        <v>44803</v>
      </c>
      <c r="C1935" s="3">
        <v>39.8203125</v>
      </c>
      <c r="D1935" s="3">
        <v>39.86568590920804</v>
      </c>
      <c r="E1935" s="3">
        <v>38.88560365382223</v>
      </c>
      <c r="F1935" s="3">
        <v>39.8203125</v>
      </c>
      <c r="G1935" s="3">
        <v>187300</v>
      </c>
      <c r="H1935" s="3">
        <v>0</v>
      </c>
      <c r="I1935" s="3">
        <v>0</v>
      </c>
      <c r="J1935" s="3" t="str">
        <v>AB</v>
      </c>
      <c r="K1935" s="23">
        <v>44802</v>
      </c>
      <c r="L1935" s="22">
        <v>39.529918670654297</v>
      </c>
    </row>
    <row r="1936" spans="1:12" x14ac:dyDescent="0.25">
      <c r="A1936" s="9">
        <v>1929</v>
      </c>
      <c r="B1936" s="10">
        <v>44804</v>
      </c>
      <c r="C1936" s="3">
        <v>39.838464865801285</v>
      </c>
      <c r="D1936" s="3">
        <v>40.165155508101613</v>
      </c>
      <c r="E1936" s="3">
        <v>39.058029719805639</v>
      </c>
      <c r="F1936" s="3">
        <v>39.094329833984375</v>
      </c>
      <c r="G1936" s="3">
        <v>129700</v>
      </c>
      <c r="H1936" s="3">
        <v>0</v>
      </c>
      <c r="I1936" s="3">
        <v>0</v>
      </c>
      <c r="J1936" s="3" t="str">
        <v>AB</v>
      </c>
      <c r="K1936" s="23">
        <v>44803</v>
      </c>
      <c r="L1936" s="22">
        <v>39.8203125</v>
      </c>
    </row>
    <row r="1937" spans="1:12" x14ac:dyDescent="0.25">
      <c r="A1937" s="9">
        <v>1930</v>
      </c>
      <c r="B1937" s="10">
        <v>44805</v>
      </c>
      <c r="C1937" s="3">
        <v>38.79485420848048</v>
      </c>
      <c r="D1937" s="3">
        <v>39.021724700927734</v>
      </c>
      <c r="E1937" s="3">
        <v>37.787548668131635</v>
      </c>
      <c r="F1937" s="3">
        <v>39.021724700927734</v>
      </c>
      <c r="G1937" s="3">
        <v>269400</v>
      </c>
      <c r="H1937" s="3">
        <v>0</v>
      </c>
      <c r="I1937" s="3">
        <v>0</v>
      </c>
      <c r="J1937" s="3" t="str">
        <v>AB</v>
      </c>
      <c r="K1937" s="23">
        <v>44804</v>
      </c>
      <c r="L1937" s="22">
        <v>39.094329833984375</v>
      </c>
    </row>
    <row r="1938" spans="1:12" x14ac:dyDescent="0.25">
      <c r="A1938" s="9">
        <v>1931</v>
      </c>
      <c r="B1938" s="10">
        <v>44806</v>
      </c>
      <c r="C1938" s="3">
        <v>39.021726647802303</v>
      </c>
      <c r="D1938" s="3">
        <v>39.892908551440264</v>
      </c>
      <c r="E1938" s="3">
        <v>38.658732457068567</v>
      </c>
      <c r="F1938" s="3">
        <v>39.012653350830078</v>
      </c>
      <c r="G1938" s="3">
        <v>273400</v>
      </c>
      <c r="H1938" s="3">
        <v>0</v>
      </c>
      <c r="I1938" s="3">
        <v>0</v>
      </c>
      <c r="J1938" s="3" t="str">
        <v>AB</v>
      </c>
      <c r="K1938" s="23">
        <v>44805</v>
      </c>
      <c r="L1938" s="22">
        <v>39.021724700927734</v>
      </c>
    </row>
    <row r="1939" spans="1:12" x14ac:dyDescent="0.25">
      <c r="A1939" s="9">
        <v>1932</v>
      </c>
      <c r="B1939" s="10">
        <v>44810</v>
      </c>
      <c r="C1939" s="3">
        <v>39.012657059516044</v>
      </c>
      <c r="D1939" s="3">
        <v>39.357497765548835</v>
      </c>
      <c r="E1939" s="3">
        <v>38.214071841046902</v>
      </c>
      <c r="F1939" s="3">
        <v>38.704113006591797</v>
      </c>
      <c r="G1939" s="3">
        <v>224400</v>
      </c>
      <c r="H1939" s="3">
        <v>0</v>
      </c>
      <c r="I1939" s="3">
        <v>0</v>
      </c>
      <c r="J1939" s="3" t="str">
        <v>AB</v>
      </c>
      <c r="K1939" s="23">
        <v>44806</v>
      </c>
      <c r="L1939" s="22">
        <v>39.012653350830078</v>
      </c>
    </row>
    <row r="1940" spans="1:12" x14ac:dyDescent="0.25">
      <c r="A1940" s="9">
        <v>1933</v>
      </c>
      <c r="B1940" s="10">
        <v>44811</v>
      </c>
      <c r="C1940" s="3">
        <v>38.386490841304173</v>
      </c>
      <c r="D1940" s="3">
        <v>38.749485053753368</v>
      </c>
      <c r="E1940" s="3">
        <v>38.232220551163358</v>
      </c>
      <c r="F1940" s="3">
        <v>38.613361358642578</v>
      </c>
      <c r="G1940" s="3">
        <v>224100</v>
      </c>
      <c r="H1940" s="3">
        <v>0</v>
      </c>
      <c r="I1940" s="3">
        <v>0</v>
      </c>
      <c r="J1940" s="3" t="str">
        <v>AB</v>
      </c>
      <c r="K1940" s="23">
        <v>44810</v>
      </c>
      <c r="L1940" s="22">
        <v>38.704113006591797</v>
      </c>
    </row>
    <row r="1941" spans="1:12" x14ac:dyDescent="0.25">
      <c r="A1941" s="9">
        <v>1934</v>
      </c>
      <c r="B1941" s="10">
        <v>44812</v>
      </c>
      <c r="C1941" s="3">
        <v>38.259443529750392</v>
      </c>
      <c r="D1941" s="3">
        <v>39.466396331787109</v>
      </c>
      <c r="E1941" s="3">
        <v>38.177770005839868</v>
      </c>
      <c r="F1941" s="3">
        <v>39.466396331787109</v>
      </c>
      <c r="G1941" s="3">
        <v>150500</v>
      </c>
      <c r="H1941" s="3">
        <v>0</v>
      </c>
      <c r="I1941" s="3">
        <v>0</v>
      </c>
      <c r="J1941" s="3" t="str">
        <v>AB</v>
      </c>
      <c r="K1941" s="23">
        <v>44811</v>
      </c>
      <c r="L1941" s="22">
        <v>38.613361358642578</v>
      </c>
    </row>
    <row r="1942" spans="1:12" x14ac:dyDescent="0.25">
      <c r="A1942" s="9">
        <v>1935</v>
      </c>
      <c r="B1942" s="10">
        <v>44813</v>
      </c>
      <c r="C1942" s="3">
        <v>39.5843624563445</v>
      </c>
      <c r="D1942" s="3">
        <v>40.110703659187358</v>
      </c>
      <c r="E1942" s="3">
        <v>39.5843624563445</v>
      </c>
      <c r="F1942" s="3">
        <v>39.911056518554688</v>
      </c>
      <c r="G1942" s="3">
        <v>170000</v>
      </c>
      <c r="H1942" s="3">
        <v>0</v>
      </c>
      <c r="I1942" s="3">
        <v>0</v>
      </c>
      <c r="J1942" s="3" t="str">
        <v>AB</v>
      </c>
      <c r="K1942" s="23">
        <v>44812</v>
      </c>
      <c r="L1942" s="22">
        <v>39.466396331787109</v>
      </c>
    </row>
    <row r="1943" spans="1:12" x14ac:dyDescent="0.25">
      <c r="A1943" s="9">
        <v>1936</v>
      </c>
      <c r="B1943" s="10">
        <v>44816</v>
      </c>
      <c r="C1943" s="3">
        <v>39.738637140284816</v>
      </c>
      <c r="D1943" s="3">
        <v>40.364798466633651</v>
      </c>
      <c r="E1943" s="3">
        <v>39.393793015072717</v>
      </c>
      <c r="F1943" s="3">
        <v>39.675113677978516</v>
      </c>
      <c r="G1943" s="3">
        <v>208100</v>
      </c>
      <c r="H1943" s="3">
        <v>0</v>
      </c>
      <c r="I1943" s="3">
        <v>0</v>
      </c>
      <c r="J1943" s="3" t="str">
        <v>AB</v>
      </c>
      <c r="K1943" s="23">
        <v>44813</v>
      </c>
      <c r="L1943" s="22">
        <v>39.911056518554688</v>
      </c>
    </row>
    <row r="1944" spans="1:12" x14ac:dyDescent="0.25">
      <c r="A1944" s="9">
        <v>1937</v>
      </c>
      <c r="B1944" s="10">
        <v>44817</v>
      </c>
      <c r="C1944" s="3">
        <v>39.003578454595207</v>
      </c>
      <c r="D1944" s="3">
        <v>39.039878567755828</v>
      </c>
      <c r="E1944" s="3">
        <v>38.350190264781432</v>
      </c>
      <c r="F1944" s="3">
        <v>38.558914184570313</v>
      </c>
      <c r="G1944" s="3">
        <v>207000</v>
      </c>
      <c r="H1944" s="3">
        <v>0</v>
      </c>
      <c r="I1944" s="3">
        <v>0</v>
      </c>
      <c r="J1944" s="3" t="str">
        <v>AB</v>
      </c>
      <c r="K1944" s="23">
        <v>44816</v>
      </c>
      <c r="L1944" s="22">
        <v>39.675113677978516</v>
      </c>
    </row>
    <row r="1945" spans="1:12" x14ac:dyDescent="0.25">
      <c r="A1945" s="9">
        <v>1938</v>
      </c>
      <c r="B1945" s="10">
        <v>44818</v>
      </c>
      <c r="C1945" s="3">
        <v>38.477241435829384</v>
      </c>
      <c r="D1945" s="3">
        <v>39.23952651870917</v>
      </c>
      <c r="E1945" s="3">
        <v>37.869226644335441</v>
      </c>
      <c r="F1945" s="3">
        <v>38.495388031005859</v>
      </c>
      <c r="G1945" s="3">
        <v>349300</v>
      </c>
      <c r="H1945" s="3">
        <v>0</v>
      </c>
      <c r="I1945" s="3">
        <v>0</v>
      </c>
      <c r="J1945" s="3" t="str">
        <v>AB</v>
      </c>
      <c r="K1945" s="23">
        <v>44817</v>
      </c>
      <c r="L1945" s="22">
        <v>38.558914184570313</v>
      </c>
    </row>
    <row r="1946" spans="1:12" x14ac:dyDescent="0.25">
      <c r="A1946" s="9">
        <v>1939</v>
      </c>
      <c r="B1946" s="10">
        <v>44819</v>
      </c>
      <c r="C1946" s="3">
        <v>38.450012176696731</v>
      </c>
      <c r="D1946" s="3">
        <v>39.275820675536629</v>
      </c>
      <c r="E1946" s="3">
        <v>38.431862120903979</v>
      </c>
      <c r="F1946" s="3">
        <v>38.586135864257813</v>
      </c>
      <c r="G1946" s="3">
        <v>198300</v>
      </c>
      <c r="H1946" s="3">
        <v>0</v>
      </c>
      <c r="I1946" s="3">
        <v>0</v>
      </c>
      <c r="J1946" s="3" t="str">
        <v>AB</v>
      </c>
      <c r="K1946" s="23">
        <v>44818</v>
      </c>
      <c r="L1946" s="22">
        <v>38.495388031005859</v>
      </c>
    </row>
    <row r="1947" spans="1:12" x14ac:dyDescent="0.25">
      <c r="A1947" s="9">
        <v>1940</v>
      </c>
      <c r="B1947" s="10">
        <v>44820</v>
      </c>
      <c r="C1947" s="3">
        <v>38.032570707463094</v>
      </c>
      <c r="D1947" s="3">
        <v>38.114244226419046</v>
      </c>
      <c r="E1947" s="3">
        <v>37.642353168203464</v>
      </c>
      <c r="F1947" s="3">
        <v>38.087020874023438</v>
      </c>
      <c r="G1947" s="3">
        <v>151200</v>
      </c>
      <c r="H1947" s="3">
        <v>0</v>
      </c>
      <c r="I1947" s="3">
        <v>0</v>
      </c>
      <c r="J1947" s="3" t="str">
        <v>AB</v>
      </c>
      <c r="K1947" s="23">
        <v>44819</v>
      </c>
      <c r="L1947" s="22">
        <v>38.586135864257813</v>
      </c>
    </row>
    <row r="1948" spans="1:12" x14ac:dyDescent="0.25">
      <c r="A1948" s="9">
        <v>1941</v>
      </c>
      <c r="B1948" s="10">
        <v>44823</v>
      </c>
      <c r="C1948" s="3">
        <v>37.687729921695755</v>
      </c>
      <c r="D1948" s="3">
        <v>38.459091771814066</v>
      </c>
      <c r="E1948" s="3">
        <v>37.66957986456444</v>
      </c>
      <c r="F1948" s="3">
        <v>38.359268188476563</v>
      </c>
      <c r="G1948" s="3">
        <v>117800</v>
      </c>
      <c r="H1948" s="3">
        <v>0</v>
      </c>
      <c r="I1948" s="3">
        <v>0</v>
      </c>
      <c r="J1948" s="3" t="str">
        <v>AB</v>
      </c>
      <c r="K1948" s="23">
        <v>44820</v>
      </c>
      <c r="L1948" s="22">
        <v>38.087020874023438</v>
      </c>
    </row>
    <row r="1949" spans="1:12" x14ac:dyDescent="0.25">
      <c r="A1949" s="9">
        <v>1942</v>
      </c>
      <c r="B1949" s="10">
        <v>44824</v>
      </c>
      <c r="C1949" s="3">
        <v>37.969050236501118</v>
      </c>
      <c r="D1949" s="3">
        <v>38.13239728728697</v>
      </c>
      <c r="E1949" s="3">
        <v>37.161391741931858</v>
      </c>
      <c r="F1949" s="3">
        <v>37.569759368896484</v>
      </c>
      <c r="G1949" s="3">
        <v>262300</v>
      </c>
      <c r="H1949" s="3">
        <v>0</v>
      </c>
      <c r="I1949" s="3">
        <v>0</v>
      </c>
      <c r="J1949" s="3" t="str">
        <v>AB</v>
      </c>
      <c r="K1949" s="23">
        <v>44823</v>
      </c>
      <c r="L1949" s="22">
        <v>38.359268188476563</v>
      </c>
    </row>
    <row r="1950" spans="1:12" x14ac:dyDescent="0.25">
      <c r="A1950" s="9">
        <v>1943</v>
      </c>
      <c r="B1950" s="10">
        <v>44825</v>
      </c>
      <c r="C1950" s="3">
        <v>37.823845686470499</v>
      </c>
      <c r="D1950" s="3">
        <v>37.99626600040196</v>
      </c>
      <c r="E1950" s="3">
        <v>37.007110595703125</v>
      </c>
      <c r="F1950" s="3">
        <v>37.007110595703125</v>
      </c>
      <c r="G1950" s="3">
        <v>219800</v>
      </c>
      <c r="H1950" s="3">
        <v>0</v>
      </c>
      <c r="I1950" s="3">
        <v>0</v>
      </c>
      <c r="J1950" s="3" t="str">
        <v>AB</v>
      </c>
      <c r="K1950" s="23">
        <v>44824</v>
      </c>
      <c r="L1950" s="22">
        <v>37.569759368896484</v>
      </c>
    </row>
    <row r="1951" spans="1:12" x14ac:dyDescent="0.25">
      <c r="A1951" s="9">
        <v>1944</v>
      </c>
      <c r="B1951" s="10">
        <v>44826</v>
      </c>
      <c r="C1951" s="3">
        <v>36.852843233546359</v>
      </c>
      <c r="D1951" s="3">
        <v>36.852843233546359</v>
      </c>
      <c r="E1951" s="3">
        <v>35.654967314054595</v>
      </c>
      <c r="F1951" s="3">
        <v>35.890911102294922</v>
      </c>
      <c r="G1951" s="3">
        <v>390000</v>
      </c>
      <c r="H1951" s="3">
        <v>0</v>
      </c>
      <c r="I1951" s="3">
        <v>0</v>
      </c>
      <c r="J1951" s="3" t="str">
        <v>AB</v>
      </c>
      <c r="K1951" s="23">
        <v>44825</v>
      </c>
      <c r="L1951" s="22">
        <v>37.007110595703125</v>
      </c>
    </row>
    <row r="1952" spans="1:12" x14ac:dyDescent="0.25">
      <c r="A1952" s="9">
        <v>1945</v>
      </c>
      <c r="B1952" s="10">
        <v>44827</v>
      </c>
      <c r="C1952" s="3">
        <v>35.400872217031306</v>
      </c>
      <c r="D1952" s="3">
        <v>35.564219258218877</v>
      </c>
      <c r="E1952" s="3">
        <v>33.948902363996467</v>
      </c>
      <c r="F1952" s="3">
        <v>34.702114105224609</v>
      </c>
      <c r="G1952" s="3">
        <v>573500</v>
      </c>
      <c r="H1952" s="3">
        <v>0</v>
      </c>
      <c r="I1952" s="3">
        <v>0</v>
      </c>
      <c r="J1952" s="3" t="str">
        <v>AB</v>
      </c>
      <c r="K1952" s="23">
        <v>44826</v>
      </c>
      <c r="L1952" s="22">
        <v>35.890911102294922</v>
      </c>
    </row>
    <row r="1953" spans="1:12" x14ac:dyDescent="0.25">
      <c r="A1953" s="9">
        <v>1946</v>
      </c>
      <c r="B1953" s="10">
        <v>44830</v>
      </c>
      <c r="C1953" s="3">
        <v>34.039648369563736</v>
      </c>
      <c r="D1953" s="3">
        <v>34.801933389663489</v>
      </c>
      <c r="E1953" s="3">
        <v>33.604057424045173</v>
      </c>
      <c r="F1953" s="3">
        <v>34.048725128173828</v>
      </c>
      <c r="G1953" s="3">
        <v>384600</v>
      </c>
      <c r="H1953" s="3">
        <v>0</v>
      </c>
      <c r="I1953" s="3">
        <v>0</v>
      </c>
      <c r="J1953" s="3" t="str">
        <v>AB</v>
      </c>
      <c r="K1953" s="23">
        <v>44827</v>
      </c>
      <c r="L1953" s="22">
        <v>34.702114105224609</v>
      </c>
    </row>
    <row r="1954" spans="1:12" x14ac:dyDescent="0.25">
      <c r="A1954" s="9">
        <v>1947</v>
      </c>
      <c r="B1954" s="10">
        <v>44831</v>
      </c>
      <c r="C1954" s="3">
        <v>34.257446265166728</v>
      </c>
      <c r="D1954" s="3">
        <v>34.529690178893688</v>
      </c>
      <c r="E1954" s="3">
        <v>33.413487709374728</v>
      </c>
      <c r="F1954" s="3">
        <v>33.794631958007813</v>
      </c>
      <c r="G1954" s="3">
        <v>417200</v>
      </c>
      <c r="H1954" s="3">
        <v>0</v>
      </c>
      <c r="I1954" s="3">
        <v>0</v>
      </c>
      <c r="J1954" s="3" t="str">
        <v>AB</v>
      </c>
      <c r="K1954" s="23">
        <v>44830</v>
      </c>
      <c r="L1954" s="22">
        <v>34.048725128173828</v>
      </c>
    </row>
    <row r="1955" spans="1:12" x14ac:dyDescent="0.25">
      <c r="A1955" s="9">
        <v>1948</v>
      </c>
      <c r="B1955" s="10">
        <v>44832</v>
      </c>
      <c r="C1955" s="3">
        <v>33.731102936606227</v>
      </c>
      <c r="D1955" s="3">
        <v>33.948900131121164</v>
      </c>
      <c r="E1955" s="3">
        <v>33.377185524567288</v>
      </c>
      <c r="F1955" s="3">
        <v>33.495159149169922</v>
      </c>
      <c r="G1955" s="3">
        <v>277000</v>
      </c>
      <c r="H1955" s="3">
        <v>0</v>
      </c>
      <c r="I1955" s="3">
        <v>0</v>
      </c>
      <c r="J1955" s="3" t="str">
        <v>AB</v>
      </c>
      <c r="K1955" s="23">
        <v>44831</v>
      </c>
      <c r="L1955" s="22">
        <v>33.794631958007813</v>
      </c>
    </row>
    <row r="1956" spans="1:12" x14ac:dyDescent="0.25">
      <c r="A1956" s="9">
        <v>1949</v>
      </c>
      <c r="B1956" s="10">
        <v>44833</v>
      </c>
      <c r="C1956" s="3">
        <v>33.041420854452355</v>
      </c>
      <c r="D1956" s="3">
        <v>33.123094376316786</v>
      </c>
      <c r="E1956" s="3">
        <v>32.079488648245679</v>
      </c>
      <c r="F1956" s="3">
        <v>32.360809326171875</v>
      </c>
      <c r="G1956" s="3">
        <v>349100</v>
      </c>
      <c r="H1956" s="3">
        <v>0</v>
      </c>
      <c r="I1956" s="3">
        <v>0</v>
      </c>
      <c r="J1956" s="3" t="str">
        <v>AB</v>
      </c>
      <c r="K1956" s="23">
        <v>44832</v>
      </c>
      <c r="L1956" s="22">
        <v>33.495159149169922</v>
      </c>
    </row>
    <row r="1957" spans="1:12" x14ac:dyDescent="0.25">
      <c r="A1957" s="9">
        <v>1950</v>
      </c>
      <c r="B1957" s="10">
        <v>44834</v>
      </c>
      <c r="C1957" s="3">
        <v>32.242830742865877</v>
      </c>
      <c r="D1957" s="3">
        <v>32.515078081804901</v>
      </c>
      <c r="E1957" s="3">
        <v>31.671119639338848</v>
      </c>
      <c r="F1957" s="3">
        <v>31.816316604614258</v>
      </c>
      <c r="G1957" s="3">
        <v>284100</v>
      </c>
      <c r="H1957" s="3">
        <v>0</v>
      </c>
      <c r="I1957" s="3">
        <v>0</v>
      </c>
      <c r="J1957" s="3" t="str">
        <v>AB</v>
      </c>
      <c r="K1957" s="23">
        <v>44833</v>
      </c>
      <c r="L1957" s="22">
        <v>32.360809326171875</v>
      </c>
    </row>
    <row r="1958" spans="1:12" x14ac:dyDescent="0.25">
      <c r="A1958" s="9">
        <v>1951</v>
      </c>
      <c r="B1958" s="10">
        <v>44837</v>
      </c>
      <c r="C1958" s="3">
        <v>32.052265991270474</v>
      </c>
      <c r="D1958" s="3">
        <v>33.295515440645801</v>
      </c>
      <c r="E1958" s="3">
        <v>31.662048429636652</v>
      </c>
      <c r="F1958" s="3">
        <v>32.569530487060547</v>
      </c>
      <c r="G1958" s="3">
        <v>501000</v>
      </c>
      <c r="H1958" s="3">
        <v>0</v>
      </c>
      <c r="I1958" s="3">
        <v>0</v>
      </c>
      <c r="J1958" s="3" t="str">
        <v>AB</v>
      </c>
      <c r="K1958" s="23">
        <v>44834</v>
      </c>
      <c r="L1958" s="22">
        <v>31.816316604614258</v>
      </c>
    </row>
    <row r="1959" spans="1:12" x14ac:dyDescent="0.25">
      <c r="A1959" s="9">
        <v>1952</v>
      </c>
      <c r="B1959" s="10">
        <v>44838</v>
      </c>
      <c r="C1959" s="3">
        <v>33.231993455696404</v>
      </c>
      <c r="D1959" s="3">
        <v>33.849081559207995</v>
      </c>
      <c r="E1959" s="3">
        <v>33.222920157896006</v>
      </c>
      <c r="F1959" s="3">
        <v>33.431640625</v>
      </c>
      <c r="G1959" s="3">
        <v>278200</v>
      </c>
      <c r="H1959" s="3">
        <v>0</v>
      </c>
      <c r="I1959" s="3">
        <v>0</v>
      </c>
      <c r="J1959" s="3" t="str">
        <v>AB</v>
      </c>
      <c r="K1959" s="23">
        <v>44837</v>
      </c>
      <c r="L1959" s="22">
        <v>32.569530487060547</v>
      </c>
    </row>
    <row r="1960" spans="1:12" x14ac:dyDescent="0.25">
      <c r="A1960" s="9">
        <v>1953</v>
      </c>
      <c r="B1960" s="10">
        <v>44839</v>
      </c>
      <c r="C1960" s="3">
        <v>32.950673305202038</v>
      </c>
      <c r="D1960" s="3">
        <v>33.331814090943787</v>
      </c>
      <c r="E1960" s="3">
        <v>32.551379001926868</v>
      </c>
      <c r="F1960" s="3">
        <v>32.751026153564453</v>
      </c>
      <c r="G1960" s="3">
        <v>234900</v>
      </c>
      <c r="H1960" s="3">
        <v>0</v>
      </c>
      <c r="I1960" s="3">
        <v>0</v>
      </c>
      <c r="J1960" s="3" t="str">
        <v>AB</v>
      </c>
      <c r="K1960" s="23">
        <v>44838</v>
      </c>
      <c r="L1960" s="22">
        <v>33.431640625</v>
      </c>
    </row>
    <row r="1961" spans="1:12" x14ac:dyDescent="0.25">
      <c r="A1961" s="9">
        <v>1954</v>
      </c>
      <c r="B1961" s="10">
        <v>44840</v>
      </c>
      <c r="C1961" s="3">
        <v>32.587679087962705</v>
      </c>
      <c r="D1961" s="3">
        <v>33.005119984906393</v>
      </c>
      <c r="E1961" s="3">
        <v>32.143011376509349</v>
      </c>
      <c r="F1961" s="3">
        <v>32.288211822509766</v>
      </c>
      <c r="G1961" s="3">
        <v>184100</v>
      </c>
      <c r="H1961" s="3">
        <v>0</v>
      </c>
      <c r="I1961" s="3">
        <v>0</v>
      </c>
      <c r="J1961" s="3" t="str">
        <v>AB</v>
      </c>
      <c r="K1961" s="23">
        <v>44839</v>
      </c>
      <c r="L1961" s="22">
        <v>32.751026153564453</v>
      </c>
    </row>
    <row r="1962" spans="1:12" x14ac:dyDescent="0.25">
      <c r="A1962" s="9">
        <v>1955</v>
      </c>
      <c r="B1962" s="10">
        <v>44841</v>
      </c>
      <c r="C1962" s="3">
        <v>31.870768958327155</v>
      </c>
      <c r="D1962" s="3">
        <v>32.034116005968357</v>
      </c>
      <c r="E1962" s="3">
        <v>31.480551395825309</v>
      </c>
      <c r="F1962" s="3">
        <v>31.961519241333008</v>
      </c>
      <c r="G1962" s="3">
        <v>283200</v>
      </c>
      <c r="H1962" s="3">
        <v>0</v>
      </c>
      <c r="I1962" s="3">
        <v>0</v>
      </c>
      <c r="J1962" s="3" t="str">
        <v>AB</v>
      </c>
      <c r="K1962" s="23">
        <v>44840</v>
      </c>
      <c r="L1962" s="22">
        <v>32.288211822509766</v>
      </c>
    </row>
    <row r="1963" spans="1:12" x14ac:dyDescent="0.25">
      <c r="A1963" s="9">
        <v>1956</v>
      </c>
      <c r="B1963" s="10">
        <v>44844</v>
      </c>
      <c r="C1963" s="3">
        <v>31.852619971251158</v>
      </c>
      <c r="D1963" s="3">
        <v>32.034117081587716</v>
      </c>
      <c r="E1963" s="3">
        <v>30.872541114264841</v>
      </c>
      <c r="F1963" s="3">
        <v>30.990514755249023</v>
      </c>
      <c r="G1963" s="3">
        <v>358900</v>
      </c>
      <c r="H1963" s="3">
        <v>0</v>
      </c>
      <c r="I1963" s="3">
        <v>0</v>
      </c>
      <c r="J1963" s="3" t="str">
        <v>AB</v>
      </c>
      <c r="K1963" s="23">
        <v>44841</v>
      </c>
      <c r="L1963" s="22">
        <v>31.961519241333008</v>
      </c>
    </row>
    <row r="1964" spans="1:12" x14ac:dyDescent="0.25">
      <c r="A1964" s="9">
        <v>1957</v>
      </c>
      <c r="B1964" s="10">
        <v>44845</v>
      </c>
      <c r="C1964" s="3">
        <v>30.836236085048974</v>
      </c>
      <c r="D1964" s="3">
        <v>31.162930139231172</v>
      </c>
      <c r="E1964" s="3">
        <v>30.164701384135689</v>
      </c>
      <c r="F1964" s="3">
        <v>30.18284797668457</v>
      </c>
      <c r="G1964" s="3">
        <v>390200</v>
      </c>
      <c r="H1964" s="3">
        <v>0</v>
      </c>
      <c r="I1964" s="3">
        <v>0</v>
      </c>
      <c r="J1964" s="3" t="str">
        <v>AB</v>
      </c>
      <c r="K1964" s="23">
        <v>44844</v>
      </c>
      <c r="L1964" s="22">
        <v>30.990514755249023</v>
      </c>
    </row>
    <row r="1965" spans="1:12" x14ac:dyDescent="0.25">
      <c r="A1965" s="9">
        <v>1958</v>
      </c>
      <c r="B1965" s="10">
        <v>44846</v>
      </c>
      <c r="C1965" s="3">
        <v>30.046728441066232</v>
      </c>
      <c r="D1965" s="3">
        <v>30.155625307665272</v>
      </c>
      <c r="E1965" s="3">
        <v>28.576606894903311</v>
      </c>
      <c r="F1965" s="3">
        <v>29.320743560791016</v>
      </c>
      <c r="G1965" s="3">
        <v>783100</v>
      </c>
      <c r="H1965" s="3">
        <v>0</v>
      </c>
      <c r="I1965" s="3">
        <v>0</v>
      </c>
      <c r="J1965" s="3" t="str">
        <v>AB</v>
      </c>
      <c r="K1965" s="23">
        <v>44845</v>
      </c>
      <c r="L1965" s="22">
        <v>30.18284797668457</v>
      </c>
    </row>
    <row r="1966" spans="1:12" x14ac:dyDescent="0.25">
      <c r="A1966" s="9">
        <v>1959</v>
      </c>
      <c r="B1966" s="10">
        <v>44847</v>
      </c>
      <c r="C1966" s="3">
        <v>28.739953916371505</v>
      </c>
      <c r="D1966" s="3">
        <v>30.237298813256643</v>
      </c>
      <c r="E1966" s="3">
        <v>28.413259854911299</v>
      </c>
      <c r="F1966" s="3">
        <v>29.928754806518555</v>
      </c>
      <c r="G1966" s="3">
        <v>383900</v>
      </c>
      <c r="H1966" s="3">
        <v>0</v>
      </c>
      <c r="I1966" s="3">
        <v>0</v>
      </c>
      <c r="J1966" s="3" t="str">
        <v>AB</v>
      </c>
      <c r="K1966" s="23">
        <v>44846</v>
      </c>
      <c r="L1966" s="22">
        <v>29.320743560791016</v>
      </c>
    </row>
    <row r="1967" spans="1:12" x14ac:dyDescent="0.25">
      <c r="A1967" s="9">
        <v>1960</v>
      </c>
      <c r="B1967" s="10">
        <v>44848</v>
      </c>
      <c r="C1967" s="3">
        <v>30.228227139319813</v>
      </c>
      <c r="D1967" s="3">
        <v>30.473247698566766</v>
      </c>
      <c r="E1967" s="3">
        <v>29.366118533473671</v>
      </c>
      <c r="F1967" s="3">
        <v>29.447792053222656</v>
      </c>
      <c r="G1967" s="3">
        <v>339900</v>
      </c>
      <c r="H1967" s="3">
        <v>0</v>
      </c>
      <c r="I1967" s="3">
        <v>0</v>
      </c>
      <c r="J1967" s="3" t="str">
        <v>AB</v>
      </c>
      <c r="K1967" s="23">
        <v>44847</v>
      </c>
      <c r="L1967" s="22">
        <v>29.928754806518555</v>
      </c>
    </row>
    <row r="1968" spans="1:12" x14ac:dyDescent="0.25">
      <c r="A1968" s="9">
        <v>1961</v>
      </c>
      <c r="B1968" s="10">
        <v>44851</v>
      </c>
      <c r="C1968" s="3">
        <v>30.228226665873084</v>
      </c>
      <c r="D1968" s="3">
        <v>31.244605536565501</v>
      </c>
      <c r="E1968" s="3">
        <v>29.819859073524178</v>
      </c>
      <c r="F1968" s="3">
        <v>31.063108444213867</v>
      </c>
      <c r="G1968" s="3">
        <v>388500</v>
      </c>
      <c r="H1968" s="3">
        <v>0</v>
      </c>
      <c r="I1968" s="3">
        <v>0</v>
      </c>
      <c r="J1968" s="3" t="str">
        <v>AB</v>
      </c>
      <c r="K1968" s="23">
        <v>44848</v>
      </c>
      <c r="L1968" s="22">
        <v>29.447792053222656</v>
      </c>
    </row>
    <row r="1969" spans="1:12" x14ac:dyDescent="0.25">
      <c r="A1969" s="9">
        <v>1962</v>
      </c>
      <c r="B1969" s="10">
        <v>44852</v>
      </c>
      <c r="C1969" s="3">
        <v>31.716499805353848</v>
      </c>
      <c r="D1969" s="3">
        <v>32.152090794068549</v>
      </c>
      <c r="E1969" s="3">
        <v>31.162935175392622</v>
      </c>
      <c r="F1969" s="3">
        <v>31.308132171630859</v>
      </c>
      <c r="G1969" s="3">
        <v>455000</v>
      </c>
      <c r="H1969" s="3">
        <v>0</v>
      </c>
      <c r="I1969" s="3">
        <v>0</v>
      </c>
      <c r="J1969" s="3" t="str">
        <v>AB</v>
      </c>
      <c r="K1969" s="23">
        <v>44851</v>
      </c>
      <c r="L1969" s="22">
        <v>31.063108444213867</v>
      </c>
    </row>
    <row r="1970" spans="1:12" x14ac:dyDescent="0.25">
      <c r="A1970" s="9">
        <v>1963</v>
      </c>
      <c r="B1970" s="10">
        <v>44853</v>
      </c>
      <c r="C1970" s="3">
        <v>30.881615459766749</v>
      </c>
      <c r="D1970" s="3">
        <v>31.471480222931714</v>
      </c>
      <c r="E1970" s="3">
        <v>30.491397870922768</v>
      </c>
      <c r="F1970" s="3">
        <v>30.945138931274414</v>
      </c>
      <c r="G1970" s="3">
        <v>377500</v>
      </c>
      <c r="H1970" s="3">
        <v>0</v>
      </c>
      <c r="I1970" s="3">
        <v>0</v>
      </c>
      <c r="J1970" s="3" t="str">
        <v>AB</v>
      </c>
      <c r="K1970" s="23">
        <v>44852</v>
      </c>
      <c r="L1970" s="22">
        <v>31.308132171630859</v>
      </c>
    </row>
    <row r="1971" spans="1:12" x14ac:dyDescent="0.25">
      <c r="A1971" s="9">
        <v>1964</v>
      </c>
      <c r="B1971" s="10">
        <v>44854</v>
      </c>
      <c r="C1971" s="3">
        <v>31.02680608540744</v>
      </c>
      <c r="D1971" s="3">
        <v>31.02680608540744</v>
      </c>
      <c r="E1971" s="3">
        <v>30.482318309571355</v>
      </c>
      <c r="F1971" s="3">
        <v>30.582141876220703</v>
      </c>
      <c r="G1971" s="3">
        <v>260900</v>
      </c>
      <c r="H1971" s="3">
        <v>0</v>
      </c>
      <c r="I1971" s="3">
        <v>0</v>
      </c>
      <c r="J1971" s="3" t="str">
        <v>AB</v>
      </c>
      <c r="K1971" s="23">
        <v>44853</v>
      </c>
      <c r="L1971" s="22">
        <v>30.945138931274414</v>
      </c>
    </row>
    <row r="1972" spans="1:12" x14ac:dyDescent="0.25">
      <c r="A1972" s="9">
        <v>1965</v>
      </c>
      <c r="B1972" s="10">
        <v>44855</v>
      </c>
      <c r="C1972" s="3">
        <v>30.527695173819222</v>
      </c>
      <c r="D1972" s="3">
        <v>31.789094651491023</v>
      </c>
      <c r="E1972" s="3">
        <v>30.446021652010366</v>
      </c>
      <c r="F1972" s="3">
        <v>31.770944595336914</v>
      </c>
      <c r="G1972" s="3">
        <v>270300</v>
      </c>
      <c r="H1972" s="3">
        <v>0</v>
      </c>
      <c r="I1972" s="3">
        <v>0</v>
      </c>
      <c r="J1972" s="3" t="str">
        <v>AB</v>
      </c>
      <c r="K1972" s="23">
        <v>44854</v>
      </c>
      <c r="L1972" s="22">
        <v>30.582141876220703</v>
      </c>
    </row>
    <row r="1973" spans="1:12" x14ac:dyDescent="0.25">
      <c r="A1973" s="9">
        <v>1966</v>
      </c>
      <c r="B1973" s="10">
        <v>44858</v>
      </c>
      <c r="C1973" s="3">
        <v>31.87076664057691</v>
      </c>
      <c r="D1973" s="3">
        <v>31.997813565776489</v>
      </c>
      <c r="E1973" s="3">
        <v>31.335352125972186</v>
      </c>
      <c r="F1973" s="3">
        <v>31.634822845458984</v>
      </c>
      <c r="G1973" s="3">
        <v>235100</v>
      </c>
      <c r="H1973" s="3">
        <v>0</v>
      </c>
      <c r="I1973" s="3">
        <v>0</v>
      </c>
      <c r="J1973" s="3" t="str">
        <v>AB</v>
      </c>
      <c r="K1973" s="23">
        <v>44855</v>
      </c>
      <c r="L1973" s="22">
        <v>31.770944595336914</v>
      </c>
    </row>
    <row r="1974" spans="1:12" x14ac:dyDescent="0.25">
      <c r="A1974" s="9">
        <v>1967</v>
      </c>
      <c r="B1974" s="10">
        <v>44859</v>
      </c>
      <c r="C1974" s="3">
        <v>31.662045106724673</v>
      </c>
      <c r="D1974" s="3">
        <v>32.3517333365753</v>
      </c>
      <c r="E1974" s="3">
        <v>31.662045106724673</v>
      </c>
      <c r="F1974" s="3">
        <v>32.297283172607422</v>
      </c>
      <c r="G1974" s="3">
        <v>219500</v>
      </c>
      <c r="H1974" s="3">
        <v>0</v>
      </c>
      <c r="I1974" s="3">
        <v>0</v>
      </c>
      <c r="J1974" s="3" t="str">
        <v>AB</v>
      </c>
      <c r="K1974" s="23">
        <v>44858</v>
      </c>
      <c r="L1974" s="22">
        <v>31.634822845458984</v>
      </c>
    </row>
    <row r="1975" spans="1:12" x14ac:dyDescent="0.25">
      <c r="A1975" s="9">
        <v>1968</v>
      </c>
      <c r="B1975" s="10">
        <v>44860</v>
      </c>
      <c r="C1975" s="3">
        <v>32.378959076719923</v>
      </c>
      <c r="D1975" s="3">
        <v>33.05049383969407</v>
      </c>
      <c r="E1975" s="3">
        <v>32.378959076719923</v>
      </c>
      <c r="F1975" s="3">
        <v>32.478782653808594</v>
      </c>
      <c r="G1975" s="3">
        <v>271600</v>
      </c>
      <c r="H1975" s="3">
        <v>0</v>
      </c>
      <c r="I1975" s="3">
        <v>0</v>
      </c>
      <c r="J1975" s="3" t="str">
        <v>AB</v>
      </c>
      <c r="K1975" s="23">
        <v>44859</v>
      </c>
      <c r="L1975" s="22">
        <v>32.297283172607422</v>
      </c>
    </row>
    <row r="1976" spans="1:12" x14ac:dyDescent="0.25">
      <c r="A1976" s="9">
        <v>1969</v>
      </c>
      <c r="B1976" s="10">
        <v>44861</v>
      </c>
      <c r="C1976" s="3">
        <v>32.887150603509809</v>
      </c>
      <c r="D1976" s="3">
        <v>33.204767932326277</v>
      </c>
      <c r="E1976" s="3">
        <v>32.088565440210786</v>
      </c>
      <c r="F1976" s="3">
        <v>32.224685668945313</v>
      </c>
      <c r="G1976" s="3">
        <v>227000</v>
      </c>
      <c r="H1976" s="3">
        <v>0</v>
      </c>
      <c r="I1976" s="3">
        <v>0</v>
      </c>
      <c r="J1976" s="3" t="str">
        <v>AB</v>
      </c>
      <c r="K1976" s="23">
        <v>44860</v>
      </c>
      <c r="L1976" s="22">
        <v>32.478782653808594</v>
      </c>
    </row>
    <row r="1977" spans="1:12" x14ac:dyDescent="0.25">
      <c r="A1977" s="9">
        <v>1970</v>
      </c>
      <c r="B1977" s="10">
        <v>44862</v>
      </c>
      <c r="C1977" s="3">
        <v>32.224686797109399</v>
      </c>
      <c r="D1977" s="3">
        <v>33.948904115597685</v>
      </c>
      <c r="E1977" s="3">
        <v>32.143013272301651</v>
      </c>
      <c r="F1977" s="3">
        <v>33.803707122802734</v>
      </c>
      <c r="G1977" s="3">
        <v>362500</v>
      </c>
      <c r="H1977" s="3">
        <v>0</v>
      </c>
      <c r="I1977" s="3">
        <v>0</v>
      </c>
      <c r="J1977" s="3" t="str">
        <v>AB</v>
      </c>
      <c r="K1977" s="23">
        <v>44861</v>
      </c>
      <c r="L1977" s="22">
        <v>32.224685668945313</v>
      </c>
    </row>
    <row r="1978" spans="1:12" x14ac:dyDescent="0.25">
      <c r="A1978" s="9">
        <v>1971</v>
      </c>
      <c r="B1978" s="10">
        <v>44865</v>
      </c>
      <c r="C1978" s="3">
        <v>33.69480713290519</v>
      </c>
      <c r="D1978" s="3">
        <v>34.965279837127191</v>
      </c>
      <c r="E1978" s="3">
        <v>33.69480713290519</v>
      </c>
      <c r="F1978" s="3">
        <v>34.148548126220703</v>
      </c>
      <c r="G1978" s="3">
        <v>476200</v>
      </c>
      <c r="H1978" s="3">
        <v>0</v>
      </c>
      <c r="I1978" s="3">
        <v>0</v>
      </c>
      <c r="J1978" s="3" t="str">
        <v>AB</v>
      </c>
      <c r="K1978" s="23">
        <v>44862</v>
      </c>
      <c r="L1978" s="22">
        <v>33.803707122802734</v>
      </c>
    </row>
    <row r="1979" spans="1:12" x14ac:dyDescent="0.25">
      <c r="A1979" s="9">
        <v>1972</v>
      </c>
      <c r="B1979" s="10">
        <v>44866</v>
      </c>
      <c r="C1979" s="3">
        <v>34.738411518294335</v>
      </c>
      <c r="D1979" s="3">
        <v>34.783788389885899</v>
      </c>
      <c r="E1979" s="3">
        <v>33.88537964361965</v>
      </c>
      <c r="F1979" s="3">
        <v>34.175773620605469</v>
      </c>
      <c r="G1979" s="3">
        <v>279500</v>
      </c>
      <c r="H1979" s="3">
        <v>0</v>
      </c>
      <c r="I1979" s="3">
        <v>0</v>
      </c>
      <c r="J1979" s="3" t="str">
        <v>AB</v>
      </c>
      <c r="K1979" s="23">
        <v>44865</v>
      </c>
      <c r="L1979" s="22">
        <v>34.148548126220703</v>
      </c>
    </row>
    <row r="1980" spans="1:12" x14ac:dyDescent="0.25">
      <c r="A1980" s="9">
        <v>1973</v>
      </c>
      <c r="B1980" s="10">
        <v>44867</v>
      </c>
      <c r="C1980" s="3">
        <v>34.166699200790887</v>
      </c>
      <c r="D1980" s="3">
        <v>34.366342889803491</v>
      </c>
      <c r="E1980" s="3">
        <v>33.168466908651268</v>
      </c>
      <c r="F1980" s="3">
        <v>33.640357971191406</v>
      </c>
      <c r="G1980" s="3">
        <v>306400</v>
      </c>
      <c r="H1980" s="3">
        <v>0</v>
      </c>
      <c r="I1980" s="3">
        <v>0</v>
      </c>
      <c r="J1980" s="3" t="str">
        <v>AB</v>
      </c>
      <c r="K1980" s="23">
        <v>44866</v>
      </c>
      <c r="L1980" s="22">
        <v>34.175773620605469</v>
      </c>
    </row>
    <row r="1981" spans="1:12" x14ac:dyDescent="0.25">
      <c r="A1981" s="9">
        <v>1974</v>
      </c>
      <c r="B1981" s="10">
        <v>44868</v>
      </c>
      <c r="C1981" s="3">
        <v>33.222913081765761</v>
      </c>
      <c r="D1981" s="3">
        <v>33.676654034072271</v>
      </c>
      <c r="E1981" s="3">
        <v>32.596748352050781</v>
      </c>
      <c r="F1981" s="3">
        <v>32.596748352050781</v>
      </c>
      <c r="G1981" s="3">
        <v>396800</v>
      </c>
      <c r="H1981" s="3">
        <v>0</v>
      </c>
      <c r="I1981" s="3">
        <v>0</v>
      </c>
      <c r="J1981" s="3" t="str">
        <v>AB</v>
      </c>
      <c r="K1981" s="23">
        <v>44867</v>
      </c>
      <c r="L1981" s="22">
        <v>33.640357971191406</v>
      </c>
    </row>
    <row r="1982" spans="1:12" x14ac:dyDescent="0.25">
      <c r="A1982" s="9">
        <v>1975</v>
      </c>
      <c r="B1982" s="10">
        <v>44869</v>
      </c>
      <c r="C1982" s="3">
        <v>33.086443412078872</v>
      </c>
      <c r="D1982" s="3">
        <v>33.871794580351569</v>
      </c>
      <c r="E1982" s="3">
        <v>32.71686431844028</v>
      </c>
      <c r="F1982" s="3">
        <v>33.816356658935547</v>
      </c>
      <c r="G1982" s="3">
        <v>238900</v>
      </c>
      <c r="H1982" s="3">
        <v>0.64</v>
      </c>
      <c r="I1982" s="3">
        <v>0</v>
      </c>
      <c r="J1982" s="3" t="str">
        <v>AB</v>
      </c>
      <c r="K1982" s="23">
        <v>44868</v>
      </c>
      <c r="L1982" s="22">
        <v>32.596748352050781</v>
      </c>
    </row>
    <row r="1983" spans="1:12" x14ac:dyDescent="0.25">
      <c r="A1983" s="9">
        <v>1976</v>
      </c>
      <c r="B1983" s="10">
        <v>44872</v>
      </c>
      <c r="C1983" s="3">
        <v>33.816359694793938</v>
      </c>
      <c r="D1983" s="3">
        <v>34.11202158642083</v>
      </c>
      <c r="E1983" s="3">
        <v>33.308191038845699</v>
      </c>
      <c r="F1983" s="3">
        <v>33.76092529296875</v>
      </c>
      <c r="G1983" s="3">
        <v>195000</v>
      </c>
      <c r="H1983" s="3">
        <v>0</v>
      </c>
      <c r="I1983" s="3">
        <v>0</v>
      </c>
      <c r="J1983" s="3" t="str">
        <v>AB</v>
      </c>
      <c r="K1983" s="23">
        <v>44869</v>
      </c>
      <c r="L1983" s="22">
        <v>33.816356658935547</v>
      </c>
    </row>
    <row r="1984" spans="1:12" x14ac:dyDescent="0.25">
      <c r="A1984" s="9">
        <v>1977</v>
      </c>
      <c r="B1984" s="10">
        <v>44873</v>
      </c>
      <c r="C1984" s="3">
        <v>33.650051808376197</v>
      </c>
      <c r="D1984" s="3">
        <v>34.352251493834679</v>
      </c>
      <c r="E1984" s="3">
        <v>33.474503649295585</v>
      </c>
      <c r="F1984" s="3">
        <v>33.973434448242188</v>
      </c>
      <c r="G1984" s="3">
        <v>252600</v>
      </c>
      <c r="H1984" s="3">
        <v>0</v>
      </c>
      <c r="I1984" s="3">
        <v>0</v>
      </c>
      <c r="J1984" s="3" t="str">
        <v>AB</v>
      </c>
      <c r="K1984" s="23">
        <v>44872</v>
      </c>
      <c r="L1984" s="22">
        <v>33.76092529296875</v>
      </c>
    </row>
    <row r="1985" spans="1:12" x14ac:dyDescent="0.25">
      <c r="A1985" s="9">
        <v>1978</v>
      </c>
      <c r="B1985" s="10">
        <v>44874</v>
      </c>
      <c r="C1985" s="3">
        <v>33.723965849458395</v>
      </c>
      <c r="D1985" s="3">
        <v>33.853317483306313</v>
      </c>
      <c r="E1985" s="3">
        <v>32.596752712381964</v>
      </c>
      <c r="F1985" s="3">
        <v>32.698387145996094</v>
      </c>
      <c r="G1985" s="3">
        <v>235300</v>
      </c>
      <c r="H1985" s="3">
        <v>0</v>
      </c>
      <c r="I1985" s="3">
        <v>0</v>
      </c>
      <c r="J1985" s="3" t="str">
        <v>AB</v>
      </c>
      <c r="K1985" s="23">
        <v>44873</v>
      </c>
      <c r="L1985" s="22">
        <v>33.973434448242188</v>
      </c>
    </row>
    <row r="1986" spans="1:12" x14ac:dyDescent="0.25">
      <c r="A1986" s="9">
        <v>1979</v>
      </c>
      <c r="B1986" s="10">
        <v>44875</v>
      </c>
      <c r="C1986" s="3">
        <v>33.982667334364642</v>
      </c>
      <c r="D1986" s="3">
        <v>34.647908301617292</v>
      </c>
      <c r="E1986" s="3">
        <v>33.982667334364642</v>
      </c>
      <c r="F1986" s="3">
        <v>34.555515289306641</v>
      </c>
      <c r="G1986" s="3">
        <v>583800</v>
      </c>
      <c r="H1986" s="3">
        <v>0</v>
      </c>
      <c r="I1986" s="3">
        <v>0</v>
      </c>
      <c r="J1986" s="3" t="str">
        <v>AB</v>
      </c>
      <c r="K1986" s="23">
        <v>44874</v>
      </c>
      <c r="L1986" s="22">
        <v>32.698387145996094</v>
      </c>
    </row>
    <row r="1987" spans="1:12" x14ac:dyDescent="0.25">
      <c r="A1987" s="9">
        <v>1980</v>
      </c>
      <c r="B1987" s="10">
        <v>44876</v>
      </c>
      <c r="C1987" s="3">
        <v>34.278329652413504</v>
      </c>
      <c r="D1987" s="3">
        <v>36.274049055755313</v>
      </c>
      <c r="E1987" s="3">
        <v>34.158219439749267</v>
      </c>
      <c r="F1987" s="3">
        <v>36.255573272705078</v>
      </c>
      <c r="G1987" s="3">
        <v>781100</v>
      </c>
      <c r="H1987" s="3">
        <v>0</v>
      </c>
      <c r="I1987" s="3">
        <v>0</v>
      </c>
      <c r="J1987" s="3" t="str">
        <v>AB</v>
      </c>
      <c r="K1987" s="23">
        <v>44875</v>
      </c>
      <c r="L1987" s="22">
        <v>34.555515289306641</v>
      </c>
    </row>
    <row r="1988" spans="1:12" x14ac:dyDescent="0.25">
      <c r="A1988" s="9">
        <v>1981</v>
      </c>
      <c r="B1988" s="10">
        <v>44879</v>
      </c>
      <c r="C1988" s="3">
        <v>36.006106483837733</v>
      </c>
      <c r="D1988" s="3">
        <v>37.234950433034669</v>
      </c>
      <c r="E1988" s="3">
        <v>35.340865534156741</v>
      </c>
      <c r="F1988" s="3">
        <v>36.985485076904297</v>
      </c>
      <c r="G1988" s="3">
        <v>559100</v>
      </c>
      <c r="H1988" s="3">
        <v>0</v>
      </c>
      <c r="I1988" s="3">
        <v>0</v>
      </c>
      <c r="J1988" s="3" t="str">
        <v>AB</v>
      </c>
      <c r="K1988" s="23">
        <v>44876</v>
      </c>
      <c r="L1988" s="22">
        <v>36.255573272705078</v>
      </c>
    </row>
    <row r="1989" spans="1:12" x14ac:dyDescent="0.25">
      <c r="A1989" s="9">
        <v>1982</v>
      </c>
      <c r="B1989" s="10">
        <v>44880</v>
      </c>
      <c r="C1989" s="3">
        <v>37.447458869361142</v>
      </c>
      <c r="D1989" s="3">
        <v>37.872475897865272</v>
      </c>
      <c r="E1989" s="3">
        <v>37.262672841261811</v>
      </c>
      <c r="F1989" s="3">
        <v>37.438220977783203</v>
      </c>
      <c r="G1989" s="3">
        <v>341100</v>
      </c>
      <c r="H1989" s="3">
        <v>0</v>
      </c>
      <c r="I1989" s="3">
        <v>0</v>
      </c>
      <c r="J1989" s="3" t="str">
        <v>AB</v>
      </c>
      <c r="K1989" s="23">
        <v>44879</v>
      </c>
      <c r="L1989" s="22">
        <v>36.985485076904297</v>
      </c>
    </row>
    <row r="1990" spans="1:12" x14ac:dyDescent="0.25">
      <c r="A1990" s="9">
        <v>1983</v>
      </c>
      <c r="B1990" s="10">
        <v>44881</v>
      </c>
      <c r="C1990" s="3">
        <v>36.957769499104636</v>
      </c>
      <c r="D1990" s="3">
        <v>37.318107187790098</v>
      </c>
      <c r="E1990" s="3">
        <v>36.421880149575195</v>
      </c>
      <c r="F1990" s="3">
        <v>37.142559051513672</v>
      </c>
      <c r="G1990" s="3">
        <v>186500</v>
      </c>
      <c r="H1990" s="3">
        <v>0</v>
      </c>
      <c r="I1990" s="3">
        <v>0</v>
      </c>
      <c r="J1990" s="3" t="str">
        <v>AB</v>
      </c>
      <c r="K1990" s="23">
        <v>44880</v>
      </c>
      <c r="L1990" s="22">
        <v>37.438220977783203</v>
      </c>
    </row>
    <row r="1991" spans="1:12" x14ac:dyDescent="0.25">
      <c r="A1991" s="9">
        <v>1984</v>
      </c>
      <c r="B1991" s="10">
        <v>44882</v>
      </c>
      <c r="C1991" s="3">
        <v>36.625155100448609</v>
      </c>
      <c r="D1991" s="3">
        <v>36.893099819772559</v>
      </c>
      <c r="E1991" s="3">
        <v>36.36645179879411</v>
      </c>
      <c r="F1991" s="3">
        <v>36.763748168945313</v>
      </c>
      <c r="G1991" s="3">
        <v>132700</v>
      </c>
      <c r="H1991" s="3">
        <v>0</v>
      </c>
      <c r="I1991" s="3">
        <v>0</v>
      </c>
      <c r="J1991" s="3" t="str">
        <v>AB</v>
      </c>
      <c r="K1991" s="23">
        <v>44881</v>
      </c>
      <c r="L1991" s="22">
        <v>37.142559051513672</v>
      </c>
    </row>
    <row r="1992" spans="1:12" x14ac:dyDescent="0.25">
      <c r="A1992" s="9">
        <v>1985</v>
      </c>
      <c r="B1992" s="10">
        <v>44883</v>
      </c>
      <c r="C1992" s="3">
        <v>36.865384079135481</v>
      </c>
      <c r="D1992" s="3">
        <v>37.040932251573317</v>
      </c>
      <c r="E1992" s="3">
        <v>36.292535996208947</v>
      </c>
      <c r="F1992" s="3">
        <v>36.403411865234375</v>
      </c>
      <c r="G1992" s="3">
        <v>228900</v>
      </c>
      <c r="H1992" s="3">
        <v>0</v>
      </c>
      <c r="I1992" s="3">
        <v>0</v>
      </c>
      <c r="J1992" s="3" t="str">
        <v>AB</v>
      </c>
      <c r="K1992" s="23">
        <v>44882</v>
      </c>
      <c r="L1992" s="22">
        <v>36.763748168945313</v>
      </c>
    </row>
    <row r="1993" spans="1:12" x14ac:dyDescent="0.25">
      <c r="A1993" s="9">
        <v>1986</v>
      </c>
      <c r="B1993" s="10">
        <v>44886</v>
      </c>
      <c r="C1993" s="3">
        <v>36.311009598583773</v>
      </c>
      <c r="D1993" s="3">
        <v>37.040926427680098</v>
      </c>
      <c r="E1993" s="3">
        <v>36.181657962960166</v>
      </c>
      <c r="F1993" s="3">
        <v>36.957771301269531</v>
      </c>
      <c r="G1993" s="3">
        <v>314000</v>
      </c>
      <c r="H1993" s="3">
        <v>0</v>
      </c>
      <c r="I1993" s="3">
        <v>0</v>
      </c>
      <c r="J1993" s="3" t="str">
        <v>AB</v>
      </c>
      <c r="K1993" s="23">
        <v>44883</v>
      </c>
      <c r="L1993" s="22">
        <v>36.403411865234375</v>
      </c>
    </row>
    <row r="1994" spans="1:12" x14ac:dyDescent="0.25">
      <c r="A1994" s="9">
        <v>1987</v>
      </c>
      <c r="B1994" s="10">
        <v>44887</v>
      </c>
      <c r="C1994" s="3">
        <v>36.957767213208321</v>
      </c>
      <c r="D1994" s="3">
        <v>38.417600709922375</v>
      </c>
      <c r="E1994" s="3">
        <v>36.754498365674131</v>
      </c>
      <c r="F1994" s="3">
        <v>38.038780212402344</v>
      </c>
      <c r="G1994" s="3">
        <v>490100</v>
      </c>
      <c r="H1994" s="3">
        <v>0</v>
      </c>
      <c r="I1994" s="3">
        <v>0</v>
      </c>
      <c r="J1994" s="3" t="str">
        <v>AB</v>
      </c>
      <c r="K1994" s="23">
        <v>44886</v>
      </c>
      <c r="L1994" s="22">
        <v>36.957771301269531</v>
      </c>
    </row>
    <row r="1995" spans="1:12" x14ac:dyDescent="0.25">
      <c r="A1995" s="9">
        <v>1988</v>
      </c>
      <c r="B1995" s="10">
        <v>44888</v>
      </c>
      <c r="C1995" s="3">
        <v>38.149659992958654</v>
      </c>
      <c r="D1995" s="3">
        <v>38.602390714334199</v>
      </c>
      <c r="E1995" s="3">
        <v>37.687687855067367</v>
      </c>
      <c r="F1995" s="3">
        <v>37.817039489746094</v>
      </c>
      <c r="G1995" s="3">
        <v>336000</v>
      </c>
      <c r="H1995" s="3">
        <v>0</v>
      </c>
      <c r="I1995" s="3">
        <v>0</v>
      </c>
      <c r="J1995" s="3" t="str">
        <v>AB</v>
      </c>
      <c r="K1995" s="23">
        <v>44887</v>
      </c>
      <c r="L1995" s="22">
        <v>38.038780212402344</v>
      </c>
    </row>
    <row r="1996" spans="1:12" x14ac:dyDescent="0.25">
      <c r="A1996" s="9">
        <v>1989</v>
      </c>
      <c r="B1996" s="10">
        <v>44890</v>
      </c>
      <c r="C1996" s="3">
        <v>37.549093919187456</v>
      </c>
      <c r="D1996" s="3">
        <v>38.3344486498397</v>
      </c>
      <c r="E1996" s="3">
        <v>37.493659519669905</v>
      </c>
      <c r="F1996" s="3">
        <v>37.983348846435547</v>
      </c>
      <c r="G1996" s="3">
        <v>103600</v>
      </c>
      <c r="H1996" s="3">
        <v>0</v>
      </c>
      <c r="I1996" s="3">
        <v>0</v>
      </c>
      <c r="J1996" s="3" t="str">
        <v>AB</v>
      </c>
      <c r="K1996" s="23">
        <v>44888</v>
      </c>
      <c r="L1996" s="22">
        <v>37.817039489746094</v>
      </c>
    </row>
    <row r="1997" spans="1:12" x14ac:dyDescent="0.25">
      <c r="A1997" s="9">
        <v>1990</v>
      </c>
      <c r="B1997" s="10">
        <v>44893</v>
      </c>
      <c r="C1997" s="3">
        <v>37.456707247008232</v>
      </c>
      <c r="D1997" s="3">
        <v>37.974113861156859</v>
      </c>
      <c r="E1997" s="3">
        <v>36.791466143596317</v>
      </c>
      <c r="F1997" s="3">
        <v>36.967014312744141</v>
      </c>
      <c r="G1997" s="3">
        <v>214300</v>
      </c>
      <c r="H1997" s="3">
        <v>0</v>
      </c>
      <c r="I1997" s="3">
        <v>0</v>
      </c>
      <c r="J1997" s="3" t="str">
        <v>AB</v>
      </c>
      <c r="K1997" s="23">
        <v>44890</v>
      </c>
      <c r="L1997" s="22">
        <v>37.983348846435547</v>
      </c>
    </row>
    <row r="1998" spans="1:12" x14ac:dyDescent="0.25">
      <c r="A1998" s="9">
        <v>1991</v>
      </c>
      <c r="B1998" s="10">
        <v>44894</v>
      </c>
      <c r="C1998" s="3">
        <v>36.967011198180387</v>
      </c>
      <c r="D1998" s="3">
        <v>37.567576424224598</v>
      </c>
      <c r="E1998" s="3">
        <v>36.846900972625882</v>
      </c>
      <c r="F1998" s="3">
        <v>37.290393829345703</v>
      </c>
      <c r="G1998" s="3">
        <v>196200</v>
      </c>
      <c r="H1998" s="3">
        <v>0</v>
      </c>
      <c r="I1998" s="3">
        <v>0</v>
      </c>
      <c r="J1998" s="3" t="str">
        <v>AB</v>
      </c>
      <c r="K1998" s="23">
        <v>44893</v>
      </c>
      <c r="L1998" s="22">
        <v>36.967014312744141</v>
      </c>
    </row>
    <row r="1999" spans="1:12" x14ac:dyDescent="0.25">
      <c r="A1999" s="9">
        <v>1992</v>
      </c>
      <c r="B1999" s="10">
        <v>44895</v>
      </c>
      <c r="C1999" s="3">
        <v>36.939292416292858</v>
      </c>
      <c r="D1999" s="3">
        <v>37.336588744303143</v>
      </c>
      <c r="E1999" s="3">
        <v>36.089265358408007</v>
      </c>
      <c r="F1999" s="3">
        <v>37.281150817871094</v>
      </c>
      <c r="G1999" s="3">
        <v>278200</v>
      </c>
      <c r="H1999" s="3">
        <v>0</v>
      </c>
      <c r="I1999" s="3">
        <v>0</v>
      </c>
      <c r="J1999" s="3" t="str">
        <v>AB</v>
      </c>
      <c r="K1999" s="23">
        <v>44894</v>
      </c>
      <c r="L1999" s="22">
        <v>37.290393829345703</v>
      </c>
    </row>
    <row r="2000" spans="1:12" x14ac:dyDescent="0.25">
      <c r="A2000" s="9">
        <v>1993</v>
      </c>
      <c r="B2000" s="10">
        <v>44896</v>
      </c>
      <c r="C2000" s="3">
        <v>37.151796117361151</v>
      </c>
      <c r="D2000" s="3">
        <v>37.71540265362686</v>
      </c>
      <c r="E2000" s="3">
        <v>37.003965183633049</v>
      </c>
      <c r="F2000" s="3">
        <v>37.604530334472656</v>
      </c>
      <c r="G2000" s="3">
        <v>343700</v>
      </c>
      <c r="H2000" s="3">
        <v>0</v>
      </c>
      <c r="I2000" s="3">
        <v>0</v>
      </c>
      <c r="J2000" s="3" t="str">
        <v>AB</v>
      </c>
      <c r="K2000" s="23">
        <v>44895</v>
      </c>
      <c r="L2000" s="22">
        <v>37.281150817871094</v>
      </c>
    </row>
    <row r="2001" spans="1:12" x14ac:dyDescent="0.25">
      <c r="A2001" s="9">
        <v>1994</v>
      </c>
      <c r="B2001" s="10">
        <v>44897</v>
      </c>
      <c r="C2001" s="3">
        <v>36.976254437309265</v>
      </c>
      <c r="D2001" s="3">
        <v>37.447464519365973</v>
      </c>
      <c r="E2001" s="3">
        <v>36.754506235738518</v>
      </c>
      <c r="F2001" s="3">
        <v>37.401268005371094</v>
      </c>
      <c r="G2001" s="3">
        <v>264100</v>
      </c>
      <c r="H2001" s="3">
        <v>0</v>
      </c>
      <c r="I2001" s="3">
        <v>0</v>
      </c>
      <c r="J2001" s="3" t="str">
        <v>AB</v>
      </c>
      <c r="K2001" s="23">
        <v>44896</v>
      </c>
      <c r="L2001" s="22">
        <v>37.604530334472656</v>
      </c>
    </row>
    <row r="2002" spans="1:12" x14ac:dyDescent="0.25">
      <c r="A2002" s="9">
        <v>1995</v>
      </c>
      <c r="B2002" s="10">
        <v>44900</v>
      </c>
      <c r="C2002" s="3">
        <v>36.97625098206872</v>
      </c>
      <c r="D2002" s="3">
        <v>37.068644001424822</v>
      </c>
      <c r="E2002" s="3">
        <v>36.486561635259392</v>
      </c>
      <c r="F2002" s="3">
        <v>36.837657928466797</v>
      </c>
      <c r="G2002" s="3">
        <v>278800</v>
      </c>
      <c r="H2002" s="3">
        <v>0</v>
      </c>
      <c r="I2002" s="3">
        <v>0</v>
      </c>
      <c r="J2002" s="3" t="str">
        <v>AB</v>
      </c>
      <c r="K2002" s="23">
        <v>44897</v>
      </c>
      <c r="L2002" s="22">
        <v>37.401268005371094</v>
      </c>
    </row>
    <row r="2003" spans="1:12" x14ac:dyDescent="0.25">
      <c r="A2003" s="9">
        <v>1996</v>
      </c>
      <c r="B2003" s="10">
        <v>44901</v>
      </c>
      <c r="C2003" s="3">
        <v>36.662107361137281</v>
      </c>
      <c r="D2003" s="3">
        <v>36.957769233036167</v>
      </c>
      <c r="E2003" s="3">
        <v>36.209373137222876</v>
      </c>
      <c r="F2003" s="3">
        <v>36.477317810058594</v>
      </c>
      <c r="G2003" s="3">
        <v>335300</v>
      </c>
      <c r="H2003" s="3">
        <v>0</v>
      </c>
      <c r="I2003" s="3">
        <v>0</v>
      </c>
      <c r="J2003" s="3" t="str">
        <v>AB</v>
      </c>
      <c r="K2003" s="23">
        <v>44900</v>
      </c>
      <c r="L2003" s="22">
        <v>36.837657928466797</v>
      </c>
    </row>
    <row r="2004" spans="1:12" x14ac:dyDescent="0.25">
      <c r="A2004" s="9">
        <v>1997</v>
      </c>
      <c r="B2004" s="10">
        <v>44902</v>
      </c>
      <c r="C2004" s="3">
        <v>35.673492980281836</v>
      </c>
      <c r="D2004" s="3">
        <v>36.384930573926461</v>
      </c>
      <c r="E2004" s="3">
        <v>35.488703399862644</v>
      </c>
      <c r="F2004" s="3">
        <v>36.366451263427734</v>
      </c>
      <c r="G2004" s="3">
        <v>484100</v>
      </c>
      <c r="H2004" s="3">
        <v>0</v>
      </c>
      <c r="I2004" s="3">
        <v>0</v>
      </c>
      <c r="J2004" s="3" t="str">
        <v>AB</v>
      </c>
      <c r="K2004" s="23">
        <v>44901</v>
      </c>
      <c r="L2004" s="22">
        <v>36.477317810058594</v>
      </c>
    </row>
    <row r="2005" spans="1:12" x14ac:dyDescent="0.25">
      <c r="A2005" s="9">
        <v>1998</v>
      </c>
      <c r="B2005" s="10">
        <v>44903</v>
      </c>
      <c r="C2005" s="3">
        <v>36.384926737982617</v>
      </c>
      <c r="D2005" s="3">
        <v>36.717547242756453</v>
      </c>
      <c r="E2005" s="3">
        <v>35.913713181363782</v>
      </c>
      <c r="F2005" s="3">
        <v>36.218616485595703</v>
      </c>
      <c r="G2005" s="3">
        <v>200100</v>
      </c>
      <c r="H2005" s="3">
        <v>0</v>
      </c>
      <c r="I2005" s="3">
        <v>0</v>
      </c>
      <c r="J2005" s="3" t="str">
        <v>AB</v>
      </c>
      <c r="K2005" s="23">
        <v>44902</v>
      </c>
      <c r="L2005" s="22">
        <v>36.366451263427734</v>
      </c>
    </row>
    <row r="2006" spans="1:12" x14ac:dyDescent="0.25">
      <c r="A2006" s="9">
        <v>1999</v>
      </c>
      <c r="B2006" s="10">
        <v>44904</v>
      </c>
      <c r="C2006" s="3">
        <v>35.109879709354523</v>
      </c>
      <c r="D2006" s="3">
        <v>35.92295159476582</v>
      </c>
      <c r="E2006" s="3">
        <v>34.416921557196211</v>
      </c>
      <c r="F2006" s="3">
        <v>35.608810424804688</v>
      </c>
      <c r="G2006" s="3">
        <v>1351500</v>
      </c>
      <c r="H2006" s="3">
        <v>0</v>
      </c>
      <c r="I2006" s="3">
        <v>0</v>
      </c>
      <c r="J2006" s="3" t="str">
        <v>AB</v>
      </c>
      <c r="K2006" s="23">
        <v>44903</v>
      </c>
      <c r="L2006" s="22">
        <v>36.218616485595703</v>
      </c>
    </row>
    <row r="2007" spans="1:12" x14ac:dyDescent="0.25">
      <c r="A2007" s="9">
        <v>2000</v>
      </c>
      <c r="B2007" s="10">
        <v>44907</v>
      </c>
      <c r="C2007" s="3">
        <v>35.248473709025774</v>
      </c>
      <c r="D2007" s="3">
        <v>35.941431880045407</v>
      </c>
      <c r="E2007" s="3">
        <v>34.962049729493351</v>
      </c>
      <c r="F2007" s="3">
        <v>35.885993957519531</v>
      </c>
      <c r="G2007" s="3">
        <v>459600</v>
      </c>
      <c r="H2007" s="3">
        <v>0</v>
      </c>
      <c r="I2007" s="3">
        <v>0</v>
      </c>
      <c r="J2007" s="3" t="str">
        <v>AB</v>
      </c>
      <c r="K2007" s="23">
        <v>44904</v>
      </c>
      <c r="L2007" s="22">
        <v>35.608810424804688</v>
      </c>
    </row>
    <row r="2008" spans="1:12" x14ac:dyDescent="0.25">
      <c r="A2008" s="9">
        <v>2001</v>
      </c>
      <c r="B2008" s="10">
        <v>44908</v>
      </c>
      <c r="C2008" s="3">
        <v>36.403408298624257</v>
      </c>
      <c r="D2008" s="3">
        <v>37.142563063533963</v>
      </c>
      <c r="E2008" s="3">
        <v>35.895236093466394</v>
      </c>
      <c r="F2008" s="3">
        <v>36.505039215087891</v>
      </c>
      <c r="G2008" s="3">
        <v>1011000</v>
      </c>
      <c r="H2008" s="3">
        <v>0</v>
      </c>
      <c r="I2008" s="3">
        <v>0</v>
      </c>
      <c r="J2008" s="3" t="str">
        <v>AB</v>
      </c>
      <c r="K2008" s="23">
        <v>44907</v>
      </c>
      <c r="L2008" s="22">
        <v>35.885993957519531</v>
      </c>
    </row>
    <row r="2009" spans="1:12" x14ac:dyDescent="0.25">
      <c r="A2009" s="9">
        <v>2002</v>
      </c>
      <c r="B2009" s="10">
        <v>44909</v>
      </c>
      <c r="C2009" s="3">
        <v>36.449600715840418</v>
      </c>
      <c r="D2009" s="3">
        <v>36.782221203825316</v>
      </c>
      <c r="E2009" s="3">
        <v>35.156077379136406</v>
      </c>
      <c r="F2009" s="3">
        <v>36.255573272705078</v>
      </c>
      <c r="G2009" s="3">
        <v>512700</v>
      </c>
      <c r="H2009" s="3">
        <v>0</v>
      </c>
      <c r="I2009" s="3">
        <v>0</v>
      </c>
      <c r="J2009" s="3" t="str">
        <v>AB</v>
      </c>
      <c r="K2009" s="23">
        <v>44908</v>
      </c>
      <c r="L2009" s="22">
        <v>36.505039215087891</v>
      </c>
    </row>
    <row r="2010" spans="1:12" x14ac:dyDescent="0.25">
      <c r="A2010" s="9">
        <v>2003</v>
      </c>
      <c r="B2010" s="10">
        <v>44910</v>
      </c>
      <c r="C2010" s="3">
        <v>35.65501095645449</v>
      </c>
      <c r="D2010" s="3">
        <v>35.65501095645449</v>
      </c>
      <c r="E2010" s="3">
        <v>35.100645781951926</v>
      </c>
      <c r="F2010" s="3">
        <v>35.266952514648438</v>
      </c>
      <c r="G2010" s="3">
        <v>471500</v>
      </c>
      <c r="H2010" s="3">
        <v>0</v>
      </c>
      <c r="I2010" s="3">
        <v>0</v>
      </c>
      <c r="J2010" s="3" t="str">
        <v>AB</v>
      </c>
      <c r="K2010" s="23">
        <v>44909</v>
      </c>
      <c r="L2010" s="22">
        <v>36.255573272705078</v>
      </c>
    </row>
    <row r="2011" spans="1:12" x14ac:dyDescent="0.25">
      <c r="A2011" s="9">
        <v>2004</v>
      </c>
      <c r="B2011" s="10">
        <v>44911</v>
      </c>
      <c r="C2011" s="3">
        <v>34.721827411153477</v>
      </c>
      <c r="D2011" s="3">
        <v>35.285430456073037</v>
      </c>
      <c r="E2011" s="3">
        <v>34.093545024633364</v>
      </c>
      <c r="F2011" s="3">
        <v>34.814220428466797</v>
      </c>
      <c r="G2011" s="3">
        <v>608700</v>
      </c>
      <c r="H2011" s="3">
        <v>0</v>
      </c>
      <c r="I2011" s="3">
        <v>0</v>
      </c>
      <c r="J2011" s="3" t="str">
        <v>AB</v>
      </c>
      <c r="K2011" s="23">
        <v>44910</v>
      </c>
      <c r="L2011" s="22">
        <v>35.266952514648438</v>
      </c>
    </row>
    <row r="2012" spans="1:12" x14ac:dyDescent="0.25">
      <c r="A2012" s="9">
        <v>2005</v>
      </c>
      <c r="B2012" s="10">
        <v>44914</v>
      </c>
      <c r="C2012" s="3">
        <v>34.638672899080433</v>
      </c>
      <c r="D2012" s="3">
        <v>34.786503844139958</v>
      </c>
      <c r="E2012" s="3">
        <v>33.234277158731089</v>
      </c>
      <c r="F2012" s="3">
        <v>33.539176940917969</v>
      </c>
      <c r="G2012" s="3">
        <v>365200</v>
      </c>
      <c r="H2012" s="3">
        <v>0</v>
      </c>
      <c r="I2012" s="3">
        <v>0</v>
      </c>
      <c r="J2012" s="3" t="str">
        <v>AB</v>
      </c>
      <c r="K2012" s="23">
        <v>44911</v>
      </c>
      <c r="L2012" s="22">
        <v>34.814220428466797</v>
      </c>
    </row>
    <row r="2013" spans="1:12" x14ac:dyDescent="0.25">
      <c r="A2013" s="9">
        <v>2006</v>
      </c>
      <c r="B2013" s="10">
        <v>44915</v>
      </c>
      <c r="C2013" s="3">
        <v>33.123399837817082</v>
      </c>
      <c r="D2013" s="3">
        <v>33.807120131256021</v>
      </c>
      <c r="E2013" s="3">
        <v>33.077203330390795</v>
      </c>
      <c r="F2013" s="3">
        <v>33.308189392089844</v>
      </c>
      <c r="G2013" s="3">
        <v>255200</v>
      </c>
      <c r="H2013" s="3">
        <v>0</v>
      </c>
      <c r="I2013" s="3">
        <v>0</v>
      </c>
      <c r="J2013" s="3" t="str">
        <v>AB</v>
      </c>
      <c r="K2013" s="23">
        <v>44914</v>
      </c>
      <c r="L2013" s="22">
        <v>33.539176940917969</v>
      </c>
    </row>
    <row r="2014" spans="1:12" x14ac:dyDescent="0.25">
      <c r="A2014" s="9">
        <v>2007</v>
      </c>
      <c r="B2014" s="10">
        <v>44916</v>
      </c>
      <c r="C2014" s="3">
        <v>33.308190442081546</v>
      </c>
      <c r="D2014" s="3">
        <v>34.001148649023186</v>
      </c>
      <c r="E2014" s="3">
        <v>33.215797424316406</v>
      </c>
      <c r="F2014" s="3">
        <v>33.215797424316406</v>
      </c>
      <c r="G2014" s="3">
        <v>342700</v>
      </c>
      <c r="H2014" s="3">
        <v>0</v>
      </c>
      <c r="I2014" s="3">
        <v>0</v>
      </c>
      <c r="J2014" s="3" t="str">
        <v>AB</v>
      </c>
      <c r="K2014" s="23">
        <v>44915</v>
      </c>
      <c r="L2014" s="22">
        <v>33.308189392089844</v>
      </c>
    </row>
    <row r="2015" spans="1:12" x14ac:dyDescent="0.25">
      <c r="A2015" s="9">
        <v>2008</v>
      </c>
      <c r="B2015" s="10">
        <v>44917</v>
      </c>
      <c r="C2015" s="3">
        <v>32.800023915807593</v>
      </c>
      <c r="D2015" s="3">
        <v>32.873941154452723</v>
      </c>
      <c r="E2015" s="3">
        <v>31.755965829636668</v>
      </c>
      <c r="F2015" s="3">
        <v>32.171741485595703</v>
      </c>
      <c r="G2015" s="3">
        <v>503900</v>
      </c>
      <c r="H2015" s="3">
        <v>0</v>
      </c>
      <c r="I2015" s="3">
        <v>0</v>
      </c>
      <c r="J2015" s="3" t="str">
        <v>AB</v>
      </c>
      <c r="K2015" s="23">
        <v>44916</v>
      </c>
      <c r="L2015" s="22">
        <v>33.215797424316406</v>
      </c>
    </row>
    <row r="2016" spans="1:12" x14ac:dyDescent="0.25">
      <c r="A2016" s="9">
        <v>2009</v>
      </c>
      <c r="B2016" s="10">
        <v>44918</v>
      </c>
      <c r="C2016" s="3">
        <v>31.857595934889876</v>
      </c>
      <c r="D2016" s="3">
        <v>32.107061294514772</v>
      </c>
      <c r="E2016" s="3">
        <v>31.488020365664706</v>
      </c>
      <c r="F2016" s="3">
        <v>31.663568496704102</v>
      </c>
      <c r="G2016" s="3">
        <v>415800</v>
      </c>
      <c r="H2016" s="3">
        <v>0</v>
      </c>
      <c r="I2016" s="3">
        <v>0</v>
      </c>
      <c r="J2016" s="3" t="str">
        <v>AB</v>
      </c>
      <c r="K2016" s="23">
        <v>44917</v>
      </c>
      <c r="L2016" s="22">
        <v>32.171741485595703</v>
      </c>
    </row>
    <row r="2017" spans="1:12" x14ac:dyDescent="0.25">
      <c r="A2017" s="9">
        <v>2010</v>
      </c>
      <c r="B2017" s="10">
        <v>44922</v>
      </c>
      <c r="C2017" s="3">
        <v>31.330953290386535</v>
      </c>
      <c r="D2017" s="3">
        <v>31.691291028969186</v>
      </c>
      <c r="E2017" s="3">
        <v>30.96137413439159</v>
      </c>
      <c r="F2017" s="3">
        <v>31.488025665283203</v>
      </c>
      <c r="G2017" s="3">
        <v>470800</v>
      </c>
      <c r="H2017" s="3">
        <v>0</v>
      </c>
      <c r="I2017" s="3">
        <v>0</v>
      </c>
      <c r="J2017" s="3" t="str">
        <v>AB</v>
      </c>
      <c r="K2017" s="23">
        <v>44918</v>
      </c>
      <c r="L2017" s="22">
        <v>31.663568496704102</v>
      </c>
    </row>
    <row r="2018" spans="1:12" x14ac:dyDescent="0.25">
      <c r="A2018" s="9">
        <v>2011</v>
      </c>
      <c r="B2018" s="10">
        <v>44923</v>
      </c>
      <c r="C2018" s="3">
        <v>31.284754176292438</v>
      </c>
      <c r="D2018" s="3">
        <v>31.506498831801089</v>
      </c>
      <c r="E2018" s="3">
        <v>30.425485705918977</v>
      </c>
      <c r="F2018" s="3">
        <v>30.610275268554688</v>
      </c>
      <c r="G2018" s="3">
        <v>469500</v>
      </c>
      <c r="H2018" s="3">
        <v>0</v>
      </c>
      <c r="I2018" s="3">
        <v>0</v>
      </c>
      <c r="J2018" s="3" t="str">
        <v>AB</v>
      </c>
      <c r="K2018" s="23">
        <v>44922</v>
      </c>
      <c r="L2018" s="22">
        <v>31.488025665283203</v>
      </c>
    </row>
    <row r="2019" spans="1:12" x14ac:dyDescent="0.25">
      <c r="A2019" s="9">
        <v>2012</v>
      </c>
      <c r="B2019" s="10">
        <v>44924</v>
      </c>
      <c r="C2019" s="3">
        <v>30.582557025205475</v>
      </c>
      <c r="D2019" s="3">
        <v>32.060870121700141</v>
      </c>
      <c r="E2019" s="3">
        <v>30.582557025205475</v>
      </c>
      <c r="F2019" s="3">
        <v>31.746728897094727</v>
      </c>
      <c r="G2019" s="3">
        <v>448100</v>
      </c>
      <c r="H2019" s="3">
        <v>0</v>
      </c>
      <c r="I2019" s="3">
        <v>0</v>
      </c>
      <c r="J2019" s="3" t="str">
        <v>AB</v>
      </c>
      <c r="K2019" s="23">
        <v>44923</v>
      </c>
      <c r="L2019" s="22">
        <v>30.610275268554688</v>
      </c>
    </row>
    <row r="2020" spans="1:12" x14ac:dyDescent="0.25">
      <c r="A2020" s="9">
        <v>2013</v>
      </c>
      <c r="B2020" s="10">
        <v>44925</v>
      </c>
      <c r="C2020" s="3">
        <v>31.321710978058103</v>
      </c>
      <c r="D2020" s="3">
        <v>31.876076109261724</v>
      </c>
      <c r="E2020" s="3">
        <v>31.183117932973428</v>
      </c>
      <c r="F2020" s="3">
        <v>31.755962371826172</v>
      </c>
      <c r="G2020" s="3">
        <v>402800</v>
      </c>
      <c r="H2020" s="3">
        <v>0</v>
      </c>
      <c r="I2020" s="3">
        <v>0</v>
      </c>
      <c r="J2020" s="3" t="str">
        <v>AB</v>
      </c>
      <c r="K2020" s="23">
        <v>44924</v>
      </c>
      <c r="L2020" s="22">
        <v>31.746728897094727</v>
      </c>
    </row>
    <row r="2021" spans="1:12" x14ac:dyDescent="0.25">
      <c r="A2021" s="9">
        <v>2014</v>
      </c>
      <c r="B2021" s="10">
        <v>44929</v>
      </c>
      <c r="C2021" s="3">
        <v>32.088583301932438</v>
      </c>
      <c r="D2021" s="3">
        <v>32.670669164903352</v>
      </c>
      <c r="E2021" s="3">
        <v>31.811400732516439</v>
      </c>
      <c r="F2021" s="3">
        <v>32.642951965332031</v>
      </c>
      <c r="G2021" s="3">
        <v>306700</v>
      </c>
      <c r="H2021" s="3">
        <v>0</v>
      </c>
      <c r="I2021" s="3">
        <v>0</v>
      </c>
      <c r="J2021" s="3" t="str">
        <v>AB</v>
      </c>
      <c r="K2021" s="23">
        <v>44925</v>
      </c>
      <c r="L2021" s="22">
        <v>31.755962371826172</v>
      </c>
    </row>
    <row r="2022" spans="1:12" x14ac:dyDescent="0.25">
      <c r="A2022" s="9">
        <v>2015</v>
      </c>
      <c r="B2022" s="10">
        <v>44930</v>
      </c>
      <c r="C2022" s="3">
        <v>32.679910757456952</v>
      </c>
      <c r="D2022" s="3">
        <v>33.345151819045647</v>
      </c>
      <c r="E2022" s="3">
        <v>32.495121182063642</v>
      </c>
      <c r="F2022" s="3">
        <v>33.160362243652344</v>
      </c>
      <c r="G2022" s="3">
        <v>334400</v>
      </c>
      <c r="H2022" s="3">
        <v>0</v>
      </c>
      <c r="I2022" s="3">
        <v>0</v>
      </c>
      <c r="J2022" s="3" t="str">
        <v>AB</v>
      </c>
      <c r="K2022" s="23">
        <v>44929</v>
      </c>
      <c r="L2022" s="22">
        <v>32.642951965332031</v>
      </c>
    </row>
    <row r="2023" spans="1:12" x14ac:dyDescent="0.25">
      <c r="A2023" s="9">
        <v>2016</v>
      </c>
      <c r="B2023" s="10">
        <v>44931</v>
      </c>
      <c r="C2023" s="3">
        <v>32.901655643132507</v>
      </c>
      <c r="D2023" s="3">
        <v>32.984810767466186</v>
      </c>
      <c r="E2023" s="3">
        <v>32.578273037582584</v>
      </c>
      <c r="F2023" s="3">
        <v>32.818500518798828</v>
      </c>
      <c r="G2023" s="3">
        <v>160900</v>
      </c>
      <c r="H2023" s="3">
        <v>0</v>
      </c>
      <c r="I2023" s="3">
        <v>0</v>
      </c>
      <c r="J2023" s="3" t="str">
        <v>AB</v>
      </c>
      <c r="K2023" s="23">
        <v>44930</v>
      </c>
      <c r="L2023" s="22">
        <v>33.160362243652344</v>
      </c>
    </row>
    <row r="2024" spans="1:12" x14ac:dyDescent="0.25">
      <c r="A2024" s="9">
        <v>2017</v>
      </c>
      <c r="B2024" s="10">
        <v>44932</v>
      </c>
      <c r="C2024" s="3">
        <v>32.800021406066897</v>
      </c>
      <c r="D2024" s="3">
        <v>34.426161761586073</v>
      </c>
      <c r="E2024" s="3">
        <v>32.679907664743197</v>
      </c>
      <c r="F2024" s="3">
        <v>34.148979187011719</v>
      </c>
      <c r="G2024" s="3">
        <v>348900</v>
      </c>
      <c r="H2024" s="3">
        <v>0</v>
      </c>
      <c r="I2024" s="3">
        <v>0</v>
      </c>
      <c r="J2024" s="3" t="str">
        <v>AB</v>
      </c>
      <c r="K2024" s="23">
        <v>44931</v>
      </c>
      <c r="L2024" s="22">
        <v>32.818500518798828</v>
      </c>
    </row>
    <row r="2025" spans="1:12" x14ac:dyDescent="0.25">
      <c r="A2025" s="9">
        <v>2018</v>
      </c>
      <c r="B2025" s="10">
        <v>44935</v>
      </c>
      <c r="C2025" s="3">
        <v>34.185938821611437</v>
      </c>
      <c r="D2025" s="3">
        <v>34.278331841031935</v>
      </c>
      <c r="E2025" s="3">
        <v>33.576135729560001</v>
      </c>
      <c r="F2025" s="3">
        <v>33.76092529296875</v>
      </c>
      <c r="G2025" s="3">
        <v>421200</v>
      </c>
      <c r="H2025" s="3">
        <v>0</v>
      </c>
      <c r="I2025" s="3">
        <v>0</v>
      </c>
      <c r="J2025" s="3" t="str">
        <v>AB</v>
      </c>
      <c r="K2025" s="23">
        <v>44932</v>
      </c>
      <c r="L2025" s="22">
        <v>34.148979187011719</v>
      </c>
    </row>
    <row r="2026" spans="1:12" x14ac:dyDescent="0.25">
      <c r="A2026" s="9">
        <v>2019</v>
      </c>
      <c r="B2026" s="10">
        <v>44936</v>
      </c>
      <c r="C2026" s="3">
        <v>33.557654670510239</v>
      </c>
      <c r="D2026" s="3">
        <v>35.137598482343464</v>
      </c>
      <c r="E2026" s="3">
        <v>33.520696054842574</v>
      </c>
      <c r="F2026" s="3">
        <v>35.054443359375</v>
      </c>
      <c r="G2026" s="3">
        <v>272700</v>
      </c>
      <c r="H2026" s="3">
        <v>0</v>
      </c>
      <c r="I2026" s="3">
        <v>0</v>
      </c>
      <c r="J2026" s="3" t="str">
        <v>AB</v>
      </c>
      <c r="K2026" s="23">
        <v>44935</v>
      </c>
      <c r="L2026" s="22">
        <v>33.76092529296875</v>
      </c>
    </row>
    <row r="2027" spans="1:12" x14ac:dyDescent="0.25">
      <c r="A2027" s="9">
        <v>2020</v>
      </c>
      <c r="B2027" s="10">
        <v>44937</v>
      </c>
      <c r="C2027" s="3">
        <v>35.313150012736671</v>
      </c>
      <c r="D2027" s="3">
        <v>35.802839332519838</v>
      </c>
      <c r="E2027" s="3">
        <v>35.072922536360636</v>
      </c>
      <c r="F2027" s="3">
        <v>35.691967010498047</v>
      </c>
      <c r="G2027" s="3">
        <v>184700</v>
      </c>
      <c r="H2027" s="3">
        <v>0</v>
      </c>
      <c r="I2027" s="3">
        <v>0</v>
      </c>
      <c r="J2027" s="3" t="str">
        <v>AB</v>
      </c>
      <c r="K2027" s="23">
        <v>44936</v>
      </c>
      <c r="L2027" s="22">
        <v>35.054443359375</v>
      </c>
    </row>
    <row r="2028" spans="1:12" x14ac:dyDescent="0.25">
      <c r="A2028" s="9">
        <v>2021</v>
      </c>
      <c r="B2028" s="10">
        <v>44938</v>
      </c>
      <c r="C2028" s="3">
        <v>36.033832550048828</v>
      </c>
      <c r="D2028" s="3">
        <v>36.477325450793543</v>
      </c>
      <c r="E2028" s="3">
        <v>35.276198404038908</v>
      </c>
      <c r="F2028" s="3">
        <v>36.033832550048828</v>
      </c>
      <c r="G2028" s="3">
        <v>231400</v>
      </c>
      <c r="H2028" s="3">
        <v>0</v>
      </c>
      <c r="I2028" s="3">
        <v>0</v>
      </c>
      <c r="J2028" s="3" t="str">
        <v>AB</v>
      </c>
      <c r="K2028" s="23">
        <v>44937</v>
      </c>
      <c r="L2028" s="22">
        <v>35.691967010498047</v>
      </c>
    </row>
    <row r="2029" spans="1:12" x14ac:dyDescent="0.25">
      <c r="A2029" s="9">
        <v>2022</v>
      </c>
      <c r="B2029" s="10">
        <v>44939</v>
      </c>
      <c r="C2029" s="3">
        <v>35.987628804660567</v>
      </c>
      <c r="D2029" s="3">
        <v>36.218614864350855</v>
      </c>
      <c r="E2029" s="3">
        <v>35.119118964501837</v>
      </c>
      <c r="F2029" s="3">
        <v>36.061542510986328</v>
      </c>
      <c r="G2029" s="3">
        <v>262600</v>
      </c>
      <c r="H2029" s="3">
        <v>0</v>
      </c>
      <c r="I2029" s="3">
        <v>0</v>
      </c>
      <c r="J2029" s="3" t="str">
        <v>AB</v>
      </c>
      <c r="K2029" s="23">
        <v>44938</v>
      </c>
      <c r="L2029" s="22">
        <v>36.033832550048828</v>
      </c>
    </row>
    <row r="2030" spans="1:12" x14ac:dyDescent="0.25">
      <c r="A2030" s="9">
        <v>2023</v>
      </c>
      <c r="B2030" s="10">
        <v>44943</v>
      </c>
      <c r="C2030" s="3">
        <v>36.061541476725523</v>
      </c>
      <c r="D2030" s="3">
        <v>36.061541476725523</v>
      </c>
      <c r="E2030" s="3">
        <v>35.174555878850164</v>
      </c>
      <c r="F2030" s="3">
        <v>35.488697052001953</v>
      </c>
      <c r="G2030" s="3">
        <v>212500</v>
      </c>
      <c r="H2030" s="3">
        <v>0</v>
      </c>
      <c r="I2030" s="3">
        <v>0</v>
      </c>
      <c r="J2030" s="3" t="str">
        <v>AB</v>
      </c>
      <c r="K2030" s="23">
        <v>44939</v>
      </c>
      <c r="L2030" s="22">
        <v>36.061542510986328</v>
      </c>
    </row>
    <row r="2031" spans="1:12" x14ac:dyDescent="0.25">
      <c r="A2031" s="9">
        <v>2024</v>
      </c>
      <c r="B2031" s="10">
        <v>44944</v>
      </c>
      <c r="C2031" s="3">
        <v>35.433261989059105</v>
      </c>
      <c r="D2031" s="3">
        <v>35.52565853248003</v>
      </c>
      <c r="E2031" s="3">
        <v>34.740303773957031</v>
      </c>
      <c r="F2031" s="3">
        <v>35.211517333984375</v>
      </c>
      <c r="G2031" s="3">
        <v>208100</v>
      </c>
      <c r="H2031" s="3">
        <v>0</v>
      </c>
      <c r="I2031" s="3">
        <v>0</v>
      </c>
      <c r="J2031" s="3" t="str">
        <v>AB</v>
      </c>
      <c r="K2031" s="23">
        <v>44943</v>
      </c>
      <c r="L2031" s="22">
        <v>35.488697052001953</v>
      </c>
    </row>
    <row r="2032" spans="1:12" x14ac:dyDescent="0.25">
      <c r="A2032" s="9">
        <v>2025</v>
      </c>
      <c r="B2032" s="10">
        <v>44945</v>
      </c>
      <c r="C2032" s="3">
        <v>34.888133826607373</v>
      </c>
      <c r="D2032" s="3">
        <v>34.952813167631732</v>
      </c>
      <c r="E2032" s="3">
        <v>33.585372556515971</v>
      </c>
      <c r="F2032" s="3">
        <v>33.705486297607422</v>
      </c>
      <c r="G2032" s="3">
        <v>220500</v>
      </c>
      <c r="H2032" s="3">
        <v>0</v>
      </c>
      <c r="I2032" s="3">
        <v>0</v>
      </c>
      <c r="J2032" s="3" t="str">
        <v>AB</v>
      </c>
      <c r="K2032" s="23">
        <v>44944</v>
      </c>
      <c r="L2032" s="22">
        <v>35.211517333984375</v>
      </c>
    </row>
    <row r="2033" spans="1:12" x14ac:dyDescent="0.25">
      <c r="A2033" s="9">
        <v>2026</v>
      </c>
      <c r="B2033" s="10">
        <v>44946</v>
      </c>
      <c r="C2033" s="3">
        <v>33.705487831264847</v>
      </c>
      <c r="D2033" s="3">
        <v>34.592473518374177</v>
      </c>
      <c r="E2033" s="3">
        <v>33.372867317456894</v>
      </c>
      <c r="F2033" s="3">
        <v>34.527797698974609</v>
      </c>
      <c r="G2033" s="3">
        <v>126100</v>
      </c>
      <c r="H2033" s="3">
        <v>0</v>
      </c>
      <c r="I2033" s="3">
        <v>0</v>
      </c>
      <c r="J2033" s="3" t="str">
        <v>AB</v>
      </c>
      <c r="K2033" s="23">
        <v>44945</v>
      </c>
      <c r="L2033" s="22">
        <v>33.705486297607422</v>
      </c>
    </row>
    <row r="2034" spans="1:12" x14ac:dyDescent="0.25">
      <c r="A2034" s="9">
        <v>2027</v>
      </c>
      <c r="B2034" s="10">
        <v>44949</v>
      </c>
      <c r="C2034" s="3">
        <v>34.731065497322298</v>
      </c>
      <c r="D2034" s="3">
        <v>35.442503013230819</v>
      </c>
      <c r="E2034" s="3">
        <v>34.601713862533053</v>
      </c>
      <c r="F2034" s="3">
        <v>35.183799743652344</v>
      </c>
      <c r="G2034" s="3">
        <v>192800</v>
      </c>
      <c r="H2034" s="3">
        <v>0</v>
      </c>
      <c r="I2034" s="3">
        <v>0</v>
      </c>
      <c r="J2034" s="3" t="str">
        <v>AB</v>
      </c>
      <c r="K2034" s="23">
        <v>44946</v>
      </c>
      <c r="L2034" s="22">
        <v>34.527797698974609</v>
      </c>
    </row>
    <row r="2035" spans="1:12" x14ac:dyDescent="0.25">
      <c r="A2035" s="9">
        <v>2028</v>
      </c>
      <c r="B2035" s="10">
        <v>44950</v>
      </c>
      <c r="C2035" s="3">
        <v>34.80498036104035</v>
      </c>
      <c r="D2035" s="3">
        <v>35.590335136914788</v>
      </c>
      <c r="E2035" s="3">
        <v>34.80498036104035</v>
      </c>
      <c r="F2035" s="3">
        <v>35.266952514648438</v>
      </c>
      <c r="G2035" s="3">
        <v>214600</v>
      </c>
      <c r="H2035" s="3">
        <v>0</v>
      </c>
      <c r="I2035" s="3">
        <v>0</v>
      </c>
      <c r="J2035" s="3" t="str">
        <v>AB</v>
      </c>
      <c r="K2035" s="23">
        <v>44949</v>
      </c>
      <c r="L2035" s="22">
        <v>35.183799743652344</v>
      </c>
    </row>
    <row r="2036" spans="1:12" x14ac:dyDescent="0.25">
      <c r="A2036" s="9">
        <v>2029</v>
      </c>
      <c r="B2036" s="10">
        <v>44951</v>
      </c>
      <c r="C2036" s="3">
        <v>34.878893700148723</v>
      </c>
      <c r="D2036" s="3">
        <v>35.026724631802423</v>
      </c>
      <c r="E2036" s="3">
        <v>34.463118103445389</v>
      </c>
      <c r="F2036" s="3">
        <v>34.675624847412109</v>
      </c>
      <c r="G2036" s="3">
        <v>138700</v>
      </c>
      <c r="H2036" s="3">
        <v>0</v>
      </c>
      <c r="I2036" s="3">
        <v>0</v>
      </c>
      <c r="J2036" s="3" t="str">
        <v>AB</v>
      </c>
      <c r="K2036" s="23">
        <v>44950</v>
      </c>
      <c r="L2036" s="22">
        <v>35.266952514648438</v>
      </c>
    </row>
    <row r="2037" spans="1:12" x14ac:dyDescent="0.25">
      <c r="A2037" s="9">
        <v>2030</v>
      </c>
      <c r="B2037" s="10">
        <v>44952</v>
      </c>
      <c r="C2037" s="3">
        <v>34.915855077182414</v>
      </c>
      <c r="D2037" s="3">
        <v>35.377827215728139</v>
      </c>
      <c r="E2037" s="3">
        <v>34.768024133830487</v>
      </c>
      <c r="F2037" s="3">
        <v>35.331630706787109</v>
      </c>
      <c r="G2037" s="3">
        <v>140100</v>
      </c>
      <c r="H2037" s="3">
        <v>0</v>
      </c>
      <c r="I2037" s="3">
        <v>0</v>
      </c>
      <c r="J2037" s="3" t="str">
        <v>AB</v>
      </c>
      <c r="K2037" s="23">
        <v>44951</v>
      </c>
      <c r="L2037" s="22">
        <v>34.675624847412109</v>
      </c>
    </row>
    <row r="2038" spans="1:12" x14ac:dyDescent="0.25">
      <c r="A2038" s="9">
        <v>2031</v>
      </c>
      <c r="B2038" s="10">
        <v>44953</v>
      </c>
      <c r="C2038" s="3">
        <v>34.925095670096326</v>
      </c>
      <c r="D2038" s="3">
        <v>35.655012551343383</v>
      </c>
      <c r="E2038" s="3">
        <v>34.869661264907123</v>
      </c>
      <c r="F2038" s="3">
        <v>34.980533599853516</v>
      </c>
      <c r="G2038" s="3">
        <v>215700</v>
      </c>
      <c r="H2038" s="3">
        <v>0</v>
      </c>
      <c r="I2038" s="3">
        <v>0</v>
      </c>
      <c r="J2038" s="3" t="str">
        <v>AB</v>
      </c>
      <c r="K2038" s="23">
        <v>44952</v>
      </c>
      <c r="L2038" s="22">
        <v>35.331630706787109</v>
      </c>
    </row>
    <row r="2039" spans="1:12" x14ac:dyDescent="0.25">
      <c r="A2039" s="9">
        <v>2032</v>
      </c>
      <c r="B2039" s="10">
        <v>44956</v>
      </c>
      <c r="C2039" s="3">
        <v>34.999012741971789</v>
      </c>
      <c r="D2039" s="3">
        <v>35.202278100970972</v>
      </c>
      <c r="E2039" s="3">
        <v>34.416926818300034</v>
      </c>
      <c r="F2039" s="3">
        <v>34.610954284667969</v>
      </c>
      <c r="G2039" s="3">
        <v>219700</v>
      </c>
      <c r="H2039" s="3">
        <v>0</v>
      </c>
      <c r="I2039" s="3">
        <v>0</v>
      </c>
      <c r="J2039" s="3" t="str">
        <v>AB</v>
      </c>
      <c r="K2039" s="23">
        <v>44953</v>
      </c>
      <c r="L2039" s="22">
        <v>34.980533599853516</v>
      </c>
    </row>
    <row r="2040" spans="1:12" x14ac:dyDescent="0.25">
      <c r="A2040" s="9">
        <v>2033</v>
      </c>
      <c r="B2040" s="10">
        <v>44957</v>
      </c>
      <c r="C2040" s="3">
        <v>34.68487116681689</v>
      </c>
      <c r="D2040" s="3">
        <v>35.109884714837037</v>
      </c>
      <c r="E2040" s="3">
        <v>34.389209261710015</v>
      </c>
      <c r="F2040" s="3">
        <v>35.026729583740234</v>
      </c>
      <c r="G2040" s="3">
        <v>150100</v>
      </c>
      <c r="H2040" s="3">
        <v>0</v>
      </c>
      <c r="I2040" s="3">
        <v>0</v>
      </c>
      <c r="J2040" s="3" t="str">
        <v>AB</v>
      </c>
      <c r="K2040" s="23">
        <v>44956</v>
      </c>
      <c r="L2040" s="22">
        <v>34.610954284667969</v>
      </c>
    </row>
    <row r="2041" spans="1:12" x14ac:dyDescent="0.25">
      <c r="A2041" s="9">
        <v>2034</v>
      </c>
      <c r="B2041" s="10">
        <v>44958</v>
      </c>
      <c r="C2041" s="3">
        <v>34.841936987593137</v>
      </c>
      <c r="D2041" s="3">
        <v>35.904474289982176</v>
      </c>
      <c r="E2041" s="3">
        <v>34.740302555678127</v>
      </c>
      <c r="F2041" s="3">
        <v>35.645771026611328</v>
      </c>
      <c r="G2041" s="3">
        <v>190400</v>
      </c>
      <c r="H2041" s="3">
        <v>0</v>
      </c>
      <c r="I2041" s="3">
        <v>0</v>
      </c>
      <c r="J2041" s="3" t="str">
        <v>AB</v>
      </c>
      <c r="K2041" s="23">
        <v>44957</v>
      </c>
      <c r="L2041" s="22">
        <v>35.026729583740234</v>
      </c>
    </row>
    <row r="2042" spans="1:12" x14ac:dyDescent="0.25">
      <c r="A2042" s="9">
        <v>2035</v>
      </c>
      <c r="B2042" s="10">
        <v>44959</v>
      </c>
      <c r="C2042" s="3">
        <v>35.922951268978387</v>
      </c>
      <c r="D2042" s="3">
        <v>36.90232985942361</v>
      </c>
      <c r="E2042" s="3">
        <v>35.922951268978387</v>
      </c>
      <c r="F2042" s="3">
        <v>36.5419921875</v>
      </c>
      <c r="G2042" s="3">
        <v>345300</v>
      </c>
      <c r="H2042" s="3">
        <v>0</v>
      </c>
      <c r="I2042" s="3">
        <v>0</v>
      </c>
      <c r="J2042" s="3" t="str">
        <v>AB</v>
      </c>
      <c r="K2042" s="23">
        <v>44958</v>
      </c>
      <c r="L2042" s="22">
        <v>35.645771026611328</v>
      </c>
    </row>
    <row r="2043" spans="1:12" x14ac:dyDescent="0.25">
      <c r="A2043" s="9">
        <v>2036</v>
      </c>
      <c r="B2043" s="10">
        <v>44960</v>
      </c>
      <c r="C2043" s="3">
        <v>36.264813774069829</v>
      </c>
      <c r="D2043" s="3">
        <v>37.022447818084977</v>
      </c>
      <c r="E2043" s="3">
        <v>36.12622071924627</v>
      </c>
      <c r="F2043" s="3">
        <v>36.274051666259766</v>
      </c>
      <c r="G2043" s="3">
        <v>284400</v>
      </c>
      <c r="H2043" s="3">
        <v>0</v>
      </c>
      <c r="I2043" s="3">
        <v>0</v>
      </c>
      <c r="J2043" s="3" t="str">
        <v>AB</v>
      </c>
      <c r="K2043" s="23">
        <v>44959</v>
      </c>
      <c r="L2043" s="22">
        <v>36.5419921875</v>
      </c>
    </row>
    <row r="2044" spans="1:12" x14ac:dyDescent="0.25">
      <c r="A2044" s="9">
        <v>2037</v>
      </c>
      <c r="B2044" s="10">
        <v>44963</v>
      </c>
      <c r="C2044" s="3">
        <v>36.043063151029941</v>
      </c>
      <c r="D2044" s="3">
        <v>36.431121563522389</v>
      </c>
      <c r="E2044" s="3">
        <v>35.636528955408501</v>
      </c>
      <c r="F2044" s="3">
        <v>35.765880584716797</v>
      </c>
      <c r="G2044" s="3">
        <v>157600</v>
      </c>
      <c r="H2044" s="3">
        <v>0</v>
      </c>
      <c r="I2044" s="3">
        <v>0</v>
      </c>
      <c r="J2044" s="3" t="str">
        <v>AB</v>
      </c>
      <c r="K2044" s="23">
        <v>44960</v>
      </c>
      <c r="L2044" s="22">
        <v>36.274051666259766</v>
      </c>
    </row>
    <row r="2045" spans="1:12" x14ac:dyDescent="0.25">
      <c r="A2045" s="9">
        <v>2038</v>
      </c>
      <c r="B2045" s="10">
        <v>44964</v>
      </c>
      <c r="C2045" s="3">
        <v>35.765881782214166</v>
      </c>
      <c r="D2045" s="3">
        <v>36.809939792336849</v>
      </c>
      <c r="E2045" s="3">
        <v>35.765881782214166</v>
      </c>
      <c r="F2045" s="3">
        <v>36.708305358886719</v>
      </c>
      <c r="G2045" s="3">
        <v>190900</v>
      </c>
      <c r="H2045" s="3">
        <v>0</v>
      </c>
      <c r="I2045" s="3">
        <v>0</v>
      </c>
      <c r="J2045" s="3" t="str">
        <v>AB</v>
      </c>
      <c r="K2045" s="23">
        <v>44963</v>
      </c>
      <c r="L2045" s="22">
        <v>35.765880584716797</v>
      </c>
    </row>
    <row r="2046" spans="1:12" x14ac:dyDescent="0.25">
      <c r="A2046" s="9">
        <v>2039</v>
      </c>
      <c r="B2046" s="10">
        <v>44965</v>
      </c>
      <c r="C2046" s="3">
        <v>36.384931109564882</v>
      </c>
      <c r="D2046" s="3">
        <v>36.893099819772559</v>
      </c>
      <c r="E2046" s="3">
        <v>36.089269186368846</v>
      </c>
      <c r="F2046" s="3">
        <v>36.763748168945313</v>
      </c>
      <c r="G2046" s="3">
        <v>210300</v>
      </c>
      <c r="H2046" s="3">
        <v>0</v>
      </c>
      <c r="I2046" s="3">
        <v>0</v>
      </c>
      <c r="J2046" s="3" t="str">
        <v>AB</v>
      </c>
      <c r="K2046" s="23">
        <v>44964</v>
      </c>
      <c r="L2046" s="22">
        <v>36.708305358886719</v>
      </c>
    </row>
    <row r="2047" spans="1:12" x14ac:dyDescent="0.25">
      <c r="A2047" s="9">
        <v>2040</v>
      </c>
      <c r="B2047" s="10">
        <v>44966</v>
      </c>
      <c r="C2047" s="3">
        <v>37.003964383791811</v>
      </c>
      <c r="D2047" s="3">
        <v>37.46593648227752</v>
      </c>
      <c r="E2047" s="3">
        <v>36.689823215838835</v>
      </c>
      <c r="F2047" s="3">
        <v>36.985485076904297</v>
      </c>
      <c r="G2047" s="3">
        <v>425700</v>
      </c>
      <c r="H2047" s="3">
        <v>0</v>
      </c>
      <c r="I2047" s="3">
        <v>0</v>
      </c>
      <c r="J2047" s="3" t="str">
        <v>AB</v>
      </c>
      <c r="K2047" s="23">
        <v>44965</v>
      </c>
      <c r="L2047" s="22">
        <v>36.763748168945313</v>
      </c>
    </row>
    <row r="2048" spans="1:12" x14ac:dyDescent="0.25">
      <c r="A2048" s="9">
        <v>2041</v>
      </c>
      <c r="B2048" s="10">
        <v>44967</v>
      </c>
      <c r="C2048" s="3">
        <v>36.116981161750331</v>
      </c>
      <c r="D2048" s="3">
        <v>37.096363343411603</v>
      </c>
      <c r="E2048" s="3">
        <v>35.350105736337063</v>
      </c>
      <c r="F2048" s="3">
        <v>36.384925842285156</v>
      </c>
      <c r="G2048" s="3">
        <v>427400</v>
      </c>
      <c r="H2048" s="3">
        <v>0</v>
      </c>
      <c r="I2048" s="3">
        <v>0</v>
      </c>
      <c r="J2048" s="3" t="str">
        <v>AB</v>
      </c>
      <c r="K2048" s="23">
        <v>44966</v>
      </c>
      <c r="L2048" s="22">
        <v>36.985485076904297</v>
      </c>
    </row>
    <row r="2049" spans="1:12" x14ac:dyDescent="0.25">
      <c r="A2049" s="9">
        <v>2042</v>
      </c>
      <c r="B2049" s="10">
        <v>44970</v>
      </c>
      <c r="C2049" s="3">
        <v>36.902331988553946</v>
      </c>
      <c r="D2049" s="3">
        <v>37.484417851551072</v>
      </c>
      <c r="E2049" s="3">
        <v>36.809938973600318</v>
      </c>
      <c r="F2049" s="3">
        <v>37.318107604980469</v>
      </c>
      <c r="G2049" s="3">
        <v>459700</v>
      </c>
      <c r="H2049" s="3">
        <v>0</v>
      </c>
      <c r="I2049" s="3">
        <v>0</v>
      </c>
      <c r="J2049" s="3" t="str">
        <v>AB</v>
      </c>
      <c r="K2049" s="23">
        <v>44967</v>
      </c>
      <c r="L2049" s="22">
        <v>36.384925842285156</v>
      </c>
    </row>
    <row r="2050" spans="1:12" x14ac:dyDescent="0.25">
      <c r="A2050" s="9">
        <v>2043</v>
      </c>
      <c r="B2050" s="10">
        <v>44971</v>
      </c>
      <c r="C2050" s="3">
        <v>37.244193176689009</v>
      </c>
      <c r="D2050" s="3">
        <v>38.805657656399838</v>
      </c>
      <c r="E2050" s="3">
        <v>37.161038055014025</v>
      </c>
      <c r="F2050" s="3">
        <v>38.371402740478516</v>
      </c>
      <c r="G2050" s="3">
        <v>490700</v>
      </c>
      <c r="H2050" s="3">
        <v>0</v>
      </c>
      <c r="I2050" s="3">
        <v>0</v>
      </c>
      <c r="J2050" s="3" t="str">
        <v>AB</v>
      </c>
      <c r="K2050" s="23">
        <v>44970</v>
      </c>
      <c r="L2050" s="22">
        <v>37.318107604980469</v>
      </c>
    </row>
    <row r="2051" spans="1:12" x14ac:dyDescent="0.25">
      <c r="A2051" s="9">
        <v>2044</v>
      </c>
      <c r="B2051" s="10">
        <v>44972</v>
      </c>
      <c r="C2051" s="3">
        <v>38.408361567131976</v>
      </c>
      <c r="D2051" s="3">
        <v>38.759461363312241</v>
      </c>
      <c r="E2051" s="3">
        <v>37.678444775582967</v>
      </c>
      <c r="F2051" s="3">
        <v>38.740982055664063</v>
      </c>
      <c r="G2051" s="3">
        <v>604300</v>
      </c>
      <c r="H2051" s="3">
        <v>0</v>
      </c>
      <c r="I2051" s="3">
        <v>0</v>
      </c>
      <c r="J2051" s="3" t="str">
        <v>AB</v>
      </c>
      <c r="K2051" s="23">
        <v>44971</v>
      </c>
      <c r="L2051" s="22">
        <v>38.371402740478516</v>
      </c>
    </row>
    <row r="2052" spans="1:12" x14ac:dyDescent="0.25">
      <c r="A2052" s="9">
        <v>2045</v>
      </c>
      <c r="B2052" s="10">
        <v>44973</v>
      </c>
      <c r="C2052" s="3">
        <v>38.713266406070275</v>
      </c>
      <c r="D2052" s="3">
        <v>38.787180115054014</v>
      </c>
      <c r="E2052" s="3">
        <v>37.724646317009913</v>
      </c>
      <c r="F2052" s="3">
        <v>37.743122100830078</v>
      </c>
      <c r="G2052" s="3">
        <v>392200</v>
      </c>
      <c r="H2052" s="3">
        <v>0</v>
      </c>
      <c r="I2052" s="3">
        <v>0</v>
      </c>
      <c r="J2052" s="3" t="str">
        <v>AB</v>
      </c>
      <c r="K2052" s="23">
        <v>44972</v>
      </c>
      <c r="L2052" s="22">
        <v>38.740982055664063</v>
      </c>
    </row>
    <row r="2053" spans="1:12" x14ac:dyDescent="0.25">
      <c r="A2053" s="9">
        <v>2046</v>
      </c>
      <c r="B2053" s="10">
        <v>44974</v>
      </c>
      <c r="C2053" s="3">
        <v>37.724325325808742</v>
      </c>
      <c r="D2053" s="3">
        <v>38.19435179380929</v>
      </c>
      <c r="E2053" s="3">
        <v>37.649119369640324</v>
      </c>
      <c r="F2053" s="3">
        <v>38.015739440917969</v>
      </c>
      <c r="G2053" s="3">
        <v>241800</v>
      </c>
      <c r="H2053" s="3">
        <v>0.7</v>
      </c>
      <c r="I2053" s="3">
        <v>0</v>
      </c>
      <c r="J2053" s="3" t="str">
        <v>AB</v>
      </c>
      <c r="K2053" s="23">
        <v>44973</v>
      </c>
      <c r="L2053" s="22">
        <v>37.743122100830078</v>
      </c>
    </row>
    <row r="2054" spans="1:12" x14ac:dyDescent="0.25">
      <c r="A2054" s="9">
        <v>2047</v>
      </c>
      <c r="B2054" s="10">
        <v>44978</v>
      </c>
      <c r="C2054" s="3">
        <v>37.602114254747427</v>
      </c>
      <c r="D2054" s="3">
        <v>37.865327907005202</v>
      </c>
      <c r="E2054" s="3">
        <v>36.81246971195705</v>
      </c>
      <c r="F2054" s="3">
        <v>36.944076538085938</v>
      </c>
      <c r="G2054" s="3">
        <v>291700</v>
      </c>
      <c r="H2054" s="3">
        <v>0</v>
      </c>
      <c r="I2054" s="3">
        <v>0</v>
      </c>
      <c r="J2054" s="3" t="str">
        <v>AB</v>
      </c>
      <c r="K2054" s="23">
        <v>44974</v>
      </c>
      <c r="L2054" s="22">
        <v>38.015739440917969</v>
      </c>
    </row>
    <row r="2055" spans="1:12" x14ac:dyDescent="0.25">
      <c r="A2055" s="9">
        <v>2048</v>
      </c>
      <c r="B2055" s="10">
        <v>44979</v>
      </c>
      <c r="C2055" s="3">
        <v>36.897075321723023</v>
      </c>
      <c r="D2055" s="3">
        <v>37.132088540332724</v>
      </c>
      <c r="E2055" s="3">
        <v>36.380046957985108</v>
      </c>
      <c r="F2055" s="3">
        <v>36.445850372314453</v>
      </c>
      <c r="G2055" s="3">
        <v>185000</v>
      </c>
      <c r="H2055" s="3">
        <v>0</v>
      </c>
      <c r="I2055" s="3">
        <v>0</v>
      </c>
      <c r="J2055" s="3" t="str">
        <v>AB</v>
      </c>
      <c r="K2055" s="23">
        <v>44978</v>
      </c>
      <c r="L2055" s="22">
        <v>36.944076538085938</v>
      </c>
    </row>
    <row r="2056" spans="1:12" x14ac:dyDescent="0.25">
      <c r="A2056" s="9">
        <v>2049</v>
      </c>
      <c r="B2056" s="10">
        <v>44980</v>
      </c>
      <c r="C2056" s="3">
        <v>36.530456046507304</v>
      </c>
      <c r="D2056" s="3">
        <v>37.254297205445255</v>
      </c>
      <c r="E2056" s="3">
        <v>36.436448605466346</v>
      </c>
      <c r="F2056" s="3">
        <v>37.160289764404297</v>
      </c>
      <c r="G2056" s="3">
        <v>285000</v>
      </c>
      <c r="H2056" s="3">
        <v>0</v>
      </c>
      <c r="I2056" s="3">
        <v>0</v>
      </c>
      <c r="J2056" s="3" t="str">
        <v>AB</v>
      </c>
      <c r="K2056" s="23">
        <v>44979</v>
      </c>
      <c r="L2056" s="22">
        <v>36.445850372314453</v>
      </c>
    </row>
    <row r="2057" spans="1:12" x14ac:dyDescent="0.25">
      <c r="A2057" s="9">
        <v>2050</v>
      </c>
      <c r="B2057" s="10">
        <v>44981</v>
      </c>
      <c r="C2057" s="3">
        <v>36.295441245203911</v>
      </c>
      <c r="D2057" s="3">
        <v>36.962877910504474</v>
      </c>
      <c r="E2057" s="3">
        <v>36.295441245203911</v>
      </c>
      <c r="F2057" s="3">
        <v>36.878273010253906</v>
      </c>
      <c r="G2057" s="3">
        <v>166000</v>
      </c>
      <c r="H2057" s="3">
        <v>0</v>
      </c>
      <c r="I2057" s="3">
        <v>0</v>
      </c>
      <c r="J2057" s="3" t="str">
        <v>AB</v>
      </c>
      <c r="K2057" s="23">
        <v>44980</v>
      </c>
      <c r="L2057" s="22">
        <v>37.160289764404297</v>
      </c>
    </row>
    <row r="2058" spans="1:12" x14ac:dyDescent="0.25">
      <c r="A2058" s="9">
        <v>2051</v>
      </c>
      <c r="B2058" s="10">
        <v>44984</v>
      </c>
      <c r="C2058" s="3">
        <v>37.132090434471053</v>
      </c>
      <c r="D2058" s="3">
        <v>37.348302176299065</v>
      </c>
      <c r="E2058" s="3">
        <v>35.891220863795432</v>
      </c>
      <c r="F2058" s="3">
        <v>36.351844787597656</v>
      </c>
      <c r="G2058" s="3">
        <v>369500</v>
      </c>
      <c r="H2058" s="3">
        <v>0</v>
      </c>
      <c r="I2058" s="3">
        <v>0</v>
      </c>
      <c r="J2058" s="3" t="str">
        <v>AB</v>
      </c>
      <c r="K2058" s="23">
        <v>44981</v>
      </c>
      <c r="L2058" s="22">
        <v>36.878273010253906</v>
      </c>
    </row>
    <row r="2059" spans="1:12" x14ac:dyDescent="0.25">
      <c r="A2059" s="9">
        <v>2052</v>
      </c>
      <c r="B2059" s="10">
        <v>44985</v>
      </c>
      <c r="C2059" s="3">
        <v>36.182636827476955</v>
      </c>
      <c r="D2059" s="3">
        <v>37.028682265491675</v>
      </c>
      <c r="E2059" s="3">
        <v>36.088629388130556</v>
      </c>
      <c r="F2059" s="3">
        <v>36.511653900146484</v>
      </c>
      <c r="G2059" s="3">
        <v>255200</v>
      </c>
      <c r="H2059" s="3">
        <v>0</v>
      </c>
      <c r="I2059" s="3">
        <v>0</v>
      </c>
      <c r="J2059" s="3" t="str">
        <v>AB</v>
      </c>
      <c r="K2059" s="23">
        <v>44984</v>
      </c>
      <c r="L2059" s="22">
        <v>36.351844787597656</v>
      </c>
    </row>
    <row r="2060" spans="1:12" x14ac:dyDescent="0.25">
      <c r="A2060" s="9">
        <v>2053</v>
      </c>
      <c r="B2060" s="10">
        <v>44986</v>
      </c>
      <c r="C2060" s="3">
        <v>36.380045000608952</v>
      </c>
      <c r="D2060" s="3">
        <v>36.897073336528905</v>
      </c>
      <c r="E2060" s="3">
        <v>36.041625410256422</v>
      </c>
      <c r="F2060" s="3">
        <v>36.605655670166016</v>
      </c>
      <c r="G2060" s="3">
        <v>221900</v>
      </c>
      <c r="H2060" s="3">
        <v>0</v>
      </c>
      <c r="I2060" s="3">
        <v>0</v>
      </c>
      <c r="J2060" s="3" t="str">
        <v>AB</v>
      </c>
      <c r="K2060" s="23">
        <v>44985</v>
      </c>
      <c r="L2060" s="22">
        <v>36.511653900146484</v>
      </c>
    </row>
    <row r="2061" spans="1:12" x14ac:dyDescent="0.25">
      <c r="A2061" s="9">
        <v>2054</v>
      </c>
      <c r="B2061" s="10">
        <v>44987</v>
      </c>
      <c r="C2061" s="3">
        <v>36.210836126054716</v>
      </c>
      <c r="D2061" s="3">
        <v>36.370643388885817</v>
      </c>
      <c r="E2061" s="3">
        <v>35.609202877250745</v>
      </c>
      <c r="F2061" s="3">
        <v>35.731407165527344</v>
      </c>
      <c r="G2061" s="3">
        <v>232500</v>
      </c>
      <c r="H2061" s="3">
        <v>0</v>
      </c>
      <c r="I2061" s="3">
        <v>0</v>
      </c>
      <c r="J2061" s="3" t="str">
        <v>AB</v>
      </c>
      <c r="K2061" s="23">
        <v>44986</v>
      </c>
      <c r="L2061" s="22">
        <v>36.605655670166016</v>
      </c>
    </row>
    <row r="2062" spans="1:12" x14ac:dyDescent="0.25">
      <c r="A2062" s="9">
        <v>2055</v>
      </c>
      <c r="B2062" s="10">
        <v>44988</v>
      </c>
      <c r="C2062" s="3">
        <v>35.957026280152299</v>
      </c>
      <c r="D2062" s="3">
        <v>36.803075391739355</v>
      </c>
      <c r="E2062" s="3">
        <v>35.92882583843857</v>
      </c>
      <c r="F2062" s="3">
        <v>36.765472412109375</v>
      </c>
      <c r="G2062" s="3">
        <v>309300</v>
      </c>
      <c r="H2062" s="3">
        <v>0</v>
      </c>
      <c r="I2062" s="3">
        <v>0</v>
      </c>
      <c r="J2062" s="3" t="str">
        <v>AB</v>
      </c>
      <c r="K2062" s="23">
        <v>44987</v>
      </c>
      <c r="L2062" s="22">
        <v>35.731407165527344</v>
      </c>
    </row>
    <row r="2063" spans="1:12" x14ac:dyDescent="0.25">
      <c r="A2063" s="9">
        <v>2056</v>
      </c>
      <c r="B2063" s="10">
        <v>44991</v>
      </c>
      <c r="C2063" s="3">
        <v>36.821871838443634</v>
      </c>
      <c r="D2063" s="3">
        <v>36.897077794727593</v>
      </c>
      <c r="E2063" s="3">
        <v>36.032230813566265</v>
      </c>
      <c r="F2063" s="3">
        <v>36.295444488525391</v>
      </c>
      <c r="G2063" s="3">
        <v>244500</v>
      </c>
      <c r="H2063" s="3">
        <v>0</v>
      </c>
      <c r="I2063" s="3">
        <v>0</v>
      </c>
      <c r="J2063" s="3" t="str">
        <v>AB</v>
      </c>
      <c r="K2063" s="23">
        <v>44988</v>
      </c>
      <c r="L2063" s="22">
        <v>36.765472412109375</v>
      </c>
    </row>
    <row r="2064" spans="1:12" x14ac:dyDescent="0.25">
      <c r="A2064" s="9">
        <v>2057</v>
      </c>
      <c r="B2064" s="10">
        <v>44992</v>
      </c>
      <c r="C2064" s="3">
        <v>36.173236459846741</v>
      </c>
      <c r="D2064" s="3">
        <v>36.333047323310922</v>
      </c>
      <c r="E2064" s="3">
        <v>35.392994389574724</v>
      </c>
      <c r="F2064" s="3">
        <v>35.402393341064453</v>
      </c>
      <c r="G2064" s="3">
        <v>173400</v>
      </c>
      <c r="H2064" s="3">
        <v>0</v>
      </c>
      <c r="I2064" s="3">
        <v>0</v>
      </c>
      <c r="J2064" s="3" t="str">
        <v>AB</v>
      </c>
      <c r="K2064" s="23">
        <v>44991</v>
      </c>
      <c r="L2064" s="22">
        <v>36.295444488525391</v>
      </c>
    </row>
    <row r="2065" spans="1:12" x14ac:dyDescent="0.25">
      <c r="A2065" s="9">
        <v>2058</v>
      </c>
      <c r="B2065" s="10">
        <v>44993</v>
      </c>
      <c r="C2065" s="3">
        <v>35.439993892400025</v>
      </c>
      <c r="D2065" s="3">
        <v>35.665604572878912</v>
      </c>
      <c r="E2065" s="3">
        <v>35.016969383980729</v>
      </c>
      <c r="F2065" s="3">
        <v>35.298984527587891</v>
      </c>
      <c r="G2065" s="3">
        <v>163700</v>
      </c>
      <c r="H2065" s="3">
        <v>0</v>
      </c>
      <c r="I2065" s="3">
        <v>0</v>
      </c>
      <c r="J2065" s="3" t="str">
        <v>AB</v>
      </c>
      <c r="K2065" s="23">
        <v>44992</v>
      </c>
      <c r="L2065" s="22">
        <v>35.402393341064453</v>
      </c>
    </row>
    <row r="2066" spans="1:12" x14ac:dyDescent="0.25">
      <c r="A2066" s="9">
        <v>2059</v>
      </c>
      <c r="B2066" s="10">
        <v>44994</v>
      </c>
      <c r="C2066" s="3">
        <v>35.543400541171572</v>
      </c>
      <c r="D2066" s="3">
        <v>35.712610345774102</v>
      </c>
      <c r="E2066" s="3">
        <v>34.509340225709771</v>
      </c>
      <c r="F2066" s="3">
        <v>34.537544250488281</v>
      </c>
      <c r="G2066" s="3">
        <v>171800</v>
      </c>
      <c r="H2066" s="3">
        <v>0</v>
      </c>
      <c r="I2066" s="3">
        <v>0</v>
      </c>
      <c r="J2066" s="3" t="str">
        <v>AB</v>
      </c>
      <c r="K2066" s="23">
        <v>44993</v>
      </c>
      <c r="L2066" s="22">
        <v>35.298984527587891</v>
      </c>
    </row>
    <row r="2067" spans="1:12" x14ac:dyDescent="0.25">
      <c r="A2067" s="9">
        <v>2060</v>
      </c>
      <c r="B2067" s="10">
        <v>44995</v>
      </c>
      <c r="C2067" s="3">
        <v>34.311929521939888</v>
      </c>
      <c r="D2067" s="3">
        <v>35.242583434766054</v>
      </c>
      <c r="E2067" s="3">
        <v>33.475283047085455</v>
      </c>
      <c r="F2067" s="3">
        <v>34.659748077392578</v>
      </c>
      <c r="G2067" s="3">
        <v>372600</v>
      </c>
      <c r="H2067" s="3">
        <v>0</v>
      </c>
      <c r="I2067" s="3">
        <v>0</v>
      </c>
      <c r="J2067" s="3" t="str">
        <v>AB</v>
      </c>
      <c r="K2067" s="23">
        <v>44994</v>
      </c>
      <c r="L2067" s="22">
        <v>34.537544250488281</v>
      </c>
    </row>
    <row r="2068" spans="1:12" x14ac:dyDescent="0.25">
      <c r="A2068" s="9">
        <v>2061</v>
      </c>
      <c r="B2068" s="10">
        <v>44998</v>
      </c>
      <c r="C2068" s="3">
        <v>33.729098806422897</v>
      </c>
      <c r="D2068" s="3">
        <v>34.640947674181696</v>
      </c>
      <c r="E2068" s="3">
        <v>33.531684973511055</v>
      </c>
      <c r="F2068" s="3">
        <v>33.851303100585938</v>
      </c>
      <c r="G2068" s="3">
        <v>297800</v>
      </c>
      <c r="H2068" s="3">
        <v>0</v>
      </c>
      <c r="I2068" s="3">
        <v>0</v>
      </c>
      <c r="J2068" s="3" t="str">
        <v>AB</v>
      </c>
      <c r="K2068" s="23">
        <v>44995</v>
      </c>
      <c r="L2068" s="22">
        <v>34.659748077392578</v>
      </c>
    </row>
    <row r="2069" spans="1:12" x14ac:dyDescent="0.25">
      <c r="A2069" s="9">
        <v>2062</v>
      </c>
      <c r="B2069" s="10">
        <v>44999</v>
      </c>
      <c r="C2069" s="3">
        <v>34.678552934872144</v>
      </c>
      <c r="D2069" s="3">
        <v>34.99817108300072</v>
      </c>
      <c r="E2069" s="3">
        <v>33.559891209430837</v>
      </c>
      <c r="F2069" s="3">
        <v>33.569290161132813</v>
      </c>
      <c r="G2069" s="3">
        <v>277500</v>
      </c>
      <c r="H2069" s="3">
        <v>0</v>
      </c>
      <c r="I2069" s="3">
        <v>0</v>
      </c>
      <c r="J2069" s="3" t="str">
        <v>AB</v>
      </c>
      <c r="K2069" s="23">
        <v>44998</v>
      </c>
      <c r="L2069" s="22">
        <v>33.851303100585938</v>
      </c>
    </row>
    <row r="2070" spans="1:12" x14ac:dyDescent="0.25">
      <c r="A2070" s="9">
        <v>2063</v>
      </c>
      <c r="B2070" s="10">
        <v>45000</v>
      </c>
      <c r="C2070" s="3">
        <v>32.901852455172964</v>
      </c>
      <c r="D2070" s="3">
        <v>33.1932701535993</v>
      </c>
      <c r="E2070" s="3">
        <v>32.601035805321338</v>
      </c>
      <c r="F2070" s="3">
        <v>32.977058410644531</v>
      </c>
      <c r="G2070" s="3">
        <v>456900</v>
      </c>
      <c r="H2070" s="3">
        <v>0</v>
      </c>
      <c r="I2070" s="3">
        <v>0</v>
      </c>
      <c r="J2070" s="3" t="str">
        <v>AB</v>
      </c>
      <c r="K2070" s="23">
        <v>44999</v>
      </c>
      <c r="L2070" s="22">
        <v>33.569290161132813</v>
      </c>
    </row>
    <row r="2071" spans="1:12" x14ac:dyDescent="0.25">
      <c r="A2071" s="9">
        <v>2064</v>
      </c>
      <c r="B2071" s="10">
        <v>45001</v>
      </c>
      <c r="C2071" s="3">
        <v>33.635090228568991</v>
      </c>
      <c r="D2071" s="3">
        <v>33.729097666305826</v>
      </c>
      <c r="E2071" s="3">
        <v>32.948852070166922</v>
      </c>
      <c r="F2071" s="3">
        <v>33.193267822265625</v>
      </c>
      <c r="G2071" s="3">
        <v>382800</v>
      </c>
      <c r="H2071" s="3">
        <v>0</v>
      </c>
      <c r="I2071" s="3">
        <v>0</v>
      </c>
      <c r="J2071" s="3" t="str">
        <v>AB</v>
      </c>
      <c r="K2071" s="23">
        <v>45000</v>
      </c>
      <c r="L2071" s="22">
        <v>32.977058410644531</v>
      </c>
    </row>
    <row r="2072" spans="1:12" x14ac:dyDescent="0.25">
      <c r="A2072" s="9">
        <v>2065</v>
      </c>
      <c r="B2072" s="10">
        <v>45002</v>
      </c>
      <c r="C2072" s="3">
        <v>32.76084113386375</v>
      </c>
      <c r="D2072" s="3">
        <v>33.230867569563472</v>
      </c>
      <c r="E2072" s="3">
        <v>32.685638768880693</v>
      </c>
      <c r="F2072" s="3">
        <v>32.883049011230469</v>
      </c>
      <c r="G2072" s="3">
        <v>515600</v>
      </c>
      <c r="H2072" s="3">
        <v>0</v>
      </c>
      <c r="I2072" s="3">
        <v>0</v>
      </c>
      <c r="J2072" s="3" t="str">
        <v>AB</v>
      </c>
      <c r="K2072" s="23">
        <v>45001</v>
      </c>
      <c r="L2072" s="22">
        <v>33.193267822265625</v>
      </c>
    </row>
    <row r="2073" spans="1:12" x14ac:dyDescent="0.25">
      <c r="A2073" s="9">
        <v>2066</v>
      </c>
      <c r="B2073" s="10">
        <v>45005</v>
      </c>
      <c r="C2073" s="3">
        <v>32.836044205957641</v>
      </c>
      <c r="D2073" s="3">
        <v>33.672690614387278</v>
      </c>
      <c r="E2073" s="3">
        <v>32.836044205957641</v>
      </c>
      <c r="F2073" s="3">
        <v>33.024055480957031</v>
      </c>
      <c r="G2073" s="3">
        <v>554100</v>
      </c>
      <c r="H2073" s="3">
        <v>0</v>
      </c>
      <c r="I2073" s="3">
        <v>0</v>
      </c>
      <c r="J2073" s="3" t="str">
        <v>AB</v>
      </c>
      <c r="K2073" s="23">
        <v>45002</v>
      </c>
      <c r="L2073" s="22">
        <v>32.883049011230469</v>
      </c>
    </row>
    <row r="2074" spans="1:12" x14ac:dyDescent="0.25">
      <c r="A2074" s="9">
        <v>2067</v>
      </c>
      <c r="B2074" s="10">
        <v>45006</v>
      </c>
      <c r="C2074" s="3">
        <v>33.719695829673356</v>
      </c>
      <c r="D2074" s="3">
        <v>33.747899854588567</v>
      </c>
      <c r="E2074" s="3">
        <v>33.155665535609216</v>
      </c>
      <c r="F2074" s="3">
        <v>33.334274291992188</v>
      </c>
      <c r="G2074" s="3">
        <v>360600</v>
      </c>
      <c r="H2074" s="3">
        <v>0</v>
      </c>
      <c r="I2074" s="3">
        <v>0</v>
      </c>
      <c r="J2074" s="3" t="str">
        <v>AB</v>
      </c>
      <c r="K2074" s="23">
        <v>45005</v>
      </c>
      <c r="L2074" s="22">
        <v>33.024055480957031</v>
      </c>
    </row>
    <row r="2075" spans="1:12" x14ac:dyDescent="0.25">
      <c r="A2075" s="9">
        <v>2068</v>
      </c>
      <c r="B2075" s="10">
        <v>45007</v>
      </c>
      <c r="C2075" s="3">
        <v>33.193270136841001</v>
      </c>
      <c r="D2075" s="3">
        <v>33.400079342248752</v>
      </c>
      <c r="E2075" s="3">
        <v>31.830192675754265</v>
      </c>
      <c r="F2075" s="3">
        <v>31.89599609375</v>
      </c>
      <c r="G2075" s="3">
        <v>441500</v>
      </c>
      <c r="H2075" s="3">
        <v>0</v>
      </c>
      <c r="I2075" s="3">
        <v>0</v>
      </c>
      <c r="J2075" s="3" t="str">
        <v>AB</v>
      </c>
      <c r="K2075" s="23">
        <v>45006</v>
      </c>
      <c r="L2075" s="22">
        <v>33.334274291992188</v>
      </c>
    </row>
    <row r="2076" spans="1:12" x14ac:dyDescent="0.25">
      <c r="A2076" s="9">
        <v>2069</v>
      </c>
      <c r="B2076" s="10">
        <v>45008</v>
      </c>
      <c r="C2076" s="3">
        <v>31.952399125406078</v>
      </c>
      <c r="D2076" s="3">
        <v>32.676236690853074</v>
      </c>
      <c r="E2076" s="3">
        <v>31.651578903198242</v>
      </c>
      <c r="F2076" s="3">
        <v>31.651578903198242</v>
      </c>
      <c r="G2076" s="3">
        <v>480500</v>
      </c>
      <c r="H2076" s="3">
        <v>0</v>
      </c>
      <c r="I2076" s="3">
        <v>0</v>
      </c>
      <c r="J2076" s="3" t="str">
        <v>AB</v>
      </c>
      <c r="K2076" s="23">
        <v>45007</v>
      </c>
      <c r="L2076" s="22">
        <v>31.89599609375</v>
      </c>
    </row>
    <row r="2077" spans="1:12" x14ac:dyDescent="0.25">
      <c r="A2077" s="9">
        <v>2070</v>
      </c>
      <c r="B2077" s="10">
        <v>45009</v>
      </c>
      <c r="C2077" s="3">
        <v>31.595179538755385</v>
      </c>
      <c r="D2077" s="3">
        <v>31.952400656101091</v>
      </c>
      <c r="E2077" s="3">
        <v>31.153353514301941</v>
      </c>
      <c r="F2077" s="3">
        <v>31.48237419128418</v>
      </c>
      <c r="G2077" s="3">
        <v>459500</v>
      </c>
      <c r="H2077" s="3">
        <v>0</v>
      </c>
      <c r="I2077" s="3">
        <v>0</v>
      </c>
      <c r="J2077" s="3" t="str">
        <v>AB</v>
      </c>
      <c r="K2077" s="23">
        <v>45008</v>
      </c>
      <c r="L2077" s="22">
        <v>31.651578903198242</v>
      </c>
    </row>
    <row r="2078" spans="1:12" x14ac:dyDescent="0.25">
      <c r="A2078" s="9">
        <v>2071</v>
      </c>
      <c r="B2078" s="10">
        <v>45012</v>
      </c>
      <c r="C2078" s="3">
        <v>31.745586796117166</v>
      </c>
      <c r="D2078" s="3">
        <v>33.099261678285252</v>
      </c>
      <c r="E2078" s="3">
        <v>31.745586796117166</v>
      </c>
      <c r="F2078" s="3">
        <v>32.770244598388672</v>
      </c>
      <c r="G2078" s="3">
        <v>388800</v>
      </c>
      <c r="H2078" s="3">
        <v>0</v>
      </c>
      <c r="I2078" s="3">
        <v>0</v>
      </c>
      <c r="J2078" s="3" t="str">
        <v>AB</v>
      </c>
      <c r="K2078" s="23">
        <v>45009</v>
      </c>
      <c r="L2078" s="22">
        <v>31.48237419128418</v>
      </c>
    </row>
    <row r="2079" spans="1:12" x14ac:dyDescent="0.25">
      <c r="A2079" s="9">
        <v>2072</v>
      </c>
      <c r="B2079" s="10">
        <v>45013</v>
      </c>
      <c r="C2079" s="3">
        <v>32.629236783472891</v>
      </c>
      <c r="D2079" s="3">
        <v>33.635093145372984</v>
      </c>
      <c r="E2079" s="3">
        <v>32.619837831892674</v>
      </c>
      <c r="F2079" s="3">
        <v>33.306076049804688</v>
      </c>
      <c r="G2079" s="3">
        <v>315900</v>
      </c>
      <c r="H2079" s="3">
        <v>0</v>
      </c>
      <c r="I2079" s="3">
        <v>0</v>
      </c>
      <c r="J2079" s="3" t="str">
        <v>AB</v>
      </c>
      <c r="K2079" s="23">
        <v>45012</v>
      </c>
      <c r="L2079" s="22">
        <v>32.770244598388672</v>
      </c>
    </row>
    <row r="2080" spans="1:12" x14ac:dyDescent="0.25">
      <c r="A2080" s="9">
        <v>2073</v>
      </c>
      <c r="B2080" s="10">
        <v>45014</v>
      </c>
      <c r="C2080" s="3">
        <v>33.738498820043439</v>
      </c>
      <c r="D2080" s="3">
        <v>33.804302237747358</v>
      </c>
      <c r="E2080" s="3">
        <v>33.165065963465906</v>
      </c>
      <c r="F2080" s="3">
        <v>33.550487518310547</v>
      </c>
      <c r="G2080" s="3">
        <v>213300</v>
      </c>
      <c r="H2080" s="3">
        <v>0</v>
      </c>
      <c r="I2080" s="3">
        <v>0</v>
      </c>
      <c r="J2080" s="3" t="str">
        <v>AB</v>
      </c>
      <c r="K2080" s="23">
        <v>45013</v>
      </c>
      <c r="L2080" s="22">
        <v>33.306076049804688</v>
      </c>
    </row>
    <row r="2081" spans="1:12" x14ac:dyDescent="0.25">
      <c r="A2081" s="9">
        <v>2074</v>
      </c>
      <c r="B2081" s="10">
        <v>45015</v>
      </c>
      <c r="C2081" s="3">
        <v>33.465882131697235</v>
      </c>
      <c r="D2081" s="3">
        <v>34.37773460110818</v>
      </c>
      <c r="E2081" s="3">
        <v>33.465882131697235</v>
      </c>
      <c r="F2081" s="3">
        <v>33.794902801513672</v>
      </c>
      <c r="G2081" s="3">
        <v>131000</v>
      </c>
      <c r="H2081" s="3">
        <v>0</v>
      </c>
      <c r="I2081" s="3">
        <v>0</v>
      </c>
      <c r="J2081" s="3" t="str">
        <v>AB</v>
      </c>
      <c r="K2081" s="23">
        <v>45014</v>
      </c>
      <c r="L2081" s="22">
        <v>33.550487518310547</v>
      </c>
    </row>
    <row r="2082" spans="1:12" x14ac:dyDescent="0.25">
      <c r="A2082" s="9">
        <v>2075</v>
      </c>
      <c r="B2082" s="10">
        <v>45016</v>
      </c>
      <c r="C2082" s="3">
        <v>34.095719518989263</v>
      </c>
      <c r="D2082" s="3">
        <v>34.405935114951212</v>
      </c>
      <c r="E2082" s="3">
        <v>33.794902874291559</v>
      </c>
      <c r="F2082" s="3">
        <v>34.368335723876953</v>
      </c>
      <c r="G2082" s="3">
        <v>139800</v>
      </c>
      <c r="H2082" s="3">
        <v>0</v>
      </c>
      <c r="I2082" s="3">
        <v>0</v>
      </c>
      <c r="J2082" s="3" t="str">
        <v>AB</v>
      </c>
      <c r="K2082" s="23">
        <v>45015</v>
      </c>
      <c r="L2082" s="22">
        <v>33.794902801513672</v>
      </c>
    </row>
    <row r="2083" spans="1:12" x14ac:dyDescent="0.25">
      <c r="A2083" s="9">
        <v>2076</v>
      </c>
      <c r="B2083" s="10">
        <v>45019</v>
      </c>
      <c r="C2083" s="3">
        <v>34.142722567033552</v>
      </c>
      <c r="D2083" s="3">
        <v>34.321331335049777</v>
      </c>
      <c r="E2083" s="3">
        <v>33.437682860523743</v>
      </c>
      <c r="F2083" s="3">
        <v>33.559890747070313</v>
      </c>
      <c r="G2083" s="3">
        <v>259100</v>
      </c>
      <c r="H2083" s="3">
        <v>0</v>
      </c>
      <c r="I2083" s="3">
        <v>0</v>
      </c>
      <c r="J2083" s="3" t="str">
        <v>AB</v>
      </c>
      <c r="K2083" s="23">
        <v>45016</v>
      </c>
      <c r="L2083" s="22">
        <v>34.368335723876953</v>
      </c>
    </row>
    <row r="2084" spans="1:12" x14ac:dyDescent="0.25">
      <c r="A2084" s="9">
        <v>2077</v>
      </c>
      <c r="B2084" s="10">
        <v>45020</v>
      </c>
      <c r="C2084" s="3">
        <v>33.447080999154231</v>
      </c>
      <c r="D2084" s="3">
        <v>33.700892104421229</v>
      </c>
      <c r="E2084" s="3">
        <v>32.328415850234357</v>
      </c>
      <c r="F2084" s="3">
        <v>32.723239898681641</v>
      </c>
      <c r="G2084" s="3">
        <v>240500</v>
      </c>
      <c r="H2084" s="3">
        <v>0</v>
      </c>
      <c r="I2084" s="3">
        <v>0</v>
      </c>
      <c r="J2084" s="3" t="str">
        <v>AB</v>
      </c>
      <c r="K2084" s="23">
        <v>45019</v>
      </c>
      <c r="L2084" s="22">
        <v>33.559890747070313</v>
      </c>
    </row>
    <row r="2085" spans="1:12" x14ac:dyDescent="0.25">
      <c r="A2085" s="9">
        <v>2078</v>
      </c>
      <c r="B2085" s="10">
        <v>45021</v>
      </c>
      <c r="C2085" s="3">
        <v>32.403624701962599</v>
      </c>
      <c r="D2085" s="3">
        <v>32.619836439250641</v>
      </c>
      <c r="E2085" s="3">
        <v>31.867794834331967</v>
      </c>
      <c r="F2085" s="3">
        <v>32.074604034423828</v>
      </c>
      <c r="G2085" s="3">
        <v>171300</v>
      </c>
      <c r="H2085" s="3">
        <v>0</v>
      </c>
      <c r="I2085" s="3">
        <v>0</v>
      </c>
      <c r="J2085" s="3" t="str">
        <v>AB</v>
      </c>
      <c r="K2085" s="23">
        <v>45020</v>
      </c>
      <c r="L2085" s="22">
        <v>32.723239898681641</v>
      </c>
    </row>
    <row r="2086" spans="1:12" x14ac:dyDescent="0.25">
      <c r="A2086" s="9">
        <v>2079</v>
      </c>
      <c r="B2086" s="10">
        <v>45022</v>
      </c>
      <c r="C2086" s="3">
        <v>31.971197179842783</v>
      </c>
      <c r="D2086" s="3">
        <v>32.525828527842052</v>
      </c>
      <c r="E2086" s="3">
        <v>31.830191398090744</v>
      </c>
      <c r="F2086" s="3">
        <v>32.065204620361328</v>
      </c>
      <c r="G2086" s="3">
        <v>258900</v>
      </c>
      <c r="H2086" s="3">
        <v>0</v>
      </c>
      <c r="I2086" s="3">
        <v>0</v>
      </c>
      <c r="J2086" s="3" t="str">
        <v>AB</v>
      </c>
      <c r="K2086" s="23">
        <v>45021</v>
      </c>
      <c r="L2086" s="22">
        <v>32.074604034423828</v>
      </c>
    </row>
    <row r="2087" spans="1:12" x14ac:dyDescent="0.25">
      <c r="A2087" s="9">
        <v>2080</v>
      </c>
      <c r="B2087" s="10">
        <v>45026</v>
      </c>
      <c r="C2087" s="3">
        <v>31.830193110604551</v>
      </c>
      <c r="D2087" s="3">
        <v>32.497629837118019</v>
      </c>
      <c r="E2087" s="3">
        <v>31.830193110604551</v>
      </c>
      <c r="F2087" s="3">
        <v>32.159210205078125</v>
      </c>
      <c r="G2087" s="3">
        <v>584300</v>
      </c>
      <c r="H2087" s="3">
        <v>0</v>
      </c>
      <c r="I2087" s="3">
        <v>0</v>
      </c>
      <c r="J2087" s="3" t="str">
        <v>AB</v>
      </c>
      <c r="K2087" s="23">
        <v>45022</v>
      </c>
      <c r="L2087" s="22">
        <v>32.065204620361328</v>
      </c>
    </row>
    <row r="2088" spans="1:12" x14ac:dyDescent="0.25">
      <c r="A2088" s="9">
        <v>2081</v>
      </c>
      <c r="B2088" s="10">
        <v>45027</v>
      </c>
      <c r="C2088" s="3">
        <v>32.112208931628913</v>
      </c>
      <c r="D2088" s="3">
        <v>33.465883901438403</v>
      </c>
      <c r="E2088" s="3">
        <v>32.112208931628913</v>
      </c>
      <c r="F2088" s="3">
        <v>33.381278991699219</v>
      </c>
      <c r="G2088" s="3">
        <v>234600</v>
      </c>
      <c r="H2088" s="3">
        <v>0</v>
      </c>
      <c r="I2088" s="3">
        <v>0</v>
      </c>
      <c r="J2088" s="3" t="str">
        <v>AB</v>
      </c>
      <c r="K2088" s="23">
        <v>45026</v>
      </c>
      <c r="L2088" s="22">
        <v>32.159210205078125</v>
      </c>
    </row>
    <row r="2089" spans="1:12" x14ac:dyDescent="0.25">
      <c r="A2089" s="9">
        <v>2082</v>
      </c>
      <c r="B2089" s="10">
        <v>45028</v>
      </c>
      <c r="C2089" s="3">
        <v>33.625689608349596</v>
      </c>
      <c r="D2089" s="3">
        <v>33.823099838770283</v>
      </c>
      <c r="E2089" s="3">
        <v>32.093402516476637</v>
      </c>
      <c r="F2089" s="3">
        <v>32.149806976318359</v>
      </c>
      <c r="G2089" s="3">
        <v>265500</v>
      </c>
      <c r="H2089" s="3">
        <v>0</v>
      </c>
      <c r="I2089" s="3">
        <v>0</v>
      </c>
      <c r="J2089" s="3" t="str">
        <v>AB</v>
      </c>
      <c r="K2089" s="23">
        <v>45027</v>
      </c>
      <c r="L2089" s="22">
        <v>33.381278991699219</v>
      </c>
    </row>
    <row r="2090" spans="1:12" x14ac:dyDescent="0.25">
      <c r="A2090" s="9">
        <v>2083</v>
      </c>
      <c r="B2090" s="10">
        <v>45029</v>
      </c>
      <c r="C2090" s="3">
        <v>32.149811626693555</v>
      </c>
      <c r="D2090" s="3">
        <v>33.343679304239402</v>
      </c>
      <c r="E2090" s="3">
        <v>32.149811626693555</v>
      </c>
      <c r="F2090" s="3">
        <v>32.9300537109375</v>
      </c>
      <c r="G2090" s="3">
        <v>302900</v>
      </c>
      <c r="H2090" s="3">
        <v>0</v>
      </c>
      <c r="I2090" s="3">
        <v>0</v>
      </c>
      <c r="J2090" s="3" t="str">
        <v>AB</v>
      </c>
      <c r="K2090" s="23">
        <v>45028</v>
      </c>
      <c r="L2090" s="22">
        <v>32.149806976318359</v>
      </c>
    </row>
    <row r="2091" spans="1:12" x14ac:dyDescent="0.25">
      <c r="A2091" s="9">
        <v>2084</v>
      </c>
      <c r="B2091" s="10">
        <v>45030</v>
      </c>
      <c r="C2091" s="3">
        <v>33.108663457606497</v>
      </c>
      <c r="D2091" s="3">
        <v>34.38713594339962</v>
      </c>
      <c r="E2091" s="3">
        <v>33.108663457606497</v>
      </c>
      <c r="F2091" s="3">
        <v>34.283729553222656</v>
      </c>
      <c r="G2091" s="3">
        <v>309200</v>
      </c>
      <c r="H2091" s="3">
        <v>0</v>
      </c>
      <c r="I2091" s="3">
        <v>0</v>
      </c>
      <c r="J2091" s="3" t="str">
        <v>AB</v>
      </c>
      <c r="K2091" s="23">
        <v>45029</v>
      </c>
      <c r="L2091" s="22">
        <v>32.9300537109375</v>
      </c>
    </row>
    <row r="2092" spans="1:12" x14ac:dyDescent="0.25">
      <c r="A2092" s="9">
        <v>2085</v>
      </c>
      <c r="B2092" s="10">
        <v>45033</v>
      </c>
      <c r="C2092" s="3">
        <v>34.311932047772707</v>
      </c>
      <c r="D2092" s="3">
        <v>34.781958514180552</v>
      </c>
      <c r="E2092" s="3">
        <v>34.095720303547182</v>
      </c>
      <c r="F2092" s="3">
        <v>34.575145721435547</v>
      </c>
      <c r="G2092" s="3">
        <v>242900</v>
      </c>
      <c r="H2092" s="3">
        <v>0</v>
      </c>
      <c r="I2092" s="3">
        <v>0</v>
      </c>
      <c r="J2092" s="3" t="str">
        <v>AB</v>
      </c>
      <c r="K2092" s="23">
        <v>45030</v>
      </c>
      <c r="L2092" s="22">
        <v>34.283729553222656</v>
      </c>
    </row>
    <row r="2093" spans="1:12" x14ac:dyDescent="0.25">
      <c r="A2093" s="9">
        <v>2086</v>
      </c>
      <c r="B2093" s="10">
        <v>45034</v>
      </c>
      <c r="C2093" s="3">
        <v>34.518745481624727</v>
      </c>
      <c r="D2093" s="3">
        <v>34.669153810228039</v>
      </c>
      <c r="E2093" s="3">
        <v>33.75730130093568</v>
      </c>
      <c r="F2093" s="3">
        <v>34.011116027832031</v>
      </c>
      <c r="G2093" s="3">
        <v>242300</v>
      </c>
      <c r="H2093" s="3">
        <v>0</v>
      </c>
      <c r="I2093" s="3">
        <v>0</v>
      </c>
      <c r="J2093" s="3" t="str">
        <v>AB</v>
      </c>
      <c r="K2093" s="23">
        <v>45033</v>
      </c>
      <c r="L2093" s="22">
        <v>34.575145721435547</v>
      </c>
    </row>
    <row r="2094" spans="1:12" x14ac:dyDescent="0.25">
      <c r="A2094" s="9">
        <v>2087</v>
      </c>
      <c r="B2094" s="10">
        <v>45035</v>
      </c>
      <c r="C2094" s="3">
        <v>33.738497658878394</v>
      </c>
      <c r="D2094" s="3">
        <v>34.067518322091509</v>
      </c>
      <c r="E2094" s="3">
        <v>33.381276556481978</v>
      </c>
      <c r="F2094" s="3">
        <v>33.531684875488281</v>
      </c>
      <c r="G2094" s="3">
        <v>248200</v>
      </c>
      <c r="H2094" s="3">
        <v>0</v>
      </c>
      <c r="I2094" s="3">
        <v>0</v>
      </c>
      <c r="J2094" s="3" t="str">
        <v>AB</v>
      </c>
      <c r="K2094" s="23">
        <v>45034</v>
      </c>
      <c r="L2094" s="22">
        <v>34.011116027832031</v>
      </c>
    </row>
    <row r="2095" spans="1:12" x14ac:dyDescent="0.25">
      <c r="A2095" s="9">
        <v>2088</v>
      </c>
      <c r="B2095" s="10">
        <v>45036</v>
      </c>
      <c r="C2095" s="3">
        <v>33.230868429945204</v>
      </c>
      <c r="D2095" s="3">
        <v>34.753756702973789</v>
      </c>
      <c r="E2095" s="3">
        <v>33.230868429945204</v>
      </c>
      <c r="F2095" s="3">
        <v>34.170921325683594</v>
      </c>
      <c r="G2095" s="3">
        <v>286400</v>
      </c>
      <c r="H2095" s="3">
        <v>0</v>
      </c>
      <c r="I2095" s="3">
        <v>0</v>
      </c>
      <c r="J2095" s="3" t="str">
        <v>AB</v>
      </c>
      <c r="K2095" s="23">
        <v>45035</v>
      </c>
      <c r="L2095" s="22">
        <v>33.531684875488281</v>
      </c>
    </row>
    <row r="2096" spans="1:12" x14ac:dyDescent="0.25">
      <c r="A2096" s="9">
        <v>2089</v>
      </c>
      <c r="B2096" s="10">
        <v>45037</v>
      </c>
      <c r="C2096" s="3">
        <v>34.217927551891769</v>
      </c>
      <c r="D2096" s="3">
        <v>34.528143149216902</v>
      </c>
      <c r="E2096" s="3">
        <v>33.672695139720467</v>
      </c>
      <c r="F2096" s="3">
        <v>33.926509857177734</v>
      </c>
      <c r="G2096" s="3">
        <v>220100</v>
      </c>
      <c r="H2096" s="3">
        <v>0</v>
      </c>
      <c r="I2096" s="3">
        <v>0</v>
      </c>
      <c r="J2096" s="3" t="str">
        <v>AB</v>
      </c>
      <c r="K2096" s="23">
        <v>45036</v>
      </c>
      <c r="L2096" s="22">
        <v>34.170921325683594</v>
      </c>
    </row>
    <row r="2097" spans="1:12" x14ac:dyDescent="0.25">
      <c r="A2097" s="9">
        <v>2090</v>
      </c>
      <c r="B2097" s="10">
        <v>45040</v>
      </c>
      <c r="C2097" s="3">
        <v>33.729099646363771</v>
      </c>
      <c r="D2097" s="3">
        <v>33.964112875476637</v>
      </c>
      <c r="E2097" s="3">
        <v>33.287273628106043</v>
      </c>
      <c r="F2097" s="3">
        <v>33.418880462646484</v>
      </c>
      <c r="G2097" s="3">
        <v>165400</v>
      </c>
      <c r="H2097" s="3">
        <v>0</v>
      </c>
      <c r="I2097" s="3">
        <v>0</v>
      </c>
      <c r="J2097" s="3" t="str">
        <v>AB</v>
      </c>
      <c r="K2097" s="23">
        <v>45037</v>
      </c>
      <c r="L2097" s="22">
        <v>33.926509857177734</v>
      </c>
    </row>
    <row r="2098" spans="1:12" x14ac:dyDescent="0.25">
      <c r="A2098" s="9">
        <v>2091</v>
      </c>
      <c r="B2098" s="10">
        <v>45041</v>
      </c>
      <c r="C2098" s="3">
        <v>32.995851186954646</v>
      </c>
      <c r="D2098" s="3">
        <v>33.343673297943809</v>
      </c>
      <c r="E2098" s="3">
        <v>32.337817108903309</v>
      </c>
      <c r="F2098" s="3">
        <v>32.384819030761719</v>
      </c>
      <c r="G2098" s="3">
        <v>230300</v>
      </c>
      <c r="H2098" s="3">
        <v>0</v>
      </c>
      <c r="I2098" s="3">
        <v>0</v>
      </c>
      <c r="J2098" s="3" t="str">
        <v>AB</v>
      </c>
      <c r="K2098" s="23">
        <v>45040</v>
      </c>
      <c r="L2098" s="22">
        <v>33.418880462646484</v>
      </c>
    </row>
    <row r="2099" spans="1:12" x14ac:dyDescent="0.25">
      <c r="A2099" s="9">
        <v>2092</v>
      </c>
      <c r="B2099" s="10">
        <v>45042</v>
      </c>
      <c r="C2099" s="3">
        <v>32.337823969312616</v>
      </c>
      <c r="D2099" s="3">
        <v>32.65744212617971</v>
      </c>
      <c r="E2099" s="3">
        <v>31.538776784136115</v>
      </c>
      <c r="F2099" s="3">
        <v>32.055805206298828</v>
      </c>
      <c r="G2099" s="3">
        <v>340800</v>
      </c>
      <c r="H2099" s="3">
        <v>0</v>
      </c>
      <c r="I2099" s="3">
        <v>0</v>
      </c>
      <c r="J2099" s="3" t="str">
        <v>AB</v>
      </c>
      <c r="K2099" s="23">
        <v>45041</v>
      </c>
      <c r="L2099" s="22">
        <v>32.384819030761719</v>
      </c>
    </row>
    <row r="2100" spans="1:12" x14ac:dyDescent="0.25">
      <c r="A2100" s="9">
        <v>2093</v>
      </c>
      <c r="B2100" s="10">
        <v>45043</v>
      </c>
      <c r="C2100" s="3">
        <v>32.055801369237216</v>
      </c>
      <c r="D2100" s="3">
        <v>33.606890036078447</v>
      </c>
      <c r="E2100" s="3">
        <v>31.209755939519628</v>
      </c>
      <c r="F2100" s="3">
        <v>32.817245483398438</v>
      </c>
      <c r="G2100" s="3">
        <v>355400</v>
      </c>
      <c r="H2100" s="3">
        <v>0</v>
      </c>
      <c r="I2100" s="3">
        <v>0</v>
      </c>
      <c r="J2100" s="3" t="str">
        <v>AB</v>
      </c>
      <c r="K2100" s="23">
        <v>45042</v>
      </c>
      <c r="L2100" s="22">
        <v>32.055805206298828</v>
      </c>
    </row>
    <row r="2101" spans="1:12" x14ac:dyDescent="0.25">
      <c r="A2101" s="9">
        <v>2094</v>
      </c>
      <c r="B2101" s="10">
        <v>45044</v>
      </c>
      <c r="C2101" s="3">
        <v>32.892454210021576</v>
      </c>
      <c r="D2101" s="3">
        <v>33.418881565556816</v>
      </c>
      <c r="E2101" s="3">
        <v>32.516431596624344</v>
      </c>
      <c r="F2101" s="3">
        <v>32.864250183105469</v>
      </c>
      <c r="G2101" s="3">
        <v>255200</v>
      </c>
      <c r="H2101" s="3">
        <v>0</v>
      </c>
      <c r="I2101" s="3">
        <v>0</v>
      </c>
      <c r="J2101" s="3" t="str">
        <v>AB</v>
      </c>
      <c r="K2101" s="23">
        <v>45043</v>
      </c>
      <c r="L2101" s="22">
        <v>32.817245483398438</v>
      </c>
    </row>
    <row r="2102" spans="1:12" x14ac:dyDescent="0.25">
      <c r="A2102" s="9">
        <v>2095</v>
      </c>
      <c r="B2102" s="10">
        <v>45047</v>
      </c>
      <c r="C2102" s="3">
        <v>32.901852971295916</v>
      </c>
      <c r="D2102" s="3">
        <v>33.212072163456483</v>
      </c>
      <c r="E2102" s="3">
        <v>32.413025011114577</v>
      </c>
      <c r="F2102" s="3">
        <v>32.478828430175781</v>
      </c>
      <c r="G2102" s="3">
        <v>178900</v>
      </c>
      <c r="H2102" s="3">
        <v>0</v>
      </c>
      <c r="I2102" s="3">
        <v>0</v>
      </c>
      <c r="J2102" s="3" t="str">
        <v>AB</v>
      </c>
      <c r="K2102" s="23">
        <v>45044</v>
      </c>
      <c r="L2102" s="22">
        <v>32.864250183105469</v>
      </c>
    </row>
    <row r="2103" spans="1:12" x14ac:dyDescent="0.25">
      <c r="A2103" s="9">
        <v>2096</v>
      </c>
      <c r="B2103" s="10">
        <v>45048</v>
      </c>
      <c r="C2103" s="3">
        <v>32.253213757826629</v>
      </c>
      <c r="D2103" s="3">
        <v>32.441221454252712</v>
      </c>
      <c r="E2103" s="3">
        <v>31.65157693680554</v>
      </c>
      <c r="F2103" s="3">
        <v>31.679780960083008</v>
      </c>
      <c r="G2103" s="3">
        <v>310000</v>
      </c>
      <c r="H2103" s="3">
        <v>0</v>
      </c>
      <c r="I2103" s="3">
        <v>0</v>
      </c>
      <c r="J2103" s="3" t="str">
        <v>AB</v>
      </c>
      <c r="K2103" s="23">
        <v>45047</v>
      </c>
      <c r="L2103" s="22">
        <v>32.478828430175781</v>
      </c>
    </row>
    <row r="2104" spans="1:12" x14ac:dyDescent="0.25">
      <c r="A2104" s="9">
        <v>2097</v>
      </c>
      <c r="B2104" s="10">
        <v>45049</v>
      </c>
      <c r="C2104" s="3">
        <v>31.754986925862582</v>
      </c>
      <c r="D2104" s="3">
        <v>32.413024696096592</v>
      </c>
      <c r="E2104" s="3">
        <v>31.435368785235625</v>
      </c>
      <c r="F2104" s="3">
        <v>31.548177719116211</v>
      </c>
      <c r="G2104" s="3">
        <v>167500</v>
      </c>
      <c r="H2104" s="3">
        <v>0</v>
      </c>
      <c r="I2104" s="3">
        <v>0</v>
      </c>
      <c r="J2104" s="3" t="str">
        <v>AB</v>
      </c>
      <c r="K2104" s="23">
        <v>45048</v>
      </c>
      <c r="L2104" s="22">
        <v>31.679780960083008</v>
      </c>
    </row>
    <row r="2105" spans="1:12" x14ac:dyDescent="0.25">
      <c r="A2105" s="9">
        <v>2098</v>
      </c>
      <c r="B2105" s="10">
        <v>45050</v>
      </c>
      <c r="C2105" s="3">
        <v>31.613977249748949</v>
      </c>
      <c r="D2105" s="3">
        <v>31.942994301395782</v>
      </c>
      <c r="E2105" s="3">
        <v>30.626922508791541</v>
      </c>
      <c r="F2105" s="3">
        <v>31.200351715087891</v>
      </c>
      <c r="G2105" s="3">
        <v>317900</v>
      </c>
      <c r="H2105" s="3">
        <v>0</v>
      </c>
      <c r="I2105" s="3">
        <v>0</v>
      </c>
      <c r="J2105" s="3" t="str">
        <v>AB</v>
      </c>
      <c r="K2105" s="23">
        <v>45049</v>
      </c>
      <c r="L2105" s="22">
        <v>31.548177719116211</v>
      </c>
    </row>
    <row r="2106" spans="1:12" x14ac:dyDescent="0.25">
      <c r="A2106" s="9">
        <v>2099</v>
      </c>
      <c r="B2106" s="10">
        <v>45051</v>
      </c>
      <c r="C2106" s="3">
        <v>31.651145323592214</v>
      </c>
      <c r="D2106" s="3">
        <v>32.47599393864116</v>
      </c>
      <c r="E2106" s="3">
        <v>31.584006823183472</v>
      </c>
      <c r="F2106" s="3">
        <v>32.408855438232422</v>
      </c>
      <c r="G2106" s="3">
        <v>339400</v>
      </c>
      <c r="H2106" s="3">
        <v>0.66</v>
      </c>
      <c r="I2106" s="3">
        <v>0</v>
      </c>
      <c r="J2106" s="3" t="str">
        <v>AB</v>
      </c>
      <c r="K2106" s="23">
        <v>45050</v>
      </c>
      <c r="L2106" s="22">
        <v>31.200351715087891</v>
      </c>
    </row>
    <row r="2107" spans="1:12" x14ac:dyDescent="0.25">
      <c r="A2107" s="9">
        <v>2100</v>
      </c>
      <c r="B2107" s="10">
        <v>45054</v>
      </c>
      <c r="C2107" s="3">
        <v>32.408852714088084</v>
      </c>
      <c r="D2107" s="3">
        <v>33.243290905296021</v>
      </c>
      <c r="E2107" s="3">
        <v>32.226616520776155</v>
      </c>
      <c r="F2107" s="3">
        <v>33.003509521484375</v>
      </c>
      <c r="G2107" s="3">
        <v>264700</v>
      </c>
      <c r="H2107" s="3">
        <v>0</v>
      </c>
      <c r="I2107" s="3">
        <v>0</v>
      </c>
      <c r="J2107" s="3" t="str">
        <v>AB</v>
      </c>
      <c r="K2107" s="23">
        <v>45051</v>
      </c>
      <c r="L2107" s="22">
        <v>32.408855438232422</v>
      </c>
    </row>
    <row r="2108" spans="1:12" x14ac:dyDescent="0.25">
      <c r="A2108" s="9">
        <v>2101</v>
      </c>
      <c r="B2108" s="10">
        <v>45055</v>
      </c>
      <c r="C2108" s="3">
        <v>32.830871245739878</v>
      </c>
      <c r="D2108" s="3">
        <v>32.888420103099754</v>
      </c>
      <c r="E2108" s="3">
        <v>32.044388489025209</v>
      </c>
      <c r="F2108" s="3">
        <v>32.504768371582031</v>
      </c>
      <c r="G2108" s="3">
        <v>187000</v>
      </c>
      <c r="H2108" s="3">
        <v>0</v>
      </c>
      <c r="I2108" s="3">
        <v>0</v>
      </c>
      <c r="J2108" s="3" t="str">
        <v>AB</v>
      </c>
      <c r="K2108" s="23">
        <v>45054</v>
      </c>
      <c r="L2108" s="22">
        <v>33.003509521484375</v>
      </c>
    </row>
    <row r="2109" spans="1:12" x14ac:dyDescent="0.25">
      <c r="A2109" s="9">
        <v>2102</v>
      </c>
      <c r="B2109" s="10">
        <v>45056</v>
      </c>
      <c r="C2109" s="3">
        <v>32.734958366818645</v>
      </c>
      <c r="D2109" s="3">
        <v>33.55980698370302</v>
      </c>
      <c r="E2109" s="3">
        <v>31.756649797405125</v>
      </c>
      <c r="F2109" s="3">
        <v>33.43511962890625</v>
      </c>
      <c r="G2109" s="3">
        <v>466300</v>
      </c>
      <c r="H2109" s="3">
        <v>0</v>
      </c>
      <c r="I2109" s="3">
        <v>0</v>
      </c>
      <c r="J2109" s="3" t="str">
        <v>AB</v>
      </c>
      <c r="K2109" s="23">
        <v>45055</v>
      </c>
      <c r="L2109" s="22">
        <v>32.504768371582031</v>
      </c>
    </row>
    <row r="2110" spans="1:12" x14ac:dyDescent="0.25">
      <c r="A2110" s="9">
        <v>2103</v>
      </c>
      <c r="B2110" s="10">
        <v>45057</v>
      </c>
      <c r="C2110" s="3">
        <v>33.300841799374979</v>
      </c>
      <c r="D2110" s="3">
        <v>33.646127598669459</v>
      </c>
      <c r="E2110" s="3">
        <v>33.022694498968448</v>
      </c>
      <c r="F2110" s="3">
        <v>33.358386993408203</v>
      </c>
      <c r="G2110" s="3">
        <v>194400</v>
      </c>
      <c r="H2110" s="3">
        <v>0</v>
      </c>
      <c r="I2110" s="3">
        <v>0</v>
      </c>
      <c r="J2110" s="3" t="str">
        <v>AB</v>
      </c>
      <c r="K2110" s="23">
        <v>45056</v>
      </c>
      <c r="L2110" s="22">
        <v>33.43511962890625</v>
      </c>
    </row>
    <row r="2111" spans="1:12" x14ac:dyDescent="0.25">
      <c r="A2111" s="9">
        <v>2104</v>
      </c>
      <c r="B2111" s="10">
        <v>45058</v>
      </c>
      <c r="C2111" s="3">
        <v>33.339203481761523</v>
      </c>
      <c r="D2111" s="3">
        <v>33.713265530555283</v>
      </c>
      <c r="E2111" s="3">
        <v>32.61026965233448</v>
      </c>
      <c r="F2111" s="3">
        <v>32.773319244384766</v>
      </c>
      <c r="G2111" s="3">
        <v>565100</v>
      </c>
      <c r="H2111" s="3">
        <v>0</v>
      </c>
      <c r="I2111" s="3">
        <v>0</v>
      </c>
      <c r="J2111" s="3" t="str">
        <v>AB</v>
      </c>
      <c r="K2111" s="23">
        <v>45057</v>
      </c>
      <c r="L2111" s="22">
        <v>33.358386993408203</v>
      </c>
    </row>
    <row r="2112" spans="1:12" x14ac:dyDescent="0.25">
      <c r="A2112" s="9">
        <v>2105</v>
      </c>
      <c r="B2112" s="10">
        <v>45061</v>
      </c>
      <c r="C2112" s="3">
        <v>32.763731579323156</v>
      </c>
      <c r="D2112" s="3">
        <v>33.272066995594159</v>
      </c>
      <c r="E2112" s="3">
        <v>32.523950170323779</v>
      </c>
      <c r="F2112" s="3">
        <v>32.677410125732422</v>
      </c>
      <c r="G2112" s="3">
        <v>210900</v>
      </c>
      <c r="H2112" s="3">
        <v>0</v>
      </c>
      <c r="I2112" s="3">
        <v>0</v>
      </c>
      <c r="J2112" s="3" t="str">
        <v>AB</v>
      </c>
      <c r="K2112" s="23">
        <v>45058</v>
      </c>
      <c r="L2112" s="22">
        <v>32.773319244384766</v>
      </c>
    </row>
    <row r="2113" spans="1:12" x14ac:dyDescent="0.25">
      <c r="A2113" s="9">
        <v>2106</v>
      </c>
      <c r="B2113" s="10">
        <v>45062</v>
      </c>
      <c r="C2113" s="3">
        <v>32.514358637844133</v>
      </c>
      <c r="D2113" s="3">
        <v>32.773319324821493</v>
      </c>
      <c r="E2113" s="3">
        <v>31.996429946341959</v>
      </c>
      <c r="F2113" s="3">
        <v>32.006019592285156</v>
      </c>
      <c r="G2113" s="3">
        <v>193100</v>
      </c>
      <c r="H2113" s="3">
        <v>0</v>
      </c>
      <c r="I2113" s="3">
        <v>0</v>
      </c>
      <c r="J2113" s="3" t="str">
        <v>AB</v>
      </c>
      <c r="K2113" s="23">
        <v>45061</v>
      </c>
      <c r="L2113" s="22">
        <v>32.677410125732422</v>
      </c>
    </row>
    <row r="2114" spans="1:12" x14ac:dyDescent="0.25">
      <c r="A2114" s="9">
        <v>2107</v>
      </c>
      <c r="B2114" s="10">
        <v>45063</v>
      </c>
      <c r="C2114" s="3">
        <v>32.360901716343442</v>
      </c>
      <c r="D2114" s="3">
        <v>32.600683133848499</v>
      </c>
      <c r="E2114" s="3">
        <v>32.188258803037868</v>
      </c>
      <c r="F2114" s="3">
        <v>32.504768371582031</v>
      </c>
      <c r="G2114" s="3">
        <v>224400</v>
      </c>
      <c r="H2114" s="3">
        <v>0</v>
      </c>
      <c r="I2114" s="3">
        <v>0</v>
      </c>
      <c r="J2114" s="3" t="str">
        <v>AB</v>
      </c>
      <c r="K2114" s="23">
        <v>45062</v>
      </c>
      <c r="L2114" s="22">
        <v>32.006019592285156</v>
      </c>
    </row>
    <row r="2115" spans="1:12" x14ac:dyDescent="0.25">
      <c r="A2115" s="9">
        <v>2108</v>
      </c>
      <c r="B2115" s="10">
        <v>45064</v>
      </c>
      <c r="C2115" s="3">
        <v>32.466402319961638</v>
      </c>
      <c r="D2115" s="3">
        <v>33.588581251376773</v>
      </c>
      <c r="E2115" s="3">
        <v>32.466402319961638</v>
      </c>
      <c r="F2115" s="3">
        <v>33.463893890380859</v>
      </c>
      <c r="G2115" s="3">
        <v>245000</v>
      </c>
      <c r="H2115" s="3">
        <v>0</v>
      </c>
      <c r="I2115" s="3">
        <v>0</v>
      </c>
      <c r="J2115" s="3" t="str">
        <v>AB</v>
      </c>
      <c r="K2115" s="23">
        <v>45063</v>
      </c>
      <c r="L2115" s="22">
        <v>32.504768371582031</v>
      </c>
    </row>
    <row r="2116" spans="1:12" x14ac:dyDescent="0.25">
      <c r="A2116" s="9">
        <v>2109</v>
      </c>
      <c r="B2116" s="10">
        <v>45065</v>
      </c>
      <c r="C2116" s="3">
        <v>33.655719580339408</v>
      </c>
      <c r="D2116" s="3">
        <v>33.828362491967461</v>
      </c>
      <c r="E2116" s="3">
        <v>32.898009430280062</v>
      </c>
      <c r="F2116" s="3">
        <v>33.013103485107422</v>
      </c>
      <c r="G2116" s="3">
        <v>132800</v>
      </c>
      <c r="H2116" s="3">
        <v>0</v>
      </c>
      <c r="I2116" s="3">
        <v>0</v>
      </c>
      <c r="J2116" s="3" t="str">
        <v>AB</v>
      </c>
      <c r="K2116" s="23">
        <v>45064</v>
      </c>
      <c r="L2116" s="22">
        <v>33.463893890380859</v>
      </c>
    </row>
    <row r="2117" spans="1:12" x14ac:dyDescent="0.25">
      <c r="A2117" s="9">
        <v>2110</v>
      </c>
      <c r="B2117" s="10">
        <v>45068</v>
      </c>
      <c r="C2117" s="3">
        <v>32.850052901832768</v>
      </c>
      <c r="D2117" s="3">
        <v>33.569397125960499</v>
      </c>
      <c r="E2117" s="3">
        <v>32.850052901832768</v>
      </c>
      <c r="F2117" s="3">
        <v>33.252883911132813</v>
      </c>
      <c r="G2117" s="3">
        <v>99400</v>
      </c>
      <c r="H2117" s="3">
        <v>0</v>
      </c>
      <c r="I2117" s="3">
        <v>0</v>
      </c>
      <c r="J2117" s="3" t="str">
        <v>AB</v>
      </c>
      <c r="K2117" s="23">
        <v>45065</v>
      </c>
      <c r="L2117" s="22">
        <v>33.013103485107422</v>
      </c>
    </row>
    <row r="2118" spans="1:12" x14ac:dyDescent="0.25">
      <c r="A2118" s="9">
        <v>2111</v>
      </c>
      <c r="B2118" s="10">
        <v>45069</v>
      </c>
      <c r="C2118" s="3">
        <v>33.099424260312816</v>
      </c>
      <c r="D2118" s="3">
        <v>34.135281708781264</v>
      </c>
      <c r="E2118" s="3">
        <v>32.696593247313281</v>
      </c>
      <c r="F2118" s="3">
        <v>32.744548797607422</v>
      </c>
      <c r="G2118" s="3">
        <v>217300</v>
      </c>
      <c r="H2118" s="3">
        <v>0</v>
      </c>
      <c r="I2118" s="3">
        <v>0</v>
      </c>
      <c r="J2118" s="3" t="str">
        <v>AB</v>
      </c>
      <c r="K2118" s="23">
        <v>45068</v>
      </c>
      <c r="L2118" s="22">
        <v>33.252883911132813</v>
      </c>
    </row>
    <row r="2119" spans="1:12" x14ac:dyDescent="0.25">
      <c r="A2119" s="9">
        <v>2112</v>
      </c>
      <c r="B2119" s="10">
        <v>45070</v>
      </c>
      <c r="C2119" s="3">
        <v>32.236214354784067</v>
      </c>
      <c r="D2119" s="3">
        <v>32.85005419819317</v>
      </c>
      <c r="E2119" s="3">
        <v>32.092344040771401</v>
      </c>
      <c r="F2119" s="3">
        <v>32.504768371582031</v>
      </c>
      <c r="G2119" s="3">
        <v>249800</v>
      </c>
      <c r="H2119" s="3">
        <v>0</v>
      </c>
      <c r="I2119" s="3">
        <v>0</v>
      </c>
      <c r="J2119" s="3" t="str">
        <v>AB</v>
      </c>
      <c r="K2119" s="23">
        <v>45069</v>
      </c>
      <c r="L2119" s="22">
        <v>32.744548797607422</v>
      </c>
    </row>
    <row r="2120" spans="1:12" x14ac:dyDescent="0.25">
      <c r="A2120" s="9">
        <v>2113</v>
      </c>
      <c r="B2120" s="10">
        <v>45071</v>
      </c>
      <c r="C2120" s="3">
        <v>32.869236461715445</v>
      </c>
      <c r="D2120" s="3">
        <v>33.089834922143524</v>
      </c>
      <c r="E2120" s="3">
        <v>31.852561955644575</v>
      </c>
      <c r="F2120" s="3">
        <v>32.044387817382813</v>
      </c>
      <c r="G2120" s="3">
        <v>265800</v>
      </c>
      <c r="H2120" s="3">
        <v>0</v>
      </c>
      <c r="I2120" s="3">
        <v>0</v>
      </c>
      <c r="J2120" s="3" t="str">
        <v>AB</v>
      </c>
      <c r="K2120" s="23">
        <v>45070</v>
      </c>
      <c r="L2120" s="22">
        <v>32.504768371582031</v>
      </c>
    </row>
    <row r="2121" spans="1:12" x14ac:dyDescent="0.25">
      <c r="A2121" s="9">
        <v>2114</v>
      </c>
      <c r="B2121" s="10">
        <v>45072</v>
      </c>
      <c r="C2121" s="3">
        <v>32.082749713233873</v>
      </c>
      <c r="D2121" s="3">
        <v>33.435116564308515</v>
      </c>
      <c r="E2121" s="3">
        <v>32.034794168484133</v>
      </c>
      <c r="F2121" s="3">
        <v>32.936370849609375</v>
      </c>
      <c r="G2121" s="3">
        <v>213600</v>
      </c>
      <c r="H2121" s="3">
        <v>0</v>
      </c>
      <c r="I2121" s="3">
        <v>0</v>
      </c>
      <c r="J2121" s="3" t="str">
        <v>AB</v>
      </c>
      <c r="K2121" s="23">
        <v>45071</v>
      </c>
      <c r="L2121" s="22">
        <v>32.044387817382813</v>
      </c>
    </row>
    <row r="2122" spans="1:12" x14ac:dyDescent="0.25">
      <c r="A2122" s="9">
        <v>2115</v>
      </c>
      <c r="B2122" s="10">
        <v>45076</v>
      </c>
      <c r="C2122" s="3">
        <v>33.137788545808682</v>
      </c>
      <c r="D2122" s="3">
        <v>33.387163249198593</v>
      </c>
      <c r="E2122" s="3">
        <v>32.70618129669058</v>
      </c>
      <c r="F2122" s="3">
        <v>33.358386993408203</v>
      </c>
      <c r="G2122" s="3">
        <v>205200</v>
      </c>
      <c r="H2122" s="3">
        <v>0</v>
      </c>
      <c r="I2122" s="3">
        <v>0</v>
      </c>
      <c r="J2122" s="3" t="str">
        <v>AB</v>
      </c>
      <c r="K2122" s="23">
        <v>45072</v>
      </c>
      <c r="L2122" s="22">
        <v>32.936370849609375</v>
      </c>
    </row>
    <row r="2123" spans="1:12" x14ac:dyDescent="0.25">
      <c r="A2123" s="9">
        <v>2116</v>
      </c>
      <c r="B2123" s="10">
        <v>45077</v>
      </c>
      <c r="C2123" s="3">
        <v>33.252882091250314</v>
      </c>
      <c r="D2123" s="3">
        <v>33.406345696421688</v>
      </c>
      <c r="E2123" s="3">
        <v>32.639042305659721</v>
      </c>
      <c r="F2123" s="3">
        <v>33.348796844482422</v>
      </c>
      <c r="G2123" s="3">
        <v>198000</v>
      </c>
      <c r="H2123" s="3">
        <v>0</v>
      </c>
      <c r="I2123" s="3">
        <v>0</v>
      </c>
      <c r="J2123" s="3" t="str">
        <v>AB</v>
      </c>
      <c r="K2123" s="23">
        <v>45076</v>
      </c>
      <c r="L2123" s="22">
        <v>33.358386993408203</v>
      </c>
    </row>
    <row r="2124" spans="1:12" x14ac:dyDescent="0.25">
      <c r="A2124" s="9">
        <v>2117</v>
      </c>
      <c r="B2124" s="10">
        <v>45078</v>
      </c>
      <c r="C2124" s="3">
        <v>33.348799022815335</v>
      </c>
      <c r="D2124" s="3">
        <v>33.905089992803411</v>
      </c>
      <c r="E2124" s="3">
        <v>33.281660520554254</v>
      </c>
      <c r="F2124" s="3">
        <v>33.77081298828125</v>
      </c>
      <c r="G2124" s="3">
        <v>145100</v>
      </c>
      <c r="H2124" s="3">
        <v>0</v>
      </c>
      <c r="I2124" s="3">
        <v>0</v>
      </c>
      <c r="J2124" s="3" t="str">
        <v>AB</v>
      </c>
      <c r="K2124" s="23">
        <v>45077</v>
      </c>
      <c r="L2124" s="22">
        <v>33.348796844482422</v>
      </c>
    </row>
    <row r="2125" spans="1:12" x14ac:dyDescent="0.25">
      <c r="A2125" s="9">
        <v>2118</v>
      </c>
      <c r="B2125" s="10">
        <v>45079</v>
      </c>
      <c r="C2125" s="3">
        <v>34.048957824707031</v>
      </c>
      <c r="D2125" s="3">
        <v>34.375060665717143</v>
      </c>
      <c r="E2125" s="3">
        <v>33.78999348107191</v>
      </c>
      <c r="F2125" s="3">
        <v>34.048957824707031</v>
      </c>
      <c r="G2125" s="3">
        <v>195200</v>
      </c>
      <c r="H2125" s="3">
        <v>0</v>
      </c>
      <c r="I2125" s="3">
        <v>0</v>
      </c>
      <c r="J2125" s="3" t="str">
        <v>AB</v>
      </c>
      <c r="K2125" s="23">
        <v>45078</v>
      </c>
      <c r="L2125" s="22">
        <v>33.77081298828125</v>
      </c>
    </row>
    <row r="2126" spans="1:12" x14ac:dyDescent="0.25">
      <c r="A2126" s="9">
        <v>2119</v>
      </c>
      <c r="B2126" s="10">
        <v>45082</v>
      </c>
      <c r="C2126" s="3">
        <v>33.924273428905394</v>
      </c>
      <c r="D2126" s="3">
        <v>34.106509645164209</v>
      </c>
      <c r="E2126" s="3">
        <v>33.204929186891775</v>
      </c>
      <c r="F2126" s="3">
        <v>33.329616546630859</v>
      </c>
      <c r="G2126" s="3">
        <v>279400</v>
      </c>
      <c r="H2126" s="3">
        <v>0</v>
      </c>
      <c r="I2126" s="3">
        <v>0</v>
      </c>
      <c r="J2126" s="3" t="str">
        <v>AB</v>
      </c>
      <c r="K2126" s="23">
        <v>45079</v>
      </c>
      <c r="L2126" s="22">
        <v>34.048957824707031</v>
      </c>
    </row>
    <row r="2127" spans="1:12" x14ac:dyDescent="0.25">
      <c r="A2127" s="9">
        <v>2120</v>
      </c>
      <c r="B2127" s="10">
        <v>45083</v>
      </c>
      <c r="C2127" s="3">
        <v>33.33920784919281</v>
      </c>
      <c r="D2127" s="3">
        <v>33.89550251352442</v>
      </c>
      <c r="E2127" s="3">
        <v>33.281662648588984</v>
      </c>
      <c r="F2127" s="3">
        <v>33.550216674804688</v>
      </c>
      <c r="G2127" s="3">
        <v>194700</v>
      </c>
      <c r="H2127" s="3">
        <v>0</v>
      </c>
      <c r="I2127" s="3">
        <v>0</v>
      </c>
      <c r="J2127" s="3" t="str">
        <v>AB</v>
      </c>
      <c r="K2127" s="23">
        <v>45082</v>
      </c>
      <c r="L2127" s="22">
        <v>33.329616546630859</v>
      </c>
    </row>
    <row r="2128" spans="1:12" x14ac:dyDescent="0.25">
      <c r="A2128" s="9">
        <v>2121</v>
      </c>
      <c r="B2128" s="10">
        <v>45084</v>
      </c>
      <c r="C2128" s="3">
        <v>33.463892042393226</v>
      </c>
      <c r="D2128" s="3">
        <v>33.61735199407746</v>
      </c>
      <c r="E2128" s="3">
        <v>33.032284784914509</v>
      </c>
      <c r="F2128" s="3">
        <v>33.176155090332031</v>
      </c>
      <c r="G2128" s="3">
        <v>191200</v>
      </c>
      <c r="H2128" s="3">
        <v>0</v>
      </c>
      <c r="I2128" s="3">
        <v>0</v>
      </c>
      <c r="J2128" s="3" t="str">
        <v>AB</v>
      </c>
      <c r="K2128" s="23">
        <v>45083</v>
      </c>
      <c r="L2128" s="22">
        <v>33.550216674804688</v>
      </c>
    </row>
    <row r="2129" spans="1:12" x14ac:dyDescent="0.25">
      <c r="A2129" s="9">
        <v>2122</v>
      </c>
      <c r="B2129" s="10">
        <v>45085</v>
      </c>
      <c r="C2129" s="3">
        <v>33.204929519789189</v>
      </c>
      <c r="D2129" s="3">
        <v>33.358389479939653</v>
      </c>
      <c r="E2129" s="3">
        <v>32.677411135445354</v>
      </c>
      <c r="F2129" s="3">
        <v>33.272068023681641</v>
      </c>
      <c r="G2129" s="3">
        <v>161200</v>
      </c>
      <c r="H2129" s="3">
        <v>0</v>
      </c>
      <c r="I2129" s="3">
        <v>0</v>
      </c>
      <c r="J2129" s="3" t="str">
        <v>AB</v>
      </c>
      <c r="K2129" s="23">
        <v>45084</v>
      </c>
      <c r="L2129" s="22">
        <v>33.176155090332031</v>
      </c>
    </row>
    <row r="2130" spans="1:12" x14ac:dyDescent="0.25">
      <c r="A2130" s="9">
        <v>2123</v>
      </c>
      <c r="B2130" s="10">
        <v>45086</v>
      </c>
      <c r="C2130" s="3">
        <v>33.15697362831618</v>
      </c>
      <c r="D2130" s="3">
        <v>33.3392061857596</v>
      </c>
      <c r="E2130" s="3">
        <v>32.821281112295665</v>
      </c>
      <c r="F2130" s="3">
        <v>32.945964813232422</v>
      </c>
      <c r="G2130" s="3">
        <v>121400</v>
      </c>
      <c r="H2130" s="3">
        <v>0</v>
      </c>
      <c r="I2130" s="3">
        <v>0</v>
      </c>
      <c r="J2130" s="3" t="str">
        <v>AB</v>
      </c>
      <c r="K2130" s="23">
        <v>45085</v>
      </c>
      <c r="L2130" s="22">
        <v>33.272068023681641</v>
      </c>
    </row>
    <row r="2131" spans="1:12" x14ac:dyDescent="0.25">
      <c r="A2131" s="9">
        <v>2124</v>
      </c>
      <c r="B2131" s="10">
        <v>45089</v>
      </c>
      <c r="C2131" s="3">
        <v>32.878823585513068</v>
      </c>
      <c r="D2131" s="3">
        <v>32.917189486671639</v>
      </c>
      <c r="E2131" s="3">
        <v>32.284166752650023</v>
      </c>
      <c r="F2131" s="3">
        <v>32.322532653808594</v>
      </c>
      <c r="G2131" s="3">
        <v>256700</v>
      </c>
      <c r="H2131" s="3">
        <v>0</v>
      </c>
      <c r="I2131" s="3">
        <v>0</v>
      </c>
      <c r="J2131" s="3" t="str">
        <v>AB</v>
      </c>
      <c r="K2131" s="23">
        <v>45086</v>
      </c>
      <c r="L2131" s="22">
        <v>32.945964813232422</v>
      </c>
    </row>
    <row r="2132" spans="1:12" x14ac:dyDescent="0.25">
      <c r="A2132" s="9">
        <v>2125</v>
      </c>
      <c r="B2132" s="10">
        <v>45090</v>
      </c>
      <c r="C2132" s="3">
        <v>32.370489886246467</v>
      </c>
      <c r="D2132" s="3">
        <v>32.974740055246428</v>
      </c>
      <c r="E2132" s="3">
        <v>32.312941031512317</v>
      </c>
      <c r="F2132" s="3">
        <v>32.734958648681641</v>
      </c>
      <c r="G2132" s="3">
        <v>237600</v>
      </c>
      <c r="H2132" s="3">
        <v>0</v>
      </c>
      <c r="I2132" s="3">
        <v>0</v>
      </c>
      <c r="J2132" s="3" t="str">
        <v>AB</v>
      </c>
      <c r="K2132" s="23">
        <v>45089</v>
      </c>
      <c r="L2132" s="22">
        <v>32.322532653808594</v>
      </c>
    </row>
    <row r="2133" spans="1:12" x14ac:dyDescent="0.25">
      <c r="A2133" s="9">
        <v>2126</v>
      </c>
      <c r="B2133" s="10">
        <v>45091</v>
      </c>
      <c r="C2133" s="3">
        <v>32.754140595332458</v>
      </c>
      <c r="D2133" s="3">
        <v>33.089833090714244</v>
      </c>
      <c r="E2133" s="3">
        <v>32.389671844079523</v>
      </c>
      <c r="F2133" s="3">
        <v>32.591087341308594</v>
      </c>
      <c r="G2133" s="3">
        <v>160100</v>
      </c>
      <c r="H2133" s="3">
        <v>0</v>
      </c>
      <c r="I2133" s="3">
        <v>0</v>
      </c>
      <c r="J2133" s="3" t="str">
        <v>AB</v>
      </c>
      <c r="K2133" s="23">
        <v>45090</v>
      </c>
      <c r="L2133" s="22">
        <v>32.734958648681641</v>
      </c>
    </row>
    <row r="2134" spans="1:12" x14ac:dyDescent="0.25">
      <c r="A2134" s="9">
        <v>2127</v>
      </c>
      <c r="B2134" s="10">
        <v>45092</v>
      </c>
      <c r="C2134" s="3">
        <v>32.399263482128141</v>
      </c>
      <c r="D2134" s="3">
        <v>33.003513669739085</v>
      </c>
      <c r="E2134" s="3">
        <v>32.380080529959251</v>
      </c>
      <c r="F2134" s="3">
        <v>32.945964813232422</v>
      </c>
      <c r="G2134" s="3">
        <v>271200</v>
      </c>
      <c r="H2134" s="3">
        <v>0</v>
      </c>
      <c r="I2134" s="3">
        <v>0</v>
      </c>
      <c r="J2134" s="3" t="str">
        <v>AB</v>
      </c>
      <c r="K2134" s="23">
        <v>45091</v>
      </c>
      <c r="L2134" s="22">
        <v>32.591087341308594</v>
      </c>
    </row>
    <row r="2135" spans="1:12" x14ac:dyDescent="0.25">
      <c r="A2135" s="9">
        <v>2128</v>
      </c>
      <c r="B2135" s="10">
        <v>45093</v>
      </c>
      <c r="C2135" s="3">
        <v>32.802096945582136</v>
      </c>
      <c r="D2135" s="3">
        <v>32.821279897040746</v>
      </c>
      <c r="E2135" s="3">
        <v>31.958065375272579</v>
      </c>
      <c r="F2135" s="3">
        <v>32.092342376708984</v>
      </c>
      <c r="G2135" s="3">
        <v>309200</v>
      </c>
      <c r="H2135" s="3">
        <v>0</v>
      </c>
      <c r="I2135" s="3">
        <v>0</v>
      </c>
      <c r="J2135" s="3" t="str">
        <v>AB</v>
      </c>
      <c r="K2135" s="23">
        <v>45092</v>
      </c>
      <c r="L2135" s="22">
        <v>32.945964813232422</v>
      </c>
    </row>
    <row r="2136" spans="1:12" x14ac:dyDescent="0.25">
      <c r="A2136" s="9">
        <v>2129</v>
      </c>
      <c r="B2136" s="10">
        <v>45097</v>
      </c>
      <c r="C2136" s="3">
        <v>31.890928341232183</v>
      </c>
      <c r="D2136" s="3">
        <v>31.910111293573028</v>
      </c>
      <c r="E2136" s="3">
        <v>31.277088501421339</v>
      </c>
      <c r="F2136" s="3">
        <v>31.411365509033203</v>
      </c>
      <c r="G2136" s="3">
        <v>495500</v>
      </c>
      <c r="H2136" s="3">
        <v>0</v>
      </c>
      <c r="I2136" s="3">
        <v>0</v>
      </c>
      <c r="J2136" s="3" t="str">
        <v>AB</v>
      </c>
      <c r="K2136" s="23">
        <v>45093</v>
      </c>
      <c r="L2136" s="22">
        <v>32.092342376708984</v>
      </c>
    </row>
    <row r="2137" spans="1:12" x14ac:dyDescent="0.25">
      <c r="A2137" s="9">
        <v>2130</v>
      </c>
      <c r="B2137" s="10">
        <v>45098</v>
      </c>
      <c r="C2137" s="3">
        <v>31.315453730099936</v>
      </c>
      <c r="D2137" s="3">
        <v>31.420954477536078</v>
      </c>
      <c r="E2137" s="3">
        <v>30.826297602902866</v>
      </c>
      <c r="F2137" s="3">
        <v>31.142810821533203</v>
      </c>
      <c r="G2137" s="3">
        <v>397300</v>
      </c>
      <c r="H2137" s="3">
        <v>0</v>
      </c>
      <c r="I2137" s="3">
        <v>0</v>
      </c>
      <c r="J2137" s="3" t="str">
        <v>AB</v>
      </c>
      <c r="K2137" s="23">
        <v>45097</v>
      </c>
      <c r="L2137" s="22">
        <v>31.411365509033203</v>
      </c>
    </row>
    <row r="2138" spans="1:12" x14ac:dyDescent="0.25">
      <c r="A2138" s="9">
        <v>2131</v>
      </c>
      <c r="B2138" s="10">
        <v>45099</v>
      </c>
      <c r="C2138" s="3">
        <v>30.960574841319342</v>
      </c>
      <c r="D2138" s="3">
        <v>31.277088062338851</v>
      </c>
      <c r="E2138" s="3">
        <v>30.557743824138875</v>
      </c>
      <c r="F2138" s="3">
        <v>30.730386734008789</v>
      </c>
      <c r="G2138" s="3">
        <v>415100</v>
      </c>
      <c r="H2138" s="3">
        <v>0</v>
      </c>
      <c r="I2138" s="3">
        <v>0</v>
      </c>
      <c r="J2138" s="3" t="str">
        <v>AB</v>
      </c>
      <c r="K2138" s="23">
        <v>45098</v>
      </c>
      <c r="L2138" s="22">
        <v>31.142810821533203</v>
      </c>
    </row>
    <row r="2139" spans="1:12" x14ac:dyDescent="0.25">
      <c r="A2139" s="9">
        <v>2132</v>
      </c>
      <c r="B2139" s="10">
        <v>45100</v>
      </c>
      <c r="C2139" s="3">
        <v>30.682429178857269</v>
      </c>
      <c r="D2139" s="3">
        <v>30.93180206620427</v>
      </c>
      <c r="E2139" s="3">
        <v>30.260413382624886</v>
      </c>
      <c r="F2139" s="3">
        <v>30.47142219543457</v>
      </c>
      <c r="G2139" s="3">
        <v>378500</v>
      </c>
      <c r="H2139" s="3">
        <v>0</v>
      </c>
      <c r="I2139" s="3">
        <v>0</v>
      </c>
      <c r="J2139" s="3" t="str">
        <v>AB</v>
      </c>
      <c r="K2139" s="23">
        <v>45099</v>
      </c>
      <c r="L2139" s="22">
        <v>30.730386734008789</v>
      </c>
    </row>
    <row r="2140" spans="1:12" x14ac:dyDescent="0.25">
      <c r="A2140" s="9">
        <v>2133</v>
      </c>
      <c r="B2140" s="10">
        <v>45103</v>
      </c>
      <c r="C2140" s="3">
        <v>30.308369045971244</v>
      </c>
      <c r="D2140" s="3">
        <v>30.941389960387266</v>
      </c>
      <c r="E2140" s="3">
        <v>30.308369045971244</v>
      </c>
      <c r="F2140" s="3">
        <v>30.634471893310547</v>
      </c>
      <c r="G2140" s="3">
        <v>213900</v>
      </c>
      <c r="H2140" s="3">
        <v>0</v>
      </c>
      <c r="I2140" s="3">
        <v>0</v>
      </c>
      <c r="J2140" s="3" t="str">
        <v>AB</v>
      </c>
      <c r="K2140" s="23">
        <v>45100</v>
      </c>
      <c r="L2140" s="22">
        <v>30.47142219543457</v>
      </c>
    </row>
    <row r="2141" spans="1:12" x14ac:dyDescent="0.25">
      <c r="A2141" s="9">
        <v>2134</v>
      </c>
      <c r="B2141" s="10">
        <v>45104</v>
      </c>
      <c r="C2141" s="3">
        <v>30.711202269723398</v>
      </c>
      <c r="D2141" s="3">
        <v>30.855068915015025</v>
      </c>
      <c r="E2141" s="3">
        <v>30.375507942548865</v>
      </c>
      <c r="F2141" s="3">
        <v>30.481012344360352</v>
      </c>
      <c r="G2141" s="3">
        <v>222800</v>
      </c>
      <c r="H2141" s="3">
        <v>0</v>
      </c>
      <c r="I2141" s="3">
        <v>0</v>
      </c>
      <c r="J2141" s="3" t="str">
        <v>AB</v>
      </c>
      <c r="K2141" s="23">
        <v>45103</v>
      </c>
      <c r="L2141" s="22">
        <v>30.634471893310547</v>
      </c>
    </row>
    <row r="2142" spans="1:12" x14ac:dyDescent="0.25">
      <c r="A2142" s="9">
        <v>2135</v>
      </c>
      <c r="B2142" s="10">
        <v>45105</v>
      </c>
      <c r="C2142" s="3">
        <v>30.356324970001992</v>
      </c>
      <c r="D2142" s="3">
        <v>30.442646420625589</v>
      </c>
      <c r="E2142" s="3">
        <v>29.905536595157479</v>
      </c>
      <c r="F2142" s="3">
        <v>30.193273544311523</v>
      </c>
      <c r="G2142" s="3">
        <v>524900</v>
      </c>
      <c r="H2142" s="3">
        <v>0</v>
      </c>
      <c r="I2142" s="3">
        <v>0</v>
      </c>
      <c r="J2142" s="3" t="str">
        <v>AB</v>
      </c>
      <c r="K2142" s="23">
        <v>45104</v>
      </c>
      <c r="L2142" s="22">
        <v>30.481012344360352</v>
      </c>
    </row>
    <row r="2143" spans="1:12" x14ac:dyDescent="0.25">
      <c r="A2143" s="9">
        <v>2136</v>
      </c>
      <c r="B2143" s="10">
        <v>45106</v>
      </c>
      <c r="C2143" s="3">
        <v>30.212457076327077</v>
      </c>
      <c r="D2143" s="3">
        <v>30.596106959037972</v>
      </c>
      <c r="E2143" s="3">
        <v>29.915128645899504</v>
      </c>
      <c r="F2143" s="3">
        <v>30.202865600585938</v>
      </c>
      <c r="G2143" s="3">
        <v>311000</v>
      </c>
      <c r="H2143" s="3">
        <v>0</v>
      </c>
      <c r="I2143" s="3">
        <v>0</v>
      </c>
      <c r="J2143" s="3" t="str">
        <v>AB</v>
      </c>
      <c r="K2143" s="23">
        <v>45105</v>
      </c>
      <c r="L2143" s="22">
        <v>30.193273544311523</v>
      </c>
    </row>
    <row r="2144" spans="1:12" x14ac:dyDescent="0.25">
      <c r="A2144" s="9">
        <v>2137</v>
      </c>
      <c r="B2144" s="10">
        <v>45107</v>
      </c>
      <c r="C2144" s="3">
        <v>30.404283055650335</v>
      </c>
      <c r="D2144" s="3">
        <v>30.893435514723155</v>
      </c>
      <c r="E2144" s="3">
        <v>30.116544270410319</v>
      </c>
      <c r="F2144" s="3">
        <v>30.845479965209961</v>
      </c>
      <c r="G2144" s="3">
        <v>539300</v>
      </c>
      <c r="H2144" s="3">
        <v>0</v>
      </c>
      <c r="I2144" s="3">
        <v>0</v>
      </c>
      <c r="J2144" s="3" t="str">
        <v>AB</v>
      </c>
      <c r="K2144" s="23">
        <v>45106</v>
      </c>
      <c r="L2144" s="22">
        <v>30.202865600585938</v>
      </c>
    </row>
    <row r="2145" spans="1:12" x14ac:dyDescent="0.25">
      <c r="A2145" s="9">
        <v>2138</v>
      </c>
      <c r="B2145" s="10">
        <v>45110</v>
      </c>
      <c r="C2145" s="3">
        <v>30.720793289583284</v>
      </c>
      <c r="D2145" s="3">
        <v>31.401775279332924</v>
      </c>
      <c r="E2145" s="3">
        <v>30.672837739008404</v>
      </c>
      <c r="F2145" s="3">
        <v>31.30586051940918</v>
      </c>
      <c r="G2145" s="3">
        <v>160600</v>
      </c>
      <c r="H2145" s="3">
        <v>0</v>
      </c>
      <c r="I2145" s="3">
        <v>0</v>
      </c>
      <c r="J2145" s="3" t="str">
        <v>AB</v>
      </c>
      <c r="K2145" s="23">
        <v>45107</v>
      </c>
      <c r="L2145" s="22">
        <v>30.845479965209961</v>
      </c>
    </row>
    <row r="2146" spans="1:12" x14ac:dyDescent="0.25">
      <c r="A2146" s="9">
        <v>2139</v>
      </c>
      <c r="B2146" s="10">
        <v>45112</v>
      </c>
      <c r="C2146" s="3">
        <v>30.903029227429215</v>
      </c>
      <c r="D2146" s="3">
        <v>31.296270592661585</v>
      </c>
      <c r="E2146" s="3">
        <v>30.692020416259766</v>
      </c>
      <c r="F2146" s="3">
        <v>30.692020416259766</v>
      </c>
      <c r="G2146" s="3">
        <v>277500</v>
      </c>
      <c r="H2146" s="3">
        <v>0</v>
      </c>
      <c r="I2146" s="3">
        <v>0</v>
      </c>
      <c r="J2146" s="3" t="str">
        <v>AB</v>
      </c>
      <c r="K2146" s="23">
        <v>45110</v>
      </c>
      <c r="L2146" s="22">
        <v>31.30586051940918</v>
      </c>
    </row>
    <row r="2147" spans="1:12" x14ac:dyDescent="0.25">
      <c r="A2147" s="9">
        <v>2140</v>
      </c>
      <c r="B2147" s="10">
        <v>45113</v>
      </c>
      <c r="C2147" s="3">
        <v>30.365917783161361</v>
      </c>
      <c r="D2147" s="3">
        <v>30.644065098397835</v>
      </c>
      <c r="E2147" s="3">
        <v>29.963084938968979</v>
      </c>
      <c r="F2147" s="3">
        <v>30.279596328735352</v>
      </c>
      <c r="G2147" s="3">
        <v>232700</v>
      </c>
      <c r="H2147" s="3">
        <v>0</v>
      </c>
      <c r="I2147" s="3">
        <v>0</v>
      </c>
      <c r="J2147" s="3" t="str">
        <v>AB</v>
      </c>
      <c r="K2147" s="23">
        <v>45112</v>
      </c>
      <c r="L2147" s="22">
        <v>30.692020416259766</v>
      </c>
    </row>
    <row r="2148" spans="1:12" x14ac:dyDescent="0.25">
      <c r="A2148" s="9">
        <v>2141</v>
      </c>
      <c r="B2148" s="10">
        <v>45114</v>
      </c>
      <c r="C2148" s="3">
        <v>30.126136615259011</v>
      </c>
      <c r="D2148" s="3">
        <v>30.5961079657163</v>
      </c>
      <c r="E2148" s="3">
        <v>30.126136615259011</v>
      </c>
      <c r="F2148" s="3">
        <v>30.250823974609375</v>
      </c>
      <c r="G2148" s="3">
        <v>206300</v>
      </c>
      <c r="H2148" s="3">
        <v>0</v>
      </c>
      <c r="I2148" s="3">
        <v>0</v>
      </c>
      <c r="J2148" s="3" t="str">
        <v>AB</v>
      </c>
      <c r="K2148" s="23">
        <v>45113</v>
      </c>
      <c r="L2148" s="22">
        <v>30.279596328735352</v>
      </c>
    </row>
    <row r="2149" spans="1:12" x14ac:dyDescent="0.25">
      <c r="A2149" s="9">
        <v>2142</v>
      </c>
      <c r="B2149" s="10">
        <v>45117</v>
      </c>
      <c r="C2149" s="3">
        <v>30.078181398680918</v>
      </c>
      <c r="D2149" s="3">
        <v>30.5385612781986</v>
      </c>
      <c r="E2149" s="3">
        <v>30.011042894924636</v>
      </c>
      <c r="F2149" s="3">
        <v>30.385101318359375</v>
      </c>
      <c r="G2149" s="3">
        <v>682300</v>
      </c>
      <c r="H2149" s="3">
        <v>0</v>
      </c>
      <c r="I2149" s="3">
        <v>0</v>
      </c>
      <c r="J2149" s="3" t="str">
        <v>AB</v>
      </c>
      <c r="K2149" s="23">
        <v>45114</v>
      </c>
      <c r="L2149" s="22">
        <v>30.250823974609375</v>
      </c>
    </row>
    <row r="2150" spans="1:12" x14ac:dyDescent="0.25">
      <c r="A2150" s="9">
        <v>2143</v>
      </c>
      <c r="B2150" s="10">
        <v>45118</v>
      </c>
      <c r="C2150" s="3">
        <v>30.490603819923841</v>
      </c>
      <c r="D2150" s="3">
        <v>30.787930415457502</v>
      </c>
      <c r="E2150" s="3">
        <v>30.145318017185822</v>
      </c>
      <c r="F2150" s="3">
        <v>30.481012344360352</v>
      </c>
      <c r="G2150" s="3">
        <v>400000</v>
      </c>
      <c r="H2150" s="3">
        <v>0</v>
      </c>
      <c r="I2150" s="3">
        <v>0</v>
      </c>
      <c r="J2150" s="3" t="str">
        <v>AB</v>
      </c>
      <c r="K2150" s="23">
        <v>45117</v>
      </c>
      <c r="L2150" s="22">
        <v>30.385101318359375</v>
      </c>
    </row>
    <row r="2151" spans="1:12" x14ac:dyDescent="0.25">
      <c r="A2151" s="9">
        <v>2144</v>
      </c>
      <c r="B2151" s="10">
        <v>45119</v>
      </c>
      <c r="C2151" s="3">
        <v>30.682428473484915</v>
      </c>
      <c r="D2151" s="3">
        <v>31.545641168680056</v>
      </c>
      <c r="E2151" s="3">
        <v>30.653654046203197</v>
      </c>
      <c r="F2151" s="3">
        <v>31.133216857910156</v>
      </c>
      <c r="G2151" s="3">
        <v>295900</v>
      </c>
      <c r="H2151" s="3">
        <v>0</v>
      </c>
      <c r="I2151" s="3">
        <v>0</v>
      </c>
      <c r="J2151" s="3" t="str">
        <v>AB</v>
      </c>
      <c r="K2151" s="23">
        <v>45118</v>
      </c>
      <c r="L2151" s="22">
        <v>30.481012344360352</v>
      </c>
    </row>
    <row r="2152" spans="1:12" x14ac:dyDescent="0.25">
      <c r="A2152" s="9">
        <v>2145</v>
      </c>
      <c r="B2152" s="10">
        <v>45120</v>
      </c>
      <c r="C2152" s="3">
        <v>31.38259039867793</v>
      </c>
      <c r="D2152" s="3">
        <v>33.118605370707144</v>
      </c>
      <c r="E2152" s="3">
        <v>31.38259039867793</v>
      </c>
      <c r="F2152" s="3">
        <v>32.840461730957031</v>
      </c>
      <c r="G2152" s="3">
        <v>492500</v>
      </c>
      <c r="H2152" s="3">
        <v>0</v>
      </c>
      <c r="I2152" s="3">
        <v>0</v>
      </c>
      <c r="J2152" s="3" t="str">
        <v>AB</v>
      </c>
      <c r="K2152" s="23">
        <v>45119</v>
      </c>
      <c r="L2152" s="22">
        <v>31.133216857910156</v>
      </c>
    </row>
    <row r="2153" spans="1:12" x14ac:dyDescent="0.25">
      <c r="A2153" s="9">
        <v>2146</v>
      </c>
      <c r="B2153" s="10">
        <v>45121</v>
      </c>
      <c r="C2153" s="3">
        <v>33.281657370184838</v>
      </c>
      <c r="D2153" s="3">
        <v>33.281657370184838</v>
      </c>
      <c r="E2153" s="3">
        <v>31.910107538781073</v>
      </c>
      <c r="F2153" s="3">
        <v>32.245800018310547</v>
      </c>
      <c r="G2153" s="3">
        <v>384000</v>
      </c>
      <c r="H2153" s="3">
        <v>0</v>
      </c>
      <c r="I2153" s="3">
        <v>0</v>
      </c>
      <c r="J2153" s="3" t="str">
        <v>AB</v>
      </c>
      <c r="K2153" s="23">
        <v>45120</v>
      </c>
      <c r="L2153" s="22">
        <v>32.840461730957031</v>
      </c>
    </row>
    <row r="2154" spans="1:12" x14ac:dyDescent="0.25">
      <c r="A2154" s="9">
        <v>2147</v>
      </c>
      <c r="B2154" s="10">
        <v>45124</v>
      </c>
      <c r="C2154" s="3">
        <v>32.073159277414852</v>
      </c>
      <c r="D2154" s="3">
        <v>32.514359841381548</v>
      </c>
      <c r="E2154" s="3">
        <v>31.718283824000956</v>
      </c>
      <c r="F2154" s="3">
        <v>32.408855438232422</v>
      </c>
      <c r="G2154" s="3">
        <v>222700</v>
      </c>
      <c r="H2154" s="3">
        <v>0</v>
      </c>
      <c r="I2154" s="3">
        <v>0</v>
      </c>
      <c r="J2154" s="3" t="str">
        <v>AB</v>
      </c>
      <c r="K2154" s="23">
        <v>45121</v>
      </c>
      <c r="L2154" s="22">
        <v>32.245800018310547</v>
      </c>
    </row>
    <row r="2155" spans="1:12" x14ac:dyDescent="0.25">
      <c r="A2155" s="9">
        <v>2148</v>
      </c>
      <c r="B2155" s="10">
        <v>45125</v>
      </c>
      <c r="C2155" s="3">
        <v>32.408853487894596</v>
      </c>
      <c r="D2155" s="3">
        <v>32.926782167399679</v>
      </c>
      <c r="E2155" s="3">
        <v>32.408853487894596</v>
      </c>
      <c r="F2155" s="3">
        <v>32.696590423583984</v>
      </c>
      <c r="G2155" s="3">
        <v>177200</v>
      </c>
      <c r="H2155" s="3">
        <v>0</v>
      </c>
      <c r="I2155" s="3">
        <v>0</v>
      </c>
      <c r="J2155" s="3" t="str">
        <v>AB</v>
      </c>
      <c r="K2155" s="23">
        <v>45124</v>
      </c>
      <c r="L2155" s="22">
        <v>32.408855438232422</v>
      </c>
    </row>
    <row r="2156" spans="1:12" x14ac:dyDescent="0.25">
      <c r="A2156" s="9">
        <v>2149</v>
      </c>
      <c r="B2156" s="10">
        <v>45126</v>
      </c>
      <c r="C2156" s="3">
        <v>32.898007573309471</v>
      </c>
      <c r="D2156" s="3">
        <v>33.224110425891382</v>
      </c>
      <c r="E2156" s="3">
        <v>32.322533672882017</v>
      </c>
      <c r="F2156" s="3">
        <v>32.533538818359375</v>
      </c>
      <c r="G2156" s="3">
        <v>252700</v>
      </c>
      <c r="H2156" s="3">
        <v>0</v>
      </c>
      <c r="I2156" s="3">
        <v>0</v>
      </c>
      <c r="J2156" s="3" t="str">
        <v>AB</v>
      </c>
      <c r="K2156" s="23">
        <v>45125</v>
      </c>
      <c r="L2156" s="22">
        <v>32.696590423583984</v>
      </c>
    </row>
    <row r="2157" spans="1:12" x14ac:dyDescent="0.25">
      <c r="A2157" s="9">
        <v>2150</v>
      </c>
      <c r="B2157" s="10">
        <v>45127</v>
      </c>
      <c r="C2157" s="3">
        <v>32.610267786800875</v>
      </c>
      <c r="D2157" s="3">
        <v>32.72536182512124</v>
      </c>
      <c r="E2157" s="3">
        <v>32.341713811128862</v>
      </c>
      <c r="F2157" s="3">
        <v>32.485580444335938</v>
      </c>
      <c r="G2157" s="3">
        <v>117200</v>
      </c>
      <c r="H2157" s="3">
        <v>0</v>
      </c>
      <c r="I2157" s="3">
        <v>0</v>
      </c>
      <c r="J2157" s="3" t="str">
        <v>AB</v>
      </c>
      <c r="K2157" s="23">
        <v>45126</v>
      </c>
      <c r="L2157" s="22">
        <v>32.533538818359375</v>
      </c>
    </row>
    <row r="2158" spans="1:12" x14ac:dyDescent="0.25">
      <c r="A2158" s="9">
        <v>2151</v>
      </c>
      <c r="B2158" s="10">
        <v>45128</v>
      </c>
      <c r="C2158" s="3">
        <v>32.514360336620697</v>
      </c>
      <c r="D2158" s="3">
        <v>32.619861082602881</v>
      </c>
      <c r="E2158" s="3">
        <v>32.130708620921027</v>
      </c>
      <c r="F2158" s="3">
        <v>32.226619720458984</v>
      </c>
      <c r="G2158" s="3">
        <v>158100</v>
      </c>
      <c r="H2158" s="3">
        <v>0</v>
      </c>
      <c r="I2158" s="3">
        <v>0</v>
      </c>
      <c r="J2158" s="3" t="str">
        <v>AB</v>
      </c>
      <c r="K2158" s="23">
        <v>45127</v>
      </c>
      <c r="L2158" s="22">
        <v>32.485580444335938</v>
      </c>
    </row>
    <row r="2159" spans="1:12" x14ac:dyDescent="0.25">
      <c r="A2159" s="9">
        <v>2152</v>
      </c>
      <c r="B2159" s="10">
        <v>45131</v>
      </c>
      <c r="C2159" s="3">
        <v>32.22662023436839</v>
      </c>
      <c r="D2159" s="3">
        <v>32.811687463692031</v>
      </c>
      <c r="E2159" s="3">
        <v>32.22662023436839</v>
      </c>
      <c r="F2159" s="3">
        <v>32.619861602783203</v>
      </c>
      <c r="G2159" s="3">
        <v>170200</v>
      </c>
      <c r="H2159" s="3">
        <v>0</v>
      </c>
      <c r="I2159" s="3">
        <v>0</v>
      </c>
      <c r="J2159" s="3" t="str">
        <v>AB</v>
      </c>
      <c r="K2159" s="23">
        <v>45128</v>
      </c>
      <c r="L2159" s="22">
        <v>32.226619720458984</v>
      </c>
    </row>
    <row r="2160" spans="1:12" x14ac:dyDescent="0.25">
      <c r="A2160" s="9">
        <v>2153</v>
      </c>
      <c r="B2160" s="10">
        <v>45132</v>
      </c>
      <c r="C2160" s="3">
        <v>32.648637365907355</v>
      </c>
      <c r="D2160" s="3">
        <v>33.070651326499409</v>
      </c>
      <c r="E2160" s="3">
        <v>32.475994459580171</v>
      </c>
      <c r="F2160" s="3">
        <v>32.802097320556641</v>
      </c>
      <c r="G2160" s="3">
        <v>181400</v>
      </c>
      <c r="H2160" s="3">
        <v>0</v>
      </c>
      <c r="I2160" s="3">
        <v>0</v>
      </c>
      <c r="J2160" s="3" t="str">
        <v>AB</v>
      </c>
      <c r="K2160" s="23">
        <v>45131</v>
      </c>
      <c r="L2160" s="22">
        <v>32.619861602783203</v>
      </c>
    </row>
    <row r="2161" spans="1:12" x14ac:dyDescent="0.25">
      <c r="A2161" s="9">
        <v>2154</v>
      </c>
      <c r="B2161" s="10">
        <v>45133</v>
      </c>
      <c r="C2161" s="3">
        <v>32.802097968959572</v>
      </c>
      <c r="D2161" s="3">
        <v>33.013103124039603</v>
      </c>
      <c r="E2161" s="3">
        <v>32.418446245365708</v>
      </c>
      <c r="F2161" s="3">
        <v>32.42803955078125</v>
      </c>
      <c r="G2161" s="3">
        <v>276800</v>
      </c>
      <c r="H2161" s="3">
        <v>0</v>
      </c>
      <c r="I2161" s="3">
        <v>0</v>
      </c>
      <c r="J2161" s="3" t="str">
        <v>AB</v>
      </c>
      <c r="K2161" s="23">
        <v>45132</v>
      </c>
      <c r="L2161" s="22">
        <v>32.802097320556641</v>
      </c>
    </row>
    <row r="2162" spans="1:12" x14ac:dyDescent="0.25">
      <c r="A2162" s="9">
        <v>2155</v>
      </c>
      <c r="B2162" s="10">
        <v>45134</v>
      </c>
      <c r="C2162" s="3">
        <v>32.792502740086704</v>
      </c>
      <c r="D2162" s="3">
        <v>32.85005159288243</v>
      </c>
      <c r="E2162" s="3">
        <v>31.564823150634766</v>
      </c>
      <c r="F2162" s="3">
        <v>31.564823150634766</v>
      </c>
      <c r="G2162" s="3">
        <v>683200</v>
      </c>
      <c r="H2162" s="3">
        <v>0</v>
      </c>
      <c r="I2162" s="3">
        <v>0</v>
      </c>
      <c r="J2162" s="3" t="str">
        <v>AB</v>
      </c>
      <c r="K2162" s="23">
        <v>45133</v>
      </c>
      <c r="L2162" s="22">
        <v>32.42803955078125</v>
      </c>
    </row>
    <row r="2163" spans="1:12" x14ac:dyDescent="0.25">
      <c r="A2163" s="9">
        <v>2156</v>
      </c>
      <c r="B2163" s="10">
        <v>45135</v>
      </c>
      <c r="C2163" s="3">
        <v>31.727878221921561</v>
      </c>
      <c r="D2163" s="3">
        <v>31.795016724642849</v>
      </c>
      <c r="E2163" s="3">
        <v>30.931802177120588</v>
      </c>
      <c r="F2163" s="3">
        <v>31.209949493408203</v>
      </c>
      <c r="G2163" s="3">
        <v>480000</v>
      </c>
      <c r="H2163" s="3">
        <v>0</v>
      </c>
      <c r="I2163" s="3">
        <v>0</v>
      </c>
      <c r="J2163" s="3" t="str">
        <v>AB</v>
      </c>
      <c r="K2163" s="23">
        <v>45134</v>
      </c>
      <c r="L2163" s="22">
        <v>31.564823150634766</v>
      </c>
    </row>
    <row r="2164" spans="1:12" x14ac:dyDescent="0.25">
      <c r="A2164" s="9">
        <v>2157</v>
      </c>
      <c r="B2164" s="10">
        <v>45138</v>
      </c>
      <c r="C2164" s="3">
        <v>30.864662673018593</v>
      </c>
      <c r="D2164" s="3">
        <v>31.823788290803449</v>
      </c>
      <c r="E2164" s="3">
        <v>30.768751574749654</v>
      </c>
      <c r="F2164" s="3">
        <v>30.874252319335938</v>
      </c>
      <c r="G2164" s="3">
        <v>304200</v>
      </c>
      <c r="H2164" s="3">
        <v>0</v>
      </c>
      <c r="I2164" s="3">
        <v>0</v>
      </c>
      <c r="J2164" s="3" t="str">
        <v>AB</v>
      </c>
      <c r="K2164" s="23">
        <v>45135</v>
      </c>
      <c r="L2164" s="22">
        <v>31.209949493408203</v>
      </c>
    </row>
    <row r="2165" spans="1:12" x14ac:dyDescent="0.25">
      <c r="A2165" s="9">
        <v>2158</v>
      </c>
      <c r="B2165" s="10">
        <v>45139</v>
      </c>
      <c r="C2165" s="3">
        <v>31.075670961293358</v>
      </c>
      <c r="D2165" s="3">
        <v>31.756649260453894</v>
      </c>
      <c r="E2165" s="3">
        <v>31.027711754185137</v>
      </c>
      <c r="F2165" s="3">
        <v>31.727876663208008</v>
      </c>
      <c r="G2165" s="3">
        <v>254000</v>
      </c>
      <c r="H2165" s="3">
        <v>0</v>
      </c>
      <c r="I2165" s="3">
        <v>0</v>
      </c>
      <c r="J2165" s="3" t="str">
        <v>AB</v>
      </c>
      <c r="K2165" s="23">
        <v>45138</v>
      </c>
      <c r="L2165" s="22">
        <v>30.874252319335938</v>
      </c>
    </row>
    <row r="2166" spans="1:12" x14ac:dyDescent="0.25">
      <c r="A2166" s="9">
        <v>2159</v>
      </c>
      <c r="B2166" s="10">
        <v>45140</v>
      </c>
      <c r="C2166" s="3">
        <v>31.516868915387796</v>
      </c>
      <c r="D2166" s="3">
        <v>31.747057018610615</v>
      </c>
      <c r="E2166" s="3">
        <v>30.864663191633262</v>
      </c>
      <c r="F2166" s="3">
        <v>31.267494201660156</v>
      </c>
      <c r="G2166" s="3">
        <v>298900</v>
      </c>
      <c r="H2166" s="3">
        <v>0</v>
      </c>
      <c r="I2166" s="3">
        <v>0</v>
      </c>
      <c r="J2166" s="3" t="str">
        <v>AB</v>
      </c>
      <c r="K2166" s="23">
        <v>45139</v>
      </c>
      <c r="L2166" s="22">
        <v>31.727876663208008</v>
      </c>
    </row>
    <row r="2167" spans="1:12" x14ac:dyDescent="0.25">
      <c r="A2167" s="9">
        <v>2160</v>
      </c>
      <c r="B2167" s="10">
        <v>45141</v>
      </c>
      <c r="C2167" s="3">
        <v>31.02771195292738</v>
      </c>
      <c r="D2167" s="3">
        <v>31.277086659901734</v>
      </c>
      <c r="E2167" s="3">
        <v>30.883845307002634</v>
      </c>
      <c r="F2167" s="3">
        <v>31.123626708984375</v>
      </c>
      <c r="G2167" s="3">
        <v>196500</v>
      </c>
      <c r="H2167" s="3">
        <v>0</v>
      </c>
      <c r="I2167" s="3">
        <v>0</v>
      </c>
      <c r="J2167" s="3" t="str">
        <v>AB</v>
      </c>
      <c r="K2167" s="23">
        <v>45140</v>
      </c>
      <c r="L2167" s="22">
        <v>31.267494201660156</v>
      </c>
    </row>
    <row r="2168" spans="1:12" x14ac:dyDescent="0.25">
      <c r="A2168" s="9">
        <v>2161</v>
      </c>
      <c r="B2168" s="10">
        <v>45142</v>
      </c>
      <c r="C2168" s="3">
        <v>31.05520192844601</v>
      </c>
      <c r="D2168" s="3">
        <v>31.358228529230821</v>
      </c>
      <c r="E2168" s="3">
        <v>30.781501023863402</v>
      </c>
      <c r="F2168" s="3">
        <v>30.879251480102539</v>
      </c>
      <c r="G2168" s="3">
        <v>210900</v>
      </c>
      <c r="H2168" s="3">
        <v>0.61</v>
      </c>
      <c r="I2168" s="3">
        <v>0</v>
      </c>
      <c r="J2168" s="3" t="str">
        <v>AB</v>
      </c>
      <c r="K2168" s="23">
        <v>45141</v>
      </c>
      <c r="L2168" s="22">
        <v>31.123626708984375</v>
      </c>
    </row>
    <row r="2169" spans="1:12" x14ac:dyDescent="0.25">
      <c r="A2169" s="9">
        <v>2162</v>
      </c>
      <c r="B2169" s="10">
        <v>45145</v>
      </c>
      <c r="C2169" s="3">
        <v>30.937901368551767</v>
      </c>
      <c r="D2169" s="3">
        <v>31.035651825929865</v>
      </c>
      <c r="E2169" s="3">
        <v>30.165676670578087</v>
      </c>
      <c r="F2169" s="3">
        <v>30.34162712097168</v>
      </c>
      <c r="G2169" s="3">
        <v>353300</v>
      </c>
      <c r="H2169" s="3">
        <v>0</v>
      </c>
      <c r="I2169" s="3">
        <v>0</v>
      </c>
      <c r="J2169" s="3" t="str">
        <v>AB</v>
      </c>
      <c r="K2169" s="23">
        <v>45142</v>
      </c>
      <c r="L2169" s="22">
        <v>30.879251480102539</v>
      </c>
    </row>
    <row r="2170" spans="1:12" x14ac:dyDescent="0.25">
      <c r="A2170" s="9">
        <v>2163</v>
      </c>
      <c r="B2170" s="10">
        <v>45146</v>
      </c>
      <c r="C2170" s="3">
        <v>29.706249631426562</v>
      </c>
      <c r="D2170" s="3">
        <v>30.12657528669763</v>
      </c>
      <c r="E2170" s="3">
        <v>28.484373593747815</v>
      </c>
      <c r="F2170" s="3">
        <v>29.657375335693359</v>
      </c>
      <c r="G2170" s="3">
        <v>573900</v>
      </c>
      <c r="H2170" s="3">
        <v>0</v>
      </c>
      <c r="I2170" s="3">
        <v>0</v>
      </c>
      <c r="J2170" s="3" t="str">
        <v>AB</v>
      </c>
      <c r="K2170" s="23">
        <v>45145</v>
      </c>
      <c r="L2170" s="22">
        <v>30.34162712097168</v>
      </c>
    </row>
    <row r="2171" spans="1:12" x14ac:dyDescent="0.25">
      <c r="A2171" s="9">
        <v>2164</v>
      </c>
      <c r="B2171" s="10">
        <v>45147</v>
      </c>
      <c r="C2171" s="3">
        <v>29.442327214806525</v>
      </c>
      <c r="D2171" s="3">
        <v>29.706251034439635</v>
      </c>
      <c r="E2171" s="3">
        <v>28.552799702084322</v>
      </c>
      <c r="F2171" s="3">
        <v>28.738525390625</v>
      </c>
      <c r="G2171" s="3">
        <v>529000</v>
      </c>
      <c r="H2171" s="3">
        <v>0</v>
      </c>
      <c r="I2171" s="3">
        <v>0</v>
      </c>
      <c r="J2171" s="3" t="str">
        <v>AB</v>
      </c>
      <c r="K2171" s="23">
        <v>45146</v>
      </c>
      <c r="L2171" s="22">
        <v>29.657375335693359</v>
      </c>
    </row>
    <row r="2172" spans="1:12" x14ac:dyDescent="0.25">
      <c r="A2172" s="9">
        <v>2165</v>
      </c>
      <c r="B2172" s="10">
        <v>45148</v>
      </c>
      <c r="C2172" s="3">
        <v>29.178401458927805</v>
      </c>
      <c r="D2172" s="3">
        <v>29.432551909875098</v>
      </c>
      <c r="E2172" s="3">
        <v>28.738525319896926</v>
      </c>
      <c r="F2172" s="3">
        <v>28.748300552368164</v>
      </c>
      <c r="G2172" s="3">
        <v>394900</v>
      </c>
      <c r="H2172" s="3">
        <v>0</v>
      </c>
      <c r="I2172" s="3">
        <v>0</v>
      </c>
      <c r="J2172" s="3" t="str">
        <v>AB</v>
      </c>
      <c r="K2172" s="23">
        <v>45147</v>
      </c>
      <c r="L2172" s="22">
        <v>28.738525390625</v>
      </c>
    </row>
    <row r="2173" spans="1:12" x14ac:dyDescent="0.25">
      <c r="A2173" s="9">
        <v>2166</v>
      </c>
      <c r="B2173" s="10">
        <v>45149</v>
      </c>
      <c r="C2173" s="3">
        <v>28.562575100334819</v>
      </c>
      <c r="D2173" s="3">
        <v>29.696475974279828</v>
      </c>
      <c r="E2173" s="3">
        <v>28.543026499665743</v>
      </c>
      <c r="F2173" s="3">
        <v>29.45210075378418</v>
      </c>
      <c r="G2173" s="3">
        <v>262200</v>
      </c>
      <c r="H2173" s="3">
        <v>0</v>
      </c>
      <c r="I2173" s="3">
        <v>0</v>
      </c>
      <c r="J2173" s="3" t="str">
        <v>AB</v>
      </c>
      <c r="K2173" s="23">
        <v>45148</v>
      </c>
      <c r="L2173" s="22">
        <v>28.748300552368164</v>
      </c>
    </row>
    <row r="2174" spans="1:12" x14ac:dyDescent="0.25">
      <c r="A2174" s="9">
        <v>2167</v>
      </c>
      <c r="B2174" s="10">
        <v>45152</v>
      </c>
      <c r="C2174" s="3">
        <v>29.325025954588163</v>
      </c>
      <c r="D2174" s="3">
        <v>29.471650711474116</v>
      </c>
      <c r="E2174" s="3">
        <v>28.816725057244248</v>
      </c>
      <c r="F2174" s="3">
        <v>29.276151657104492</v>
      </c>
      <c r="G2174" s="3">
        <v>360200</v>
      </c>
      <c r="H2174" s="3">
        <v>0</v>
      </c>
      <c r="I2174" s="3">
        <v>0</v>
      </c>
      <c r="J2174" s="3" t="str">
        <v>AB</v>
      </c>
      <c r="K2174" s="23">
        <v>45149</v>
      </c>
      <c r="L2174" s="22">
        <v>29.45210075378418</v>
      </c>
    </row>
    <row r="2175" spans="1:12" x14ac:dyDescent="0.25">
      <c r="A2175" s="9">
        <v>2168</v>
      </c>
      <c r="B2175" s="10">
        <v>45153</v>
      </c>
      <c r="C2175" s="3">
        <v>29.276151357280519</v>
      </c>
      <c r="D2175" s="3">
        <v>29.276151357280519</v>
      </c>
      <c r="E2175" s="3">
        <v>28.396399096104673</v>
      </c>
      <c r="F2175" s="3">
        <v>28.572349548339844</v>
      </c>
      <c r="G2175" s="3">
        <v>342400</v>
      </c>
      <c r="H2175" s="3">
        <v>0</v>
      </c>
      <c r="I2175" s="3">
        <v>0</v>
      </c>
      <c r="J2175" s="3" t="str">
        <v>AB</v>
      </c>
      <c r="K2175" s="23">
        <v>45152</v>
      </c>
      <c r="L2175" s="22">
        <v>29.276151657104492</v>
      </c>
    </row>
    <row r="2176" spans="1:12" x14ac:dyDescent="0.25">
      <c r="A2176" s="9">
        <v>2169</v>
      </c>
      <c r="B2176" s="10">
        <v>45154</v>
      </c>
      <c r="C2176" s="3">
        <v>28.455049629976813</v>
      </c>
      <c r="D2176" s="3">
        <v>29.168624785203999</v>
      </c>
      <c r="E2176" s="3">
        <v>28.455049629976813</v>
      </c>
      <c r="F2176" s="3">
        <v>28.934024810791016</v>
      </c>
      <c r="G2176" s="3">
        <v>231100</v>
      </c>
      <c r="H2176" s="3">
        <v>0</v>
      </c>
      <c r="I2176" s="3">
        <v>0</v>
      </c>
      <c r="J2176" s="3" t="str">
        <v>AB</v>
      </c>
      <c r="K2176" s="23">
        <v>45153</v>
      </c>
      <c r="L2176" s="22">
        <v>28.572349548339844</v>
      </c>
    </row>
    <row r="2177" spans="1:12" x14ac:dyDescent="0.25">
      <c r="A2177" s="9">
        <v>2170</v>
      </c>
      <c r="B2177" s="10">
        <v>45155</v>
      </c>
      <c r="C2177" s="3">
        <v>29.217499055611206</v>
      </c>
      <c r="D2177" s="3">
        <v>29.872424682781254</v>
      </c>
      <c r="E2177" s="3">
        <v>29.090424768743077</v>
      </c>
      <c r="F2177" s="3">
        <v>29.432550430297852</v>
      </c>
      <c r="G2177" s="3">
        <v>394000</v>
      </c>
      <c r="H2177" s="3">
        <v>0</v>
      </c>
      <c r="I2177" s="3">
        <v>0</v>
      </c>
      <c r="J2177" s="3" t="str">
        <v>AB</v>
      </c>
      <c r="K2177" s="23">
        <v>45154</v>
      </c>
      <c r="L2177" s="22">
        <v>28.934024810791016</v>
      </c>
    </row>
    <row r="2178" spans="1:12" x14ac:dyDescent="0.25">
      <c r="A2178" s="9">
        <v>2171</v>
      </c>
      <c r="B2178" s="10">
        <v>45156</v>
      </c>
      <c r="C2178" s="3">
        <v>29.13930019461452</v>
      </c>
      <c r="D2178" s="3">
        <v>30.341627672688301</v>
      </c>
      <c r="E2178" s="3">
        <v>29.08065066489517</v>
      </c>
      <c r="F2178" s="3">
        <v>30.019050598144531</v>
      </c>
      <c r="G2178" s="3">
        <v>347900</v>
      </c>
      <c r="H2178" s="3">
        <v>0</v>
      </c>
      <c r="I2178" s="3">
        <v>0</v>
      </c>
      <c r="J2178" s="3" t="str">
        <v>AB</v>
      </c>
      <c r="K2178" s="23">
        <v>45155</v>
      </c>
      <c r="L2178" s="22">
        <v>29.432550430297852</v>
      </c>
    </row>
    <row r="2179" spans="1:12" x14ac:dyDescent="0.25">
      <c r="A2179" s="9">
        <v>2172</v>
      </c>
      <c r="B2179" s="10">
        <v>45159</v>
      </c>
      <c r="C2179" s="3">
        <v>29.852877329434904</v>
      </c>
      <c r="D2179" s="3">
        <v>30.576227746224472</v>
      </c>
      <c r="E2179" s="3">
        <v>29.442326891318128</v>
      </c>
      <c r="F2179" s="3">
        <v>29.520526885986328</v>
      </c>
      <c r="G2179" s="3">
        <v>367500</v>
      </c>
      <c r="H2179" s="3">
        <v>0</v>
      </c>
      <c r="I2179" s="3">
        <v>0</v>
      </c>
      <c r="J2179" s="3" t="str">
        <v>AB</v>
      </c>
      <c r="K2179" s="23">
        <v>45156</v>
      </c>
      <c r="L2179" s="22">
        <v>30.019050598144531</v>
      </c>
    </row>
    <row r="2180" spans="1:12" x14ac:dyDescent="0.25">
      <c r="A2180" s="9">
        <v>2173</v>
      </c>
      <c r="B2180" s="10">
        <v>45160</v>
      </c>
      <c r="C2180" s="3">
        <v>29.823550557843827</v>
      </c>
      <c r="D2180" s="3">
        <v>29.823550557843827</v>
      </c>
      <c r="E2180" s="3">
        <v>28.748299271567053</v>
      </c>
      <c r="F2180" s="3">
        <v>28.914474487304688</v>
      </c>
      <c r="G2180" s="3">
        <v>375800</v>
      </c>
      <c r="H2180" s="3">
        <v>0</v>
      </c>
      <c r="I2180" s="3">
        <v>0</v>
      </c>
      <c r="J2180" s="3" t="str">
        <v>AB</v>
      </c>
      <c r="K2180" s="23">
        <v>45159</v>
      </c>
      <c r="L2180" s="22">
        <v>29.520526885986328</v>
      </c>
    </row>
    <row r="2181" spans="1:12" x14ac:dyDescent="0.25">
      <c r="A2181" s="9">
        <v>2174</v>
      </c>
      <c r="B2181" s="10">
        <v>45161</v>
      </c>
      <c r="C2181" s="3">
        <v>28.885148853434433</v>
      </c>
      <c r="D2181" s="3">
        <v>29.891975382065326</v>
      </c>
      <c r="E2181" s="3">
        <v>28.885148853434433</v>
      </c>
      <c r="F2181" s="3">
        <v>29.647600173950195</v>
      </c>
      <c r="G2181" s="3">
        <v>234800</v>
      </c>
      <c r="H2181" s="3">
        <v>0</v>
      </c>
      <c r="I2181" s="3">
        <v>0</v>
      </c>
      <c r="J2181" s="3" t="str">
        <v>AB</v>
      </c>
      <c r="K2181" s="23">
        <v>45160</v>
      </c>
      <c r="L2181" s="22">
        <v>28.914474487304688</v>
      </c>
    </row>
    <row r="2182" spans="1:12" x14ac:dyDescent="0.25">
      <c r="A2182" s="9">
        <v>2175</v>
      </c>
      <c r="B2182" s="10">
        <v>45162</v>
      </c>
      <c r="C2182" s="3">
        <v>29.608501416084444</v>
      </c>
      <c r="D2182" s="3">
        <v>30.370950880043253</v>
      </c>
      <c r="E2182" s="3">
        <v>29.334800508970957</v>
      </c>
      <c r="F2182" s="3">
        <v>29.364126205444336</v>
      </c>
      <c r="G2182" s="3">
        <v>244200</v>
      </c>
      <c r="H2182" s="3">
        <v>0</v>
      </c>
      <c r="I2182" s="3">
        <v>0</v>
      </c>
      <c r="J2182" s="3" t="str">
        <v>AB</v>
      </c>
      <c r="K2182" s="23">
        <v>45161</v>
      </c>
      <c r="L2182" s="22">
        <v>29.647600173950195</v>
      </c>
    </row>
    <row r="2183" spans="1:12" x14ac:dyDescent="0.25">
      <c r="A2183" s="9">
        <v>2176</v>
      </c>
      <c r="B2183" s="10">
        <v>45163</v>
      </c>
      <c r="C2183" s="3">
        <v>29.383676111217277</v>
      </c>
      <c r="D2183" s="3">
        <v>30.146127473496438</v>
      </c>
      <c r="E2183" s="3">
        <v>29.383676111217277</v>
      </c>
      <c r="F2183" s="3">
        <v>29.686702728271484</v>
      </c>
      <c r="G2183" s="3">
        <v>195800</v>
      </c>
      <c r="H2183" s="3">
        <v>0</v>
      </c>
      <c r="I2183" s="3">
        <v>0</v>
      </c>
      <c r="J2183" s="3" t="str">
        <v>AB</v>
      </c>
      <c r="K2183" s="23">
        <v>45162</v>
      </c>
      <c r="L2183" s="22">
        <v>29.364126205444336</v>
      </c>
    </row>
    <row r="2184" spans="1:12" x14ac:dyDescent="0.25">
      <c r="A2184" s="9">
        <v>2177</v>
      </c>
      <c r="B2184" s="10">
        <v>45166</v>
      </c>
      <c r="C2184" s="3">
        <v>29.716025381420828</v>
      </c>
      <c r="D2184" s="3">
        <v>30.713076693010006</v>
      </c>
      <c r="E2184" s="3">
        <v>29.716025381420828</v>
      </c>
      <c r="F2184" s="3">
        <v>30.331851959228516</v>
      </c>
      <c r="G2184" s="3">
        <v>277200</v>
      </c>
      <c r="H2184" s="3">
        <v>0</v>
      </c>
      <c r="I2184" s="3">
        <v>0</v>
      </c>
      <c r="J2184" s="3" t="str">
        <v>AB</v>
      </c>
      <c r="K2184" s="23">
        <v>45163</v>
      </c>
      <c r="L2184" s="22">
        <v>29.686702728271484</v>
      </c>
    </row>
    <row r="2185" spans="1:12" x14ac:dyDescent="0.25">
      <c r="A2185" s="9">
        <v>2178</v>
      </c>
      <c r="B2185" s="10">
        <v>45167</v>
      </c>
      <c r="C2185" s="3">
        <v>30.556676488585076</v>
      </c>
      <c r="D2185" s="3">
        <v>31.231152590369277</v>
      </c>
      <c r="E2185" s="3">
        <v>30.50780032791382</v>
      </c>
      <c r="F2185" s="3">
        <v>30.849925994873047</v>
      </c>
      <c r="G2185" s="3">
        <v>269200</v>
      </c>
      <c r="H2185" s="3">
        <v>0</v>
      </c>
      <c r="I2185" s="3">
        <v>0</v>
      </c>
      <c r="J2185" s="3" t="str">
        <v>AB</v>
      </c>
      <c r="K2185" s="23">
        <v>45166</v>
      </c>
      <c r="L2185" s="22">
        <v>30.331851959228516</v>
      </c>
    </row>
    <row r="2186" spans="1:12" x14ac:dyDescent="0.25">
      <c r="A2186" s="9">
        <v>2179</v>
      </c>
      <c r="B2186" s="10">
        <v>45168</v>
      </c>
      <c r="C2186" s="3">
        <v>30.576228080041417</v>
      </c>
      <c r="D2186" s="3">
        <v>31.182277579227783</v>
      </c>
      <c r="E2186" s="3">
        <v>30.429601457057174</v>
      </c>
      <c r="F2186" s="3">
        <v>30.458927154541016</v>
      </c>
      <c r="G2186" s="3">
        <v>242500</v>
      </c>
      <c r="H2186" s="3">
        <v>0</v>
      </c>
      <c r="I2186" s="3">
        <v>0</v>
      </c>
      <c r="J2186" s="3" t="str">
        <v>AB</v>
      </c>
      <c r="K2186" s="23">
        <v>45167</v>
      </c>
      <c r="L2186" s="22">
        <v>30.849925994873047</v>
      </c>
    </row>
    <row r="2187" spans="1:12" x14ac:dyDescent="0.25">
      <c r="A2187" s="9">
        <v>2180</v>
      </c>
      <c r="B2187" s="10">
        <v>45169</v>
      </c>
      <c r="C2187" s="3">
        <v>30.556677133339569</v>
      </c>
      <c r="D2187" s="3">
        <v>30.752176186845006</v>
      </c>
      <c r="E2187" s="3">
        <v>30.214551459161395</v>
      </c>
      <c r="F2187" s="3">
        <v>30.273200988769531</v>
      </c>
      <c r="G2187" s="3">
        <v>252300</v>
      </c>
      <c r="H2187" s="3">
        <v>0</v>
      </c>
      <c r="I2187" s="3">
        <v>0</v>
      </c>
      <c r="J2187" s="3" t="str">
        <v>AB</v>
      </c>
      <c r="K2187" s="23">
        <v>45168</v>
      </c>
      <c r="L2187" s="22">
        <v>30.458927154541016</v>
      </c>
    </row>
    <row r="2188" spans="1:12" x14ac:dyDescent="0.25">
      <c r="A2188" s="9">
        <v>2181</v>
      </c>
      <c r="B2188" s="10">
        <v>45170</v>
      </c>
      <c r="C2188" s="3">
        <v>30.370951531632887</v>
      </c>
      <c r="D2188" s="3">
        <v>30.977002887374162</v>
      </c>
      <c r="E2188" s="3">
        <v>30.370951531632887</v>
      </c>
      <c r="F2188" s="3">
        <v>30.507801055908203</v>
      </c>
      <c r="G2188" s="3">
        <v>428800</v>
      </c>
      <c r="H2188" s="3">
        <v>0</v>
      </c>
      <c r="I2188" s="3">
        <v>0</v>
      </c>
      <c r="J2188" s="3" t="str">
        <v>AB</v>
      </c>
      <c r="K2188" s="23">
        <v>45169</v>
      </c>
      <c r="L2188" s="22">
        <v>30.273200988769531</v>
      </c>
    </row>
    <row r="2189" spans="1:12" x14ac:dyDescent="0.25">
      <c r="A2189" s="9">
        <v>2182</v>
      </c>
      <c r="B2189" s="10">
        <v>45174</v>
      </c>
      <c r="C2189" s="3">
        <v>31.348452165949361</v>
      </c>
      <c r="D2189" s="3">
        <v>31.954501652824348</v>
      </c>
      <c r="E2189" s="3">
        <v>30.429600838905916</v>
      </c>
      <c r="F2189" s="3">
        <v>31.524402618408203</v>
      </c>
      <c r="G2189" s="3">
        <v>672300</v>
      </c>
      <c r="H2189" s="3">
        <v>0</v>
      </c>
      <c r="I2189" s="3">
        <v>0</v>
      </c>
      <c r="J2189" s="3" t="str">
        <v>AB</v>
      </c>
      <c r="K2189" s="23">
        <v>45170</v>
      </c>
      <c r="L2189" s="22">
        <v>30.507801055908203</v>
      </c>
    </row>
    <row r="2190" spans="1:12" x14ac:dyDescent="0.25">
      <c r="A2190" s="9">
        <v>2183</v>
      </c>
      <c r="B2190" s="10">
        <v>45175</v>
      </c>
      <c r="C2190" s="3">
        <v>31.671029238413855</v>
      </c>
      <c r="D2190" s="3">
        <v>31.925177820371157</v>
      </c>
      <c r="E2190" s="3">
        <v>31.240926475127864</v>
      </c>
      <c r="F2190" s="3">
        <v>31.524402618408203</v>
      </c>
      <c r="G2190" s="3">
        <v>462500</v>
      </c>
      <c r="H2190" s="3">
        <v>0</v>
      </c>
      <c r="I2190" s="3">
        <v>0</v>
      </c>
      <c r="J2190" s="3" t="str">
        <v>AB</v>
      </c>
      <c r="K2190" s="23">
        <v>45174</v>
      </c>
      <c r="L2190" s="22">
        <v>31.524402618408203</v>
      </c>
    </row>
    <row r="2191" spans="1:12" x14ac:dyDescent="0.25">
      <c r="A2191" s="9">
        <v>2184</v>
      </c>
      <c r="B2191" s="10">
        <v>45176</v>
      </c>
      <c r="C2191" s="3">
        <v>31.49507801843648</v>
      </c>
      <c r="D2191" s="3">
        <v>31.96427797060262</v>
      </c>
      <c r="E2191" s="3">
        <v>31.446199993712497</v>
      </c>
      <c r="F2191" s="3">
        <v>31.866525650024414</v>
      </c>
      <c r="G2191" s="3">
        <v>379400</v>
      </c>
      <c r="H2191" s="3">
        <v>0</v>
      </c>
      <c r="I2191" s="3">
        <v>0</v>
      </c>
      <c r="J2191" s="3" t="str">
        <v>AB</v>
      </c>
      <c r="K2191" s="23">
        <v>45175</v>
      </c>
      <c r="L2191" s="22">
        <v>31.524402618408203</v>
      </c>
    </row>
    <row r="2192" spans="1:12" x14ac:dyDescent="0.25">
      <c r="A2192" s="9">
        <v>2185</v>
      </c>
      <c r="B2192" s="10">
        <v>45177</v>
      </c>
      <c r="C2192" s="3">
        <v>31.94472848620843</v>
      </c>
      <c r="D2192" s="3">
        <v>31.94472848620843</v>
      </c>
      <c r="E2192" s="3">
        <v>31.133402844875302</v>
      </c>
      <c r="F2192" s="3">
        <v>31.250701904296875</v>
      </c>
      <c r="G2192" s="3">
        <v>351600</v>
      </c>
      <c r="H2192" s="3">
        <v>0</v>
      </c>
      <c r="I2192" s="3">
        <v>0</v>
      </c>
      <c r="J2192" s="3" t="str">
        <v>AB</v>
      </c>
      <c r="K2192" s="23">
        <v>45176</v>
      </c>
      <c r="L2192" s="22">
        <v>31.866525650024414</v>
      </c>
    </row>
    <row r="2193" spans="1:12" x14ac:dyDescent="0.25">
      <c r="A2193" s="9">
        <v>2186</v>
      </c>
      <c r="B2193" s="10">
        <v>45180</v>
      </c>
      <c r="C2193" s="3">
        <v>31.348452151131369</v>
      </c>
      <c r="D2193" s="3">
        <v>31.876303508258388</v>
      </c>
      <c r="E2193" s="3">
        <v>31.27025215723495</v>
      </c>
      <c r="F2193" s="3">
        <v>31.280027389526367</v>
      </c>
      <c r="G2193" s="3">
        <v>207300</v>
      </c>
      <c r="H2193" s="3">
        <v>0</v>
      </c>
      <c r="I2193" s="3">
        <v>0</v>
      </c>
      <c r="J2193" s="3" t="str">
        <v>AB</v>
      </c>
      <c r="K2193" s="23">
        <v>45177</v>
      </c>
      <c r="L2193" s="22">
        <v>31.250701904296875</v>
      </c>
    </row>
    <row r="2194" spans="1:12" x14ac:dyDescent="0.25">
      <c r="A2194" s="9">
        <v>2187</v>
      </c>
      <c r="B2194" s="10">
        <v>45181</v>
      </c>
      <c r="C2194" s="3">
        <v>30.996551399860817</v>
      </c>
      <c r="D2194" s="3">
        <v>31.759004606887334</v>
      </c>
      <c r="E2194" s="3">
        <v>30.996551399860817</v>
      </c>
      <c r="F2194" s="3">
        <v>31.504852294921875</v>
      </c>
      <c r="G2194" s="3">
        <v>263100</v>
      </c>
      <c r="H2194" s="3">
        <v>0</v>
      </c>
      <c r="I2194" s="3">
        <v>0</v>
      </c>
      <c r="J2194" s="3" t="str">
        <v>AB</v>
      </c>
      <c r="K2194" s="23">
        <v>45180</v>
      </c>
      <c r="L2194" s="22">
        <v>31.280027389526367</v>
      </c>
    </row>
    <row r="2195" spans="1:12" x14ac:dyDescent="0.25">
      <c r="A2195" s="9">
        <v>2188</v>
      </c>
      <c r="B2195" s="10">
        <v>45182</v>
      </c>
      <c r="C2195" s="3">
        <v>31.504853038182418</v>
      </c>
      <c r="D2195" s="3">
        <v>31.719904425862076</v>
      </c>
      <c r="E2195" s="3">
        <v>31.162727355957031</v>
      </c>
      <c r="F2195" s="3">
        <v>31.162727355957031</v>
      </c>
      <c r="G2195" s="3">
        <v>230500</v>
      </c>
      <c r="H2195" s="3">
        <v>0</v>
      </c>
      <c r="I2195" s="3">
        <v>0</v>
      </c>
      <c r="J2195" s="3" t="str">
        <v>AB</v>
      </c>
      <c r="K2195" s="23">
        <v>45181</v>
      </c>
      <c r="L2195" s="22">
        <v>31.504852294921875</v>
      </c>
    </row>
    <row r="2196" spans="1:12" x14ac:dyDescent="0.25">
      <c r="A2196" s="9">
        <v>2189</v>
      </c>
      <c r="B2196" s="10">
        <v>45183</v>
      </c>
      <c r="C2196" s="3">
        <v>31.270251892426465</v>
      </c>
      <c r="D2196" s="3">
        <v>31.661251858597421</v>
      </c>
      <c r="E2196" s="3">
        <v>31.201827131400908</v>
      </c>
      <c r="F2196" s="3">
        <v>31.563503265380859</v>
      </c>
      <c r="G2196" s="3">
        <v>321200</v>
      </c>
      <c r="H2196" s="3">
        <v>0</v>
      </c>
      <c r="I2196" s="3">
        <v>0</v>
      </c>
      <c r="J2196" s="3" t="str">
        <v>AB</v>
      </c>
      <c r="K2196" s="23">
        <v>45182</v>
      </c>
      <c r="L2196" s="22">
        <v>31.162727355957031</v>
      </c>
    </row>
    <row r="2197" spans="1:12" x14ac:dyDescent="0.25">
      <c r="A2197" s="9">
        <v>2190</v>
      </c>
      <c r="B2197" s="10">
        <v>45184</v>
      </c>
      <c r="C2197" s="3">
        <v>31.602603063762562</v>
      </c>
      <c r="D2197" s="3">
        <v>32.208652523539904</v>
      </c>
      <c r="E2197" s="3">
        <v>31.240925078285244</v>
      </c>
      <c r="F2197" s="3">
        <v>32.198875427246094</v>
      </c>
      <c r="G2197" s="3">
        <v>513200</v>
      </c>
      <c r="H2197" s="3">
        <v>0</v>
      </c>
      <c r="I2197" s="3">
        <v>0</v>
      </c>
      <c r="J2197" s="3" t="str">
        <v>AB</v>
      </c>
      <c r="K2197" s="23">
        <v>45183</v>
      </c>
      <c r="L2197" s="22">
        <v>31.563503265380859</v>
      </c>
    </row>
    <row r="2198" spans="1:12" x14ac:dyDescent="0.25">
      <c r="A2198" s="9">
        <v>2191</v>
      </c>
      <c r="B2198" s="10">
        <v>45187</v>
      </c>
      <c r="C2198" s="3">
        <v>32.003379249788466</v>
      </c>
      <c r="D2198" s="3">
        <v>32.286851660399492</v>
      </c>
      <c r="E2198" s="3">
        <v>31.182276527841047</v>
      </c>
      <c r="F2198" s="3">
        <v>31.583053588867188</v>
      </c>
      <c r="G2198" s="3">
        <v>360200</v>
      </c>
      <c r="H2198" s="3">
        <v>0</v>
      </c>
      <c r="I2198" s="3">
        <v>0</v>
      </c>
      <c r="J2198" s="3" t="str">
        <v>AB</v>
      </c>
      <c r="K2198" s="23">
        <v>45184</v>
      </c>
      <c r="L2198" s="22">
        <v>32.198875427246094</v>
      </c>
    </row>
    <row r="2199" spans="1:12" x14ac:dyDescent="0.25">
      <c r="A2199" s="9">
        <v>2192</v>
      </c>
      <c r="B2199" s="10">
        <v>45188</v>
      </c>
      <c r="C2199" s="3">
        <v>31.739454569737749</v>
      </c>
      <c r="D2199" s="3">
        <v>32.052254551085682</v>
      </c>
      <c r="E2199" s="3">
        <v>31.446201324462891</v>
      </c>
      <c r="F2199" s="3">
        <v>31.446201324462891</v>
      </c>
      <c r="G2199" s="3">
        <v>223300</v>
      </c>
      <c r="H2199" s="3">
        <v>0</v>
      </c>
      <c r="I2199" s="3">
        <v>0</v>
      </c>
      <c r="J2199" s="3" t="str">
        <v>AB</v>
      </c>
      <c r="K2199" s="23">
        <v>45187</v>
      </c>
      <c r="L2199" s="22">
        <v>31.583053588867188</v>
      </c>
    </row>
    <row r="2200" spans="1:12" x14ac:dyDescent="0.25">
      <c r="A2200" s="9">
        <v>2193</v>
      </c>
      <c r="B2200" s="10">
        <v>45189</v>
      </c>
      <c r="C2200" s="3">
        <v>31.543953068089877</v>
      </c>
      <c r="D2200" s="3">
        <v>31.778551185344213</v>
      </c>
      <c r="E2200" s="3">
        <v>31.280027389526367</v>
      </c>
      <c r="F2200" s="3">
        <v>31.280027389526367</v>
      </c>
      <c r="G2200" s="3">
        <v>202200</v>
      </c>
      <c r="H2200" s="3">
        <v>0</v>
      </c>
      <c r="I2200" s="3">
        <v>0</v>
      </c>
      <c r="J2200" s="3" t="str">
        <v>AB</v>
      </c>
      <c r="K2200" s="23">
        <v>45188</v>
      </c>
      <c r="L2200" s="22">
        <v>31.446201324462891</v>
      </c>
    </row>
    <row r="2201" spans="1:12" x14ac:dyDescent="0.25">
      <c r="A2201" s="9">
        <v>2194</v>
      </c>
      <c r="B2201" s="10">
        <v>45190</v>
      </c>
      <c r="C2201" s="3">
        <v>31.133401800441014</v>
      </c>
      <c r="D2201" s="3">
        <v>31.661251279000162</v>
      </c>
      <c r="E2201" s="3">
        <v>30.849925664884626</v>
      </c>
      <c r="F2201" s="3">
        <v>31.143177032470703</v>
      </c>
      <c r="G2201" s="3">
        <v>224300</v>
      </c>
      <c r="H2201" s="3">
        <v>0</v>
      </c>
      <c r="I2201" s="3">
        <v>0</v>
      </c>
      <c r="J2201" s="3" t="str">
        <v>AB</v>
      </c>
      <c r="K2201" s="23">
        <v>45189</v>
      </c>
      <c r="L2201" s="22">
        <v>31.280027389526367</v>
      </c>
    </row>
    <row r="2202" spans="1:12" x14ac:dyDescent="0.25">
      <c r="A2202" s="9">
        <v>2195</v>
      </c>
      <c r="B2202" s="10">
        <v>45191</v>
      </c>
      <c r="C2202" s="3">
        <v>31.221377267247515</v>
      </c>
      <c r="D2202" s="3">
        <v>31.475527708692709</v>
      </c>
      <c r="E2202" s="3">
        <v>30.566451631640444</v>
      </c>
      <c r="F2202" s="3">
        <v>30.615325927734375</v>
      </c>
      <c r="G2202" s="3">
        <v>203200</v>
      </c>
      <c r="H2202" s="3">
        <v>0</v>
      </c>
      <c r="I2202" s="3">
        <v>0</v>
      </c>
      <c r="J2202" s="3" t="str">
        <v>AB</v>
      </c>
      <c r="K2202" s="23">
        <v>45190</v>
      </c>
      <c r="L2202" s="22">
        <v>31.143177032470703</v>
      </c>
    </row>
    <row r="2203" spans="1:12" x14ac:dyDescent="0.25">
      <c r="A2203" s="9">
        <v>2196</v>
      </c>
      <c r="B2203" s="10">
        <v>45194</v>
      </c>
      <c r="C2203" s="3">
        <v>30.400276065927279</v>
      </c>
      <c r="D2203" s="3">
        <v>30.889026478998666</v>
      </c>
      <c r="E2203" s="3">
        <v>30.331851306406865</v>
      </c>
      <c r="F2203" s="3">
        <v>30.664201736450195</v>
      </c>
      <c r="G2203" s="3">
        <v>186700</v>
      </c>
      <c r="H2203" s="3">
        <v>0</v>
      </c>
      <c r="I2203" s="3">
        <v>0</v>
      </c>
      <c r="J2203" s="3" t="str">
        <v>AB</v>
      </c>
      <c r="K2203" s="23">
        <v>45191</v>
      </c>
      <c r="L2203" s="22">
        <v>30.615325927734375</v>
      </c>
    </row>
    <row r="2204" spans="1:12" x14ac:dyDescent="0.25">
      <c r="A2204" s="9">
        <v>2197</v>
      </c>
      <c r="B2204" s="10">
        <v>45195</v>
      </c>
      <c r="C2204" s="3">
        <v>30.370952130202969</v>
      </c>
      <c r="D2204" s="3">
        <v>30.722853044629193</v>
      </c>
      <c r="E2204" s="3">
        <v>30.14612737462398</v>
      </c>
      <c r="F2204" s="3">
        <v>30.185226440429688</v>
      </c>
      <c r="G2204" s="3">
        <v>222000</v>
      </c>
      <c r="H2204" s="3">
        <v>0</v>
      </c>
      <c r="I2204" s="3">
        <v>0</v>
      </c>
      <c r="J2204" s="3" t="str">
        <v>AB</v>
      </c>
      <c r="K2204" s="23">
        <v>45194</v>
      </c>
      <c r="L2204" s="22">
        <v>30.664201736450195</v>
      </c>
    </row>
    <row r="2205" spans="1:12" x14ac:dyDescent="0.25">
      <c r="A2205" s="9">
        <v>2198</v>
      </c>
      <c r="B2205" s="10">
        <v>45196</v>
      </c>
      <c r="C2205" s="3">
        <v>30.292750545299153</v>
      </c>
      <c r="D2205" s="3">
        <v>30.331851473488985</v>
      </c>
      <c r="E2205" s="3">
        <v>29.979950577519993</v>
      </c>
      <c r="F2205" s="3">
        <v>30.146125793457031</v>
      </c>
      <c r="G2205" s="3">
        <v>195300</v>
      </c>
      <c r="H2205" s="3">
        <v>0</v>
      </c>
      <c r="I2205" s="3">
        <v>0</v>
      </c>
      <c r="J2205" s="3" t="str">
        <v>AB</v>
      </c>
      <c r="K2205" s="23">
        <v>45195</v>
      </c>
      <c r="L2205" s="22">
        <v>30.185226440429688</v>
      </c>
    </row>
    <row r="2206" spans="1:12" x14ac:dyDescent="0.25">
      <c r="A2206" s="9">
        <v>2199</v>
      </c>
      <c r="B2206" s="10">
        <v>45197</v>
      </c>
      <c r="C2206" s="3">
        <v>29.911527491964041</v>
      </c>
      <c r="D2206" s="3">
        <v>30.410053167680854</v>
      </c>
      <c r="E2206" s="3">
        <v>29.901752259369399</v>
      </c>
      <c r="F2206" s="3">
        <v>29.93107795715332</v>
      </c>
      <c r="G2206" s="3">
        <v>327200</v>
      </c>
      <c r="H2206" s="3">
        <v>0</v>
      </c>
      <c r="I2206" s="3">
        <v>0</v>
      </c>
      <c r="J2206" s="3" t="str">
        <v>AB</v>
      </c>
      <c r="K2206" s="23">
        <v>45196</v>
      </c>
      <c r="L2206" s="22">
        <v>30.146125793457031</v>
      </c>
    </row>
    <row r="2207" spans="1:12" x14ac:dyDescent="0.25">
      <c r="A2207" s="9">
        <v>2200</v>
      </c>
      <c r="B2207" s="10">
        <v>45198</v>
      </c>
      <c r="C2207" s="3">
        <v>30.048375223669897</v>
      </c>
      <c r="D2207" s="3">
        <v>30.400276118306778</v>
      </c>
      <c r="E2207" s="3">
        <v>29.637824801405163</v>
      </c>
      <c r="F2207" s="3">
        <v>29.667150497436523</v>
      </c>
      <c r="G2207" s="3">
        <v>305100</v>
      </c>
      <c r="H2207" s="3">
        <v>0</v>
      </c>
      <c r="I2207" s="3">
        <v>0</v>
      </c>
      <c r="J2207" s="3" t="str">
        <v>AB</v>
      </c>
      <c r="K2207" s="23">
        <v>45197</v>
      </c>
      <c r="L2207" s="22">
        <v>29.93107795715332</v>
      </c>
    </row>
    <row r="2208" spans="1:12" x14ac:dyDescent="0.25">
      <c r="A2208" s="9">
        <v>2201</v>
      </c>
      <c r="B2208" s="10">
        <v>45201</v>
      </c>
      <c r="C2208" s="3">
        <v>29.667152149436639</v>
      </c>
      <c r="D2208" s="3">
        <v>30.097253059672234</v>
      </c>
      <c r="E2208" s="3">
        <v>29.628051219217507</v>
      </c>
      <c r="F2208" s="3">
        <v>29.696475982666016</v>
      </c>
      <c r="G2208" s="3">
        <v>213100</v>
      </c>
      <c r="H2208" s="3">
        <v>0</v>
      </c>
      <c r="I2208" s="3">
        <v>0</v>
      </c>
      <c r="J2208" s="3" t="str">
        <v>AB</v>
      </c>
      <c r="K2208" s="23">
        <v>45198</v>
      </c>
      <c r="L2208" s="22">
        <v>29.667150497436523</v>
      </c>
    </row>
    <row r="2209" spans="1:12" x14ac:dyDescent="0.25">
      <c r="A2209" s="9">
        <v>2202</v>
      </c>
      <c r="B2209" s="10">
        <v>45202</v>
      </c>
      <c r="C2209" s="3">
        <v>29.989727357535589</v>
      </c>
      <c r="D2209" s="3">
        <v>30.028826423308708</v>
      </c>
      <c r="E2209" s="3">
        <v>29.354352157133896</v>
      </c>
      <c r="F2209" s="3">
        <v>29.45210075378418</v>
      </c>
      <c r="G2209" s="3">
        <v>366100</v>
      </c>
      <c r="H2209" s="3">
        <v>0</v>
      </c>
      <c r="I2209" s="3">
        <v>0</v>
      </c>
      <c r="J2209" s="3" t="str">
        <v>AB</v>
      </c>
      <c r="K2209" s="23">
        <v>45201</v>
      </c>
      <c r="L2209" s="22">
        <v>29.696475982666016</v>
      </c>
    </row>
    <row r="2210" spans="1:12" x14ac:dyDescent="0.25">
      <c r="A2210" s="9">
        <v>2203</v>
      </c>
      <c r="B2210" s="10">
        <v>45203</v>
      </c>
      <c r="C2210" s="3">
        <v>29.559625039971088</v>
      </c>
      <c r="D2210" s="3">
        <v>30.058150689777634</v>
      </c>
      <c r="E2210" s="3">
        <v>29.237049838853309</v>
      </c>
      <c r="F2210" s="3">
        <v>29.882200241088867</v>
      </c>
      <c r="G2210" s="3">
        <v>186900</v>
      </c>
      <c r="H2210" s="3">
        <v>0</v>
      </c>
      <c r="I2210" s="3">
        <v>0</v>
      </c>
      <c r="J2210" s="3" t="str">
        <v>AB</v>
      </c>
      <c r="K2210" s="23">
        <v>45202</v>
      </c>
      <c r="L2210" s="22">
        <v>29.45210075378418</v>
      </c>
    </row>
    <row r="2211" spans="1:12" x14ac:dyDescent="0.25">
      <c r="A2211" s="9">
        <v>2204</v>
      </c>
      <c r="B2211" s="10">
        <v>45204</v>
      </c>
      <c r="C2211" s="3">
        <v>29.77467550720662</v>
      </c>
      <c r="D2211" s="3">
        <v>30.351401167761935</v>
      </c>
      <c r="E2211" s="3">
        <v>29.77467550720662</v>
      </c>
      <c r="F2211" s="3">
        <v>30.253652572631836</v>
      </c>
      <c r="G2211" s="3">
        <v>234200</v>
      </c>
      <c r="H2211" s="3">
        <v>0</v>
      </c>
      <c r="I2211" s="3">
        <v>0</v>
      </c>
      <c r="J2211" s="3" t="str">
        <v>AB</v>
      </c>
      <c r="K2211" s="23">
        <v>45203</v>
      </c>
      <c r="L2211" s="22">
        <v>29.882200241088867</v>
      </c>
    </row>
    <row r="2212" spans="1:12" x14ac:dyDescent="0.25">
      <c r="A2212" s="9">
        <v>2205</v>
      </c>
      <c r="B2212" s="10">
        <v>45205</v>
      </c>
      <c r="C2212" s="3">
        <v>30.00927756639901</v>
      </c>
      <c r="D2212" s="3">
        <v>30.380727078029306</v>
      </c>
      <c r="E2212" s="3">
        <v>29.500976664643904</v>
      </c>
      <c r="F2212" s="3">
        <v>30.224327087402344</v>
      </c>
      <c r="G2212" s="3">
        <v>400900</v>
      </c>
      <c r="H2212" s="3">
        <v>0</v>
      </c>
      <c r="I2212" s="3">
        <v>0</v>
      </c>
      <c r="J2212" s="3" t="str">
        <v>AB</v>
      </c>
      <c r="K2212" s="23">
        <v>45204</v>
      </c>
      <c r="L2212" s="22">
        <v>30.253652572631836</v>
      </c>
    </row>
    <row r="2213" spans="1:12" x14ac:dyDescent="0.25">
      <c r="A2213" s="9">
        <v>2206</v>
      </c>
      <c r="B2213" s="10">
        <v>45208</v>
      </c>
      <c r="C2213" s="3">
        <v>29.911526644613858</v>
      </c>
      <c r="D2213" s="3">
        <v>30.4784770679973</v>
      </c>
      <c r="E2213" s="3">
        <v>29.696475262493809</v>
      </c>
      <c r="F2213" s="3">
        <v>30.282976150512695</v>
      </c>
      <c r="G2213" s="3">
        <v>325500</v>
      </c>
      <c r="H2213" s="3">
        <v>0</v>
      </c>
      <c r="I2213" s="3">
        <v>0</v>
      </c>
      <c r="J2213" s="3" t="str">
        <v>AB</v>
      </c>
      <c r="K2213" s="23">
        <v>45205</v>
      </c>
      <c r="L2213" s="22">
        <v>30.224327087402344</v>
      </c>
    </row>
    <row r="2214" spans="1:12" x14ac:dyDescent="0.25">
      <c r="A2214" s="9">
        <v>2207</v>
      </c>
      <c r="B2214" s="10">
        <v>45209</v>
      </c>
      <c r="C2214" s="3">
        <v>30.282976380599258</v>
      </c>
      <c r="D2214" s="3">
        <v>30.546902061878271</v>
      </c>
      <c r="E2214" s="3">
        <v>29.716025952908193</v>
      </c>
      <c r="F2214" s="3">
        <v>29.764902114868164</v>
      </c>
      <c r="G2214" s="3">
        <v>281800</v>
      </c>
      <c r="H2214" s="3">
        <v>0</v>
      </c>
      <c r="I2214" s="3">
        <v>0</v>
      </c>
      <c r="J2214" s="3" t="str">
        <v>AB</v>
      </c>
      <c r="K2214" s="23">
        <v>45208</v>
      </c>
      <c r="L2214" s="22">
        <v>30.282976150512695</v>
      </c>
    </row>
    <row r="2215" spans="1:12" x14ac:dyDescent="0.25">
      <c r="A2215" s="9">
        <v>2208</v>
      </c>
      <c r="B2215" s="10">
        <v>45210</v>
      </c>
      <c r="C2215" s="3">
        <v>29.804000502359315</v>
      </c>
      <c r="D2215" s="3">
        <v>30.019050016788864</v>
      </c>
      <c r="E2215" s="3">
        <v>29.344575776991007</v>
      </c>
      <c r="F2215" s="3">
        <v>29.852876663208008</v>
      </c>
      <c r="G2215" s="3">
        <v>229900</v>
      </c>
      <c r="H2215" s="3">
        <v>0</v>
      </c>
      <c r="I2215" s="3">
        <v>0</v>
      </c>
      <c r="J2215" s="3" t="str">
        <v>AB</v>
      </c>
      <c r="K2215" s="23">
        <v>45209</v>
      </c>
      <c r="L2215" s="22">
        <v>29.764902114868164</v>
      </c>
    </row>
    <row r="2216" spans="1:12" x14ac:dyDescent="0.25">
      <c r="A2216" s="9">
        <v>2209</v>
      </c>
      <c r="B2216" s="10">
        <v>45211</v>
      </c>
      <c r="C2216" s="3">
        <v>29.706250767080917</v>
      </c>
      <c r="D2216" s="3">
        <v>29.813776459126455</v>
      </c>
      <c r="E2216" s="3">
        <v>29.178401268130422</v>
      </c>
      <c r="F2216" s="3">
        <v>29.266376495361328</v>
      </c>
      <c r="G2216" s="3">
        <v>213300</v>
      </c>
      <c r="H2216" s="3">
        <v>0</v>
      </c>
      <c r="I2216" s="3">
        <v>0</v>
      </c>
      <c r="J2216" s="3" t="str">
        <v>AB</v>
      </c>
      <c r="K2216" s="23">
        <v>45210</v>
      </c>
      <c r="L2216" s="22">
        <v>29.852876663208008</v>
      </c>
    </row>
    <row r="2217" spans="1:12" x14ac:dyDescent="0.25">
      <c r="A2217" s="9">
        <v>2210</v>
      </c>
      <c r="B2217" s="10">
        <v>45212</v>
      </c>
      <c r="C2217" s="3">
        <v>29.276151991256437</v>
      </c>
      <c r="D2217" s="3">
        <v>29.491201512848036</v>
      </c>
      <c r="E2217" s="3">
        <v>28.425725408515415</v>
      </c>
      <c r="F2217" s="3">
        <v>28.738525390625</v>
      </c>
      <c r="G2217" s="3">
        <v>265800</v>
      </c>
      <c r="H2217" s="3">
        <v>0</v>
      </c>
      <c r="I2217" s="3">
        <v>0</v>
      </c>
      <c r="J2217" s="3" t="str">
        <v>AB</v>
      </c>
      <c r="K2217" s="23">
        <v>45211</v>
      </c>
      <c r="L2217" s="22">
        <v>29.266376495361328</v>
      </c>
    </row>
    <row r="2218" spans="1:12" x14ac:dyDescent="0.25">
      <c r="A2218" s="9">
        <v>2211</v>
      </c>
      <c r="B2218" s="10">
        <v>45215</v>
      </c>
      <c r="C2218" s="3">
        <v>28.836275720197676</v>
      </c>
      <c r="D2218" s="3">
        <v>29.32502615613323</v>
      </c>
      <c r="E2218" s="3">
        <v>28.748300492574479</v>
      </c>
      <c r="F2218" s="3">
        <v>29.002450942993164</v>
      </c>
      <c r="G2218" s="3">
        <v>111400</v>
      </c>
      <c r="H2218" s="3">
        <v>0</v>
      </c>
      <c r="I2218" s="3">
        <v>0</v>
      </c>
      <c r="J2218" s="3" t="str">
        <v>AB</v>
      </c>
      <c r="K2218" s="23">
        <v>45212</v>
      </c>
      <c r="L2218" s="22">
        <v>28.738525390625</v>
      </c>
    </row>
    <row r="2219" spans="1:12" x14ac:dyDescent="0.25">
      <c r="A2219" s="9">
        <v>2212</v>
      </c>
      <c r="B2219" s="10">
        <v>45216</v>
      </c>
      <c r="C2219" s="3">
        <v>28.914475726160006</v>
      </c>
      <c r="D2219" s="3">
        <v>29.315250934621922</v>
      </c>
      <c r="E2219" s="3">
        <v>28.806950033594873</v>
      </c>
      <c r="F2219" s="3">
        <v>29.246826171875</v>
      </c>
      <c r="G2219" s="3">
        <v>144300</v>
      </c>
      <c r="H2219" s="3">
        <v>0</v>
      </c>
      <c r="I2219" s="3">
        <v>0</v>
      </c>
      <c r="J2219" s="3" t="str">
        <v>AB</v>
      </c>
      <c r="K2219" s="23">
        <v>45215</v>
      </c>
      <c r="L2219" s="22">
        <v>29.002450942993164</v>
      </c>
    </row>
    <row r="2220" spans="1:12" x14ac:dyDescent="0.25">
      <c r="A2220" s="9">
        <v>2213</v>
      </c>
      <c r="B2220" s="10">
        <v>45217</v>
      </c>
      <c r="C2220" s="3">
        <v>29.1784016745064</v>
      </c>
      <c r="D2220" s="3">
        <v>29.1784016745064</v>
      </c>
      <c r="E2220" s="3">
        <v>28.689651233943263</v>
      </c>
      <c r="F2220" s="3">
        <v>28.718975067138672</v>
      </c>
      <c r="G2220" s="3">
        <v>124000</v>
      </c>
      <c r="H2220" s="3">
        <v>0</v>
      </c>
      <c r="I2220" s="3">
        <v>0</v>
      </c>
      <c r="J2220" s="3" t="str">
        <v>AB</v>
      </c>
      <c r="K2220" s="23">
        <v>45216</v>
      </c>
      <c r="L2220" s="22">
        <v>29.246826171875</v>
      </c>
    </row>
    <row r="2221" spans="1:12" x14ac:dyDescent="0.25">
      <c r="A2221" s="9">
        <v>2214</v>
      </c>
      <c r="B2221" s="10">
        <v>45218</v>
      </c>
      <c r="C2221" s="3">
        <v>28.582124174836398</v>
      </c>
      <c r="D2221" s="3">
        <v>28.748299391265938</v>
      </c>
      <c r="E2221" s="3">
        <v>28.083598525547785</v>
      </c>
      <c r="F2221" s="3">
        <v>28.650548934936523</v>
      </c>
      <c r="G2221" s="3">
        <v>394800</v>
      </c>
      <c r="H2221" s="3">
        <v>0</v>
      </c>
      <c r="I2221" s="3">
        <v>0</v>
      </c>
      <c r="J2221" s="3" t="str">
        <v>AB</v>
      </c>
      <c r="K2221" s="23">
        <v>45217</v>
      </c>
      <c r="L2221" s="22">
        <v>28.718975067138672</v>
      </c>
    </row>
    <row r="2222" spans="1:12" x14ac:dyDescent="0.25">
      <c r="A2222" s="9">
        <v>2215</v>
      </c>
      <c r="B2222" s="10">
        <v>45219</v>
      </c>
      <c r="C2222" s="3">
        <v>28.503924417343903</v>
      </c>
      <c r="D2222" s="3">
        <v>28.503924417343903</v>
      </c>
      <c r="E2222" s="3">
        <v>27.927198771130321</v>
      </c>
      <c r="F2222" s="3">
        <v>28.376850128173828</v>
      </c>
      <c r="G2222" s="3">
        <v>257300</v>
      </c>
      <c r="H2222" s="3">
        <v>0</v>
      </c>
      <c r="I2222" s="3">
        <v>0</v>
      </c>
      <c r="J2222" s="3" t="str">
        <v>AB</v>
      </c>
      <c r="K2222" s="23">
        <v>45218</v>
      </c>
      <c r="L2222" s="22">
        <v>28.650548934936523</v>
      </c>
    </row>
    <row r="2223" spans="1:12" x14ac:dyDescent="0.25">
      <c r="A2223" s="9">
        <v>2216</v>
      </c>
      <c r="B2223" s="10">
        <v>45222</v>
      </c>
      <c r="C2223" s="3">
        <v>28.591900683846227</v>
      </c>
      <c r="D2223" s="3">
        <v>28.591900683846227</v>
      </c>
      <c r="E2223" s="3">
        <v>27.868550257799065</v>
      </c>
      <c r="F2223" s="3">
        <v>28.239999771118164</v>
      </c>
      <c r="G2223" s="3">
        <v>503100</v>
      </c>
      <c r="H2223" s="3">
        <v>0</v>
      </c>
      <c r="I2223" s="3">
        <v>0</v>
      </c>
      <c r="J2223" s="3" t="str">
        <v>AB</v>
      </c>
      <c r="K2223" s="23">
        <v>45219</v>
      </c>
      <c r="L2223" s="22">
        <v>28.376850128173828</v>
      </c>
    </row>
    <row r="2224" spans="1:12" x14ac:dyDescent="0.25">
      <c r="A2224" s="9">
        <v>2217</v>
      </c>
      <c r="B2224" s="10">
        <v>45223</v>
      </c>
      <c r="C2224" s="3">
        <v>28.415950227482195</v>
      </c>
      <c r="D2224" s="3">
        <v>28.855826368392275</v>
      </c>
      <c r="E2224" s="3">
        <v>28.064049314754129</v>
      </c>
      <c r="F2224" s="3">
        <v>28.239999771118164</v>
      </c>
      <c r="G2224" s="3">
        <v>318400</v>
      </c>
      <c r="H2224" s="3">
        <v>0</v>
      </c>
      <c r="I2224" s="3">
        <v>0</v>
      </c>
      <c r="J2224" s="3" t="str">
        <v>AB</v>
      </c>
      <c r="K2224" s="23">
        <v>45222</v>
      </c>
      <c r="L2224" s="22">
        <v>28.239999771118164</v>
      </c>
    </row>
    <row r="2225" spans="1:12" x14ac:dyDescent="0.25">
      <c r="A2225" s="9">
        <v>2218</v>
      </c>
      <c r="B2225" s="10">
        <v>45224</v>
      </c>
      <c r="C2225" s="3">
        <v>28.259550145043661</v>
      </c>
      <c r="D2225" s="3">
        <v>28.582125359192844</v>
      </c>
      <c r="E2225" s="3">
        <v>27.409125427938974</v>
      </c>
      <c r="F2225" s="3">
        <v>27.761024475097656</v>
      </c>
      <c r="G2225" s="3">
        <v>417500</v>
      </c>
      <c r="H2225" s="3">
        <v>0</v>
      </c>
      <c r="I2225" s="3">
        <v>0</v>
      </c>
      <c r="J2225" s="3" t="str">
        <v>AB</v>
      </c>
      <c r="K2225" s="23">
        <v>45223</v>
      </c>
      <c r="L2225" s="22">
        <v>28.239999771118164</v>
      </c>
    </row>
    <row r="2226" spans="1:12" x14ac:dyDescent="0.25">
      <c r="A2226" s="9">
        <v>2219</v>
      </c>
      <c r="B2226" s="10">
        <v>45225</v>
      </c>
      <c r="C2226" s="3">
        <v>27.692598574097797</v>
      </c>
      <c r="D2226" s="3">
        <v>27.95652424694665</v>
      </c>
      <c r="E2226" s="3">
        <v>26.959472948029799</v>
      </c>
      <c r="F2226" s="3">
        <v>27.907648086547852</v>
      </c>
      <c r="G2226" s="3">
        <v>530100</v>
      </c>
      <c r="H2226" s="3">
        <v>0</v>
      </c>
      <c r="I2226" s="3">
        <v>0</v>
      </c>
      <c r="J2226" s="3" t="str">
        <v>AB</v>
      </c>
      <c r="K2226" s="23">
        <v>45224</v>
      </c>
      <c r="L2226" s="22">
        <v>27.761024475097656</v>
      </c>
    </row>
    <row r="2227" spans="1:12" x14ac:dyDescent="0.25">
      <c r="A2227" s="9">
        <v>2220</v>
      </c>
      <c r="B2227" s="10">
        <v>45226</v>
      </c>
      <c r="C2227" s="3">
        <v>28.103149255244574</v>
      </c>
      <c r="D2227" s="3">
        <v>29.237050084736172</v>
      </c>
      <c r="E2227" s="3">
        <v>27.770798819245151</v>
      </c>
      <c r="F2227" s="3">
        <v>27.878324508666992</v>
      </c>
      <c r="G2227" s="3">
        <v>536400</v>
      </c>
      <c r="H2227" s="3">
        <v>0</v>
      </c>
      <c r="I2227" s="3">
        <v>0</v>
      </c>
      <c r="J2227" s="3" t="str">
        <v>AB</v>
      </c>
      <c r="K2227" s="23">
        <v>45225</v>
      </c>
      <c r="L2227" s="22">
        <v>27.907648086547852</v>
      </c>
    </row>
    <row r="2228" spans="1:12" x14ac:dyDescent="0.25">
      <c r="A2228" s="9">
        <v>2221</v>
      </c>
      <c r="B2228" s="10">
        <v>45229</v>
      </c>
      <c r="C2228" s="3">
        <v>27.858775199643482</v>
      </c>
      <c r="D2228" s="3">
        <v>28.513700866633553</v>
      </c>
      <c r="E2228" s="3">
        <v>27.858775199643482</v>
      </c>
      <c r="F2228" s="3">
        <v>27.976076126098633</v>
      </c>
      <c r="G2228" s="3">
        <v>409800</v>
      </c>
      <c r="H2228" s="3">
        <v>0</v>
      </c>
      <c r="I2228" s="3">
        <v>0</v>
      </c>
      <c r="J2228" s="3" t="str">
        <v>AB</v>
      </c>
      <c r="K2228" s="23">
        <v>45226</v>
      </c>
      <c r="L2228" s="22">
        <v>27.878324508666992</v>
      </c>
    </row>
    <row r="2229" spans="1:12" x14ac:dyDescent="0.25">
      <c r="A2229" s="9">
        <v>2222</v>
      </c>
      <c r="B2229" s="10">
        <v>45230</v>
      </c>
      <c r="C2229" s="3">
        <v>28.103149555122378</v>
      </c>
      <c r="D2229" s="3">
        <v>28.347524768645179</v>
      </c>
      <c r="E2229" s="3">
        <v>27.800124812395879</v>
      </c>
      <c r="F2229" s="3">
        <v>28.083599090576172</v>
      </c>
      <c r="G2229" s="3">
        <v>476500</v>
      </c>
      <c r="H2229" s="3">
        <v>0</v>
      </c>
      <c r="I2229" s="3">
        <v>0</v>
      </c>
      <c r="J2229" s="3" t="str">
        <v>AB</v>
      </c>
      <c r="K2229" s="23">
        <v>45229</v>
      </c>
      <c r="L2229" s="22">
        <v>27.976076126098633</v>
      </c>
    </row>
    <row r="2230" spans="1:12" x14ac:dyDescent="0.25">
      <c r="K2230" s="23">
        <v>45230</v>
      </c>
      <c r="L2230" s="22">
        <v>28.083599090576172</v>
      </c>
    </row>
    <row r="2231" spans="1:12" x14ac:dyDescent="0.25">
      <c r="K2231" s="23" t="s">
        <v>14543</v>
      </c>
      <c r="L2231" s="22">
        <v>22.597290055793628</v>
      </c>
    </row>
    <row r="2232" spans="1:12" x14ac:dyDescent="0.25">
      <c r="K2232"/>
      <c r="L2232"/>
    </row>
    <row r="2233" spans="1:12" x14ac:dyDescent="0.25">
      <c r="K2233"/>
      <c r="L2233"/>
    </row>
    <row r="2234" spans="1:12" x14ac:dyDescent="0.25">
      <c r="K2234"/>
      <c r="L2234"/>
    </row>
    <row r="2235" spans="1:12" x14ac:dyDescent="0.25">
      <c r="K2235"/>
      <c r="L2235"/>
    </row>
    <row r="2236" spans="1:12" x14ac:dyDescent="0.25">
      <c r="K2236"/>
      <c r="L2236"/>
    </row>
    <row r="2237" spans="1:12" x14ac:dyDescent="0.25">
      <c r="K2237"/>
      <c r="L2237"/>
    </row>
    <row r="2238" spans="1:12" x14ac:dyDescent="0.25">
      <c r="K2238"/>
      <c r="L2238"/>
    </row>
    <row r="2239" spans="1:12" x14ac:dyDescent="0.25">
      <c r="K2239"/>
      <c r="L2239"/>
    </row>
    <row r="2240" spans="1:12" x14ac:dyDescent="0.25">
      <c r="K2240"/>
      <c r="L2240"/>
    </row>
    <row r="2241" spans="11:12" x14ac:dyDescent="0.25">
      <c r="K2241"/>
      <c r="L2241"/>
    </row>
    <row r="2242" spans="11:12" x14ac:dyDescent="0.25">
      <c r="K2242"/>
      <c r="L2242"/>
    </row>
    <row r="2243" spans="11:12" x14ac:dyDescent="0.25">
      <c r="K2243"/>
      <c r="L2243"/>
    </row>
    <row r="2244" spans="11:12" x14ac:dyDescent="0.25">
      <c r="K2244"/>
      <c r="L2244"/>
    </row>
    <row r="2245" spans="11:12" x14ac:dyDescent="0.25">
      <c r="K2245"/>
      <c r="L2245"/>
    </row>
    <row r="2246" spans="11:12" x14ac:dyDescent="0.25">
      <c r="K2246"/>
      <c r="L2246"/>
    </row>
    <row r="2247" spans="11:12" x14ac:dyDescent="0.25">
      <c r="K2247"/>
      <c r="L2247"/>
    </row>
    <row r="2248" spans="11:12" x14ac:dyDescent="0.25">
      <c r="K2248"/>
      <c r="L2248"/>
    </row>
    <row r="2249" spans="11:12" x14ac:dyDescent="0.25">
      <c r="K2249"/>
      <c r="L2249"/>
    </row>
    <row r="2250" spans="11:12" x14ac:dyDescent="0.25">
      <c r="K2250"/>
      <c r="L2250"/>
    </row>
    <row r="2251" spans="11:12" x14ac:dyDescent="0.25">
      <c r="K2251"/>
      <c r="L2251"/>
    </row>
    <row r="2252" spans="11:12" x14ac:dyDescent="0.25">
      <c r="K2252"/>
      <c r="L2252"/>
    </row>
    <row r="2253" spans="11:12" x14ac:dyDescent="0.25">
      <c r="K2253"/>
      <c r="L2253"/>
    </row>
    <row r="2254" spans="11:12" x14ac:dyDescent="0.25">
      <c r="K2254"/>
      <c r="L2254"/>
    </row>
    <row r="2255" spans="11:12" x14ac:dyDescent="0.25">
      <c r="K2255"/>
      <c r="L2255"/>
    </row>
    <row r="2256" spans="11:12" x14ac:dyDescent="0.25">
      <c r="K2256"/>
      <c r="L2256"/>
    </row>
    <row r="2257" spans="11:12" x14ac:dyDescent="0.25">
      <c r="K2257"/>
      <c r="L2257"/>
    </row>
    <row r="2258" spans="11:12" x14ac:dyDescent="0.25">
      <c r="K2258"/>
      <c r="L2258"/>
    </row>
    <row r="2259" spans="11:12" x14ac:dyDescent="0.25">
      <c r="K2259"/>
      <c r="L2259"/>
    </row>
    <row r="2260" spans="11:12" x14ac:dyDescent="0.25">
      <c r="K2260"/>
      <c r="L2260"/>
    </row>
    <row r="2261" spans="11:12" x14ac:dyDescent="0.25">
      <c r="K2261"/>
      <c r="L2261"/>
    </row>
    <row r="2262" spans="11:12" x14ac:dyDescent="0.25">
      <c r="K2262"/>
      <c r="L2262"/>
    </row>
    <row r="2263" spans="11:12" x14ac:dyDescent="0.25">
      <c r="K2263"/>
      <c r="L2263"/>
    </row>
    <row r="2264" spans="11:12" x14ac:dyDescent="0.25">
      <c r="K2264"/>
      <c r="L2264"/>
    </row>
    <row r="2265" spans="11:12" x14ac:dyDescent="0.25">
      <c r="K2265"/>
      <c r="L2265"/>
    </row>
    <row r="2266" spans="11:12" x14ac:dyDescent="0.25">
      <c r="K2266"/>
      <c r="L2266"/>
    </row>
    <row r="2267" spans="11:12" x14ac:dyDescent="0.25">
      <c r="K2267"/>
      <c r="L2267"/>
    </row>
    <row r="2268" spans="11:12" x14ac:dyDescent="0.25">
      <c r="K2268"/>
      <c r="L2268"/>
    </row>
    <row r="2269" spans="11:12" x14ac:dyDescent="0.25">
      <c r="K2269"/>
      <c r="L2269"/>
    </row>
    <row r="2270" spans="11:12" x14ac:dyDescent="0.25">
      <c r="K2270"/>
      <c r="L2270"/>
    </row>
    <row r="2271" spans="11:12" x14ac:dyDescent="0.25">
      <c r="K2271"/>
      <c r="L2271"/>
    </row>
    <row r="2272" spans="11:12" x14ac:dyDescent="0.25">
      <c r="K2272"/>
      <c r="L2272"/>
    </row>
    <row r="2273" spans="11:12" x14ac:dyDescent="0.25">
      <c r="K2273"/>
      <c r="L2273"/>
    </row>
    <row r="2274" spans="11:12" x14ac:dyDescent="0.25">
      <c r="K2274"/>
      <c r="L2274"/>
    </row>
    <row r="2275" spans="11:12" x14ac:dyDescent="0.25">
      <c r="K2275"/>
      <c r="L2275"/>
    </row>
    <row r="2276" spans="11:12" x14ac:dyDescent="0.25">
      <c r="K2276"/>
      <c r="L2276"/>
    </row>
    <row r="2277" spans="11:12" x14ac:dyDescent="0.25">
      <c r="K2277"/>
      <c r="L2277"/>
    </row>
    <row r="2278" spans="11:12" x14ac:dyDescent="0.25">
      <c r="K2278"/>
      <c r="L2278"/>
    </row>
    <row r="2279" spans="11:12" x14ac:dyDescent="0.25">
      <c r="K2279"/>
      <c r="L2279"/>
    </row>
    <row r="2280" spans="11:12" x14ac:dyDescent="0.25">
      <c r="K2280"/>
      <c r="L2280"/>
    </row>
    <row r="2281" spans="11:12" x14ac:dyDescent="0.25">
      <c r="K2281"/>
      <c r="L2281"/>
    </row>
    <row r="2282" spans="11:12" x14ac:dyDescent="0.25">
      <c r="K2282"/>
      <c r="L2282"/>
    </row>
    <row r="2283" spans="11:12" x14ac:dyDescent="0.25">
      <c r="K2283"/>
      <c r="L2283"/>
    </row>
    <row r="2284" spans="11:12" x14ac:dyDescent="0.25">
      <c r="K2284"/>
      <c r="L2284"/>
    </row>
    <row r="2285" spans="11:12" x14ac:dyDescent="0.25">
      <c r="K2285"/>
      <c r="L2285"/>
    </row>
    <row r="2286" spans="11:12" x14ac:dyDescent="0.25">
      <c r="K2286"/>
      <c r="L2286"/>
    </row>
    <row r="2287" spans="11:12" x14ac:dyDescent="0.25">
      <c r="K2287"/>
      <c r="L2287"/>
    </row>
    <row r="2288" spans="11:12" x14ac:dyDescent="0.25">
      <c r="K2288"/>
      <c r="L2288"/>
    </row>
    <row r="2289" spans="11:12" x14ac:dyDescent="0.25">
      <c r="K2289"/>
      <c r="L2289"/>
    </row>
    <row r="2290" spans="11:12" x14ac:dyDescent="0.25">
      <c r="K2290"/>
      <c r="L2290"/>
    </row>
    <row r="2291" spans="11:12" x14ac:dyDescent="0.25">
      <c r="K2291"/>
      <c r="L2291"/>
    </row>
    <row r="2292" spans="11:12" x14ac:dyDescent="0.25">
      <c r="K2292"/>
      <c r="L2292"/>
    </row>
    <row r="2293" spans="11:12" x14ac:dyDescent="0.25">
      <c r="K2293"/>
      <c r="L2293"/>
    </row>
    <row r="2294" spans="11:12" x14ac:dyDescent="0.25">
      <c r="K2294"/>
      <c r="L2294"/>
    </row>
    <row r="2295" spans="11:12" x14ac:dyDescent="0.25">
      <c r="K2295"/>
      <c r="L2295"/>
    </row>
    <row r="2296" spans="11:12" x14ac:dyDescent="0.25">
      <c r="K2296"/>
      <c r="L2296"/>
    </row>
    <row r="2297" spans="11:12" x14ac:dyDescent="0.25">
      <c r="K2297"/>
      <c r="L2297"/>
    </row>
    <row r="2298" spans="11:12" x14ac:dyDescent="0.25">
      <c r="K2298"/>
      <c r="L2298"/>
    </row>
    <row r="2299" spans="11:12" x14ac:dyDescent="0.25">
      <c r="K2299"/>
      <c r="L2299"/>
    </row>
    <row r="2300" spans="11:12" x14ac:dyDescent="0.25">
      <c r="K2300"/>
      <c r="L2300"/>
    </row>
    <row r="2301" spans="11:12" x14ac:dyDescent="0.25">
      <c r="K2301"/>
      <c r="L2301"/>
    </row>
    <row r="2302" spans="11:12" x14ac:dyDescent="0.25">
      <c r="K2302"/>
      <c r="L2302"/>
    </row>
    <row r="2303" spans="11:12" x14ac:dyDescent="0.25">
      <c r="K2303"/>
      <c r="L2303"/>
    </row>
    <row r="2304" spans="11:12" x14ac:dyDescent="0.25">
      <c r="K2304"/>
      <c r="L2304"/>
    </row>
    <row r="2305" spans="11:12" x14ac:dyDescent="0.25">
      <c r="K2305"/>
      <c r="L2305"/>
    </row>
    <row r="2306" spans="11:12" x14ac:dyDescent="0.25">
      <c r="K2306"/>
      <c r="L2306"/>
    </row>
    <row r="2307" spans="11:12" x14ac:dyDescent="0.25">
      <c r="K2307"/>
      <c r="L2307"/>
    </row>
    <row r="2308" spans="11:12" x14ac:dyDescent="0.25">
      <c r="K2308"/>
      <c r="L2308"/>
    </row>
    <row r="2309" spans="11:12" x14ac:dyDescent="0.25">
      <c r="K2309"/>
      <c r="L2309"/>
    </row>
    <row r="2310" spans="11:12" x14ac:dyDescent="0.25">
      <c r="K2310"/>
      <c r="L2310"/>
    </row>
    <row r="2311" spans="11:12" x14ac:dyDescent="0.25">
      <c r="K2311"/>
      <c r="L2311"/>
    </row>
    <row r="2312" spans="11:12" x14ac:dyDescent="0.25">
      <c r="K2312"/>
      <c r="L2312"/>
    </row>
    <row r="2313" spans="11:12" x14ac:dyDescent="0.25">
      <c r="K2313"/>
      <c r="L2313"/>
    </row>
    <row r="2314" spans="11:12" x14ac:dyDescent="0.25">
      <c r="K2314"/>
      <c r="L2314"/>
    </row>
    <row r="2315" spans="11:12" x14ac:dyDescent="0.25">
      <c r="K2315"/>
      <c r="L2315"/>
    </row>
    <row r="2316" spans="11:12" x14ac:dyDescent="0.25">
      <c r="K2316"/>
      <c r="L2316"/>
    </row>
    <row r="2317" spans="11:12" x14ac:dyDescent="0.25">
      <c r="K2317"/>
      <c r="L2317"/>
    </row>
    <row r="2318" spans="11:12" x14ac:dyDescent="0.25">
      <c r="K2318"/>
      <c r="L2318"/>
    </row>
    <row r="2319" spans="11:12" x14ac:dyDescent="0.25">
      <c r="K2319"/>
      <c r="L2319"/>
    </row>
    <row r="2320" spans="11:12" x14ac:dyDescent="0.25">
      <c r="K2320"/>
      <c r="L2320"/>
    </row>
    <row r="2321" spans="11:12" x14ac:dyDescent="0.25">
      <c r="K2321"/>
      <c r="L2321"/>
    </row>
    <row r="2322" spans="11:12" x14ac:dyDescent="0.25">
      <c r="K2322"/>
      <c r="L2322"/>
    </row>
    <row r="2323" spans="11:12" x14ac:dyDescent="0.25">
      <c r="K2323"/>
      <c r="L2323"/>
    </row>
    <row r="2324" spans="11:12" x14ac:dyDescent="0.25">
      <c r="K2324"/>
      <c r="L2324"/>
    </row>
    <row r="2325" spans="11:12" x14ac:dyDescent="0.25">
      <c r="K2325"/>
      <c r="L2325"/>
    </row>
    <row r="2326" spans="11:12" x14ac:dyDescent="0.25">
      <c r="K2326"/>
      <c r="L2326"/>
    </row>
    <row r="2327" spans="11:12" x14ac:dyDescent="0.25">
      <c r="K2327"/>
      <c r="L2327"/>
    </row>
    <row r="2328" spans="11:12" x14ac:dyDescent="0.25">
      <c r="K2328"/>
      <c r="L2328"/>
    </row>
    <row r="2329" spans="11:12" x14ac:dyDescent="0.25">
      <c r="K2329"/>
      <c r="L2329"/>
    </row>
    <row r="2330" spans="11:12" x14ac:dyDescent="0.25">
      <c r="K2330"/>
      <c r="L2330"/>
    </row>
    <row r="2331" spans="11:12" x14ac:dyDescent="0.25">
      <c r="K2331"/>
      <c r="L2331"/>
    </row>
    <row r="2332" spans="11:12" x14ac:dyDescent="0.25">
      <c r="K2332"/>
      <c r="L2332"/>
    </row>
    <row r="2333" spans="11:12" x14ac:dyDescent="0.25">
      <c r="K2333"/>
      <c r="L2333"/>
    </row>
    <row r="2334" spans="11:12" x14ac:dyDescent="0.25">
      <c r="K2334"/>
      <c r="L2334"/>
    </row>
    <row r="2335" spans="11:12" x14ac:dyDescent="0.25">
      <c r="K2335"/>
      <c r="L2335"/>
    </row>
    <row r="2336" spans="11:12" x14ac:dyDescent="0.25">
      <c r="K2336"/>
      <c r="L2336"/>
    </row>
    <row r="2337" spans="11:12" x14ac:dyDescent="0.25">
      <c r="K2337"/>
      <c r="L2337"/>
    </row>
    <row r="2338" spans="11:12" x14ac:dyDescent="0.25">
      <c r="K2338"/>
      <c r="L2338"/>
    </row>
    <row r="2339" spans="11:12" x14ac:dyDescent="0.25">
      <c r="K2339"/>
      <c r="L2339"/>
    </row>
    <row r="2340" spans="11:12" x14ac:dyDescent="0.25">
      <c r="K2340"/>
      <c r="L2340"/>
    </row>
    <row r="2341" spans="11:12" x14ac:dyDescent="0.25">
      <c r="K2341"/>
      <c r="L2341"/>
    </row>
    <row r="2342" spans="11:12" x14ac:dyDescent="0.25">
      <c r="K2342"/>
      <c r="L2342"/>
    </row>
    <row r="2343" spans="11:12" x14ac:dyDescent="0.25">
      <c r="K2343"/>
      <c r="L2343"/>
    </row>
    <row r="2344" spans="11:12" x14ac:dyDescent="0.25">
      <c r="K2344"/>
      <c r="L2344"/>
    </row>
    <row r="2345" spans="11:12" x14ac:dyDescent="0.25">
      <c r="K2345"/>
      <c r="L2345"/>
    </row>
    <row r="2346" spans="11:12" x14ac:dyDescent="0.25">
      <c r="K2346"/>
      <c r="L2346"/>
    </row>
    <row r="2347" spans="11:12" x14ac:dyDescent="0.25">
      <c r="K2347"/>
      <c r="L2347"/>
    </row>
    <row r="2348" spans="11:12" x14ac:dyDescent="0.25">
      <c r="K2348"/>
      <c r="L2348"/>
    </row>
    <row r="2349" spans="11:12" x14ac:dyDescent="0.25">
      <c r="K2349"/>
      <c r="L2349"/>
    </row>
    <row r="2350" spans="11:12" x14ac:dyDescent="0.25">
      <c r="K2350"/>
      <c r="L2350"/>
    </row>
    <row r="2351" spans="11:12" x14ac:dyDescent="0.25">
      <c r="K2351"/>
      <c r="L2351"/>
    </row>
    <row r="2352" spans="11:12" x14ac:dyDescent="0.25">
      <c r="K2352"/>
      <c r="L2352"/>
    </row>
    <row r="2353" spans="11:12" x14ac:dyDescent="0.25">
      <c r="K2353"/>
      <c r="L2353"/>
    </row>
    <row r="2354" spans="11:12" x14ac:dyDescent="0.25">
      <c r="K2354"/>
      <c r="L2354"/>
    </row>
    <row r="2355" spans="11:12" x14ac:dyDescent="0.25">
      <c r="K2355"/>
      <c r="L2355"/>
    </row>
    <row r="2356" spans="11:12" x14ac:dyDescent="0.25">
      <c r="K2356"/>
      <c r="L2356"/>
    </row>
    <row r="2357" spans="11:12" x14ac:dyDescent="0.25">
      <c r="K2357"/>
      <c r="L2357"/>
    </row>
    <row r="2358" spans="11:12" x14ac:dyDescent="0.25">
      <c r="K2358"/>
      <c r="L2358"/>
    </row>
    <row r="2359" spans="11:12" x14ac:dyDescent="0.25">
      <c r="K2359"/>
      <c r="L2359"/>
    </row>
    <row r="2360" spans="11:12" x14ac:dyDescent="0.25">
      <c r="K2360"/>
      <c r="L2360"/>
    </row>
    <row r="2361" spans="11:12" x14ac:dyDescent="0.25">
      <c r="K2361"/>
      <c r="L2361"/>
    </row>
    <row r="2362" spans="11:12" x14ac:dyDescent="0.25">
      <c r="K2362"/>
      <c r="L2362"/>
    </row>
    <row r="2363" spans="11:12" x14ac:dyDescent="0.25">
      <c r="K2363"/>
      <c r="L2363"/>
    </row>
    <row r="2364" spans="11:12" x14ac:dyDescent="0.25">
      <c r="K2364"/>
      <c r="L2364"/>
    </row>
    <row r="2365" spans="11:12" x14ac:dyDescent="0.25">
      <c r="K2365"/>
      <c r="L2365"/>
    </row>
    <row r="2366" spans="11:12" x14ac:dyDescent="0.25">
      <c r="K2366"/>
      <c r="L2366"/>
    </row>
    <row r="2367" spans="11:12" x14ac:dyDescent="0.25">
      <c r="K2367"/>
      <c r="L2367"/>
    </row>
    <row r="2368" spans="11:12" x14ac:dyDescent="0.25">
      <c r="K2368"/>
      <c r="L2368"/>
    </row>
    <row r="2369" spans="11:12" x14ac:dyDescent="0.25">
      <c r="K2369"/>
      <c r="L2369"/>
    </row>
    <row r="2370" spans="11:12" x14ac:dyDescent="0.25">
      <c r="K2370"/>
      <c r="L2370"/>
    </row>
    <row r="2371" spans="11:12" x14ac:dyDescent="0.25">
      <c r="K2371"/>
      <c r="L2371"/>
    </row>
    <row r="2372" spans="11:12" x14ac:dyDescent="0.25">
      <c r="K2372"/>
      <c r="L2372"/>
    </row>
    <row r="2373" spans="11:12" x14ac:dyDescent="0.25">
      <c r="K2373"/>
      <c r="L2373"/>
    </row>
    <row r="2374" spans="11:12" x14ac:dyDescent="0.25">
      <c r="K2374"/>
      <c r="L2374"/>
    </row>
    <row r="2375" spans="11:12" x14ac:dyDescent="0.25">
      <c r="K2375"/>
      <c r="L2375"/>
    </row>
    <row r="2376" spans="11:12" x14ac:dyDescent="0.25">
      <c r="K2376"/>
      <c r="L2376"/>
    </row>
    <row r="2377" spans="11:12" x14ac:dyDescent="0.25">
      <c r="K2377"/>
      <c r="L2377"/>
    </row>
    <row r="2378" spans="11:12" x14ac:dyDescent="0.25">
      <c r="K2378"/>
      <c r="L2378"/>
    </row>
    <row r="2379" spans="11:12" x14ac:dyDescent="0.25">
      <c r="K2379"/>
      <c r="L2379"/>
    </row>
    <row r="2380" spans="11:12" x14ac:dyDescent="0.25">
      <c r="K2380"/>
      <c r="L2380"/>
    </row>
    <row r="2381" spans="11:12" x14ac:dyDescent="0.25">
      <c r="K2381"/>
      <c r="L2381"/>
    </row>
    <row r="2382" spans="11:12" x14ac:dyDescent="0.25">
      <c r="K2382"/>
      <c r="L2382"/>
    </row>
  </sheetData>
  <pageMargins left="0.75" right="0.75" top="1" bottom="1" header="0.5" footer="0.5"/>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2F12D4-14E8-49D2-8399-D0303EC2296C}">
  <sheetPr codeName="Sheet5"/>
  <dimension ref="A1:C10"/>
  <sheetViews>
    <sheetView showGridLines="0" workbookViewId="0">
      <selection activeCell="B3" sqref="B3"/>
    </sheetView>
  </sheetViews>
  <sheetFormatPr defaultColWidth="11" defaultRowHeight="15.75" x14ac:dyDescent="0.25"/>
  <cols>
    <col min="1" max="1" width="5.5" style="9" customWidth="1"/>
    <col min="2" max="2" width="81.375" style="10" bestFit="1" customWidth="1"/>
    <col min="3" max="9" width="11.125" style="3" bestFit="1" customWidth="1"/>
    <col min="10" max="16384" width="11" style="3"/>
  </cols>
  <sheetData>
    <row r="1" spans="1:3" s="8" customFormat="1" ht="32.25" customHeight="1" x14ac:dyDescent="0.45">
      <c r="A1" s="7"/>
      <c r="B1" s="11" t="str">
        <f>"Stock Price - "&amp;user_input_and_overview!E7&amp;" - Historical Data"</f>
        <v>Stock Price - AllianceBernstein Holding L.P. - Historical Data</v>
      </c>
    </row>
    <row r="2" spans="1:3" ht="18" customHeight="1" x14ac:dyDescent="0.25"/>
    <row r="3" spans="1:3" x14ac:dyDescent="0.25">
      <c r="B3" s="13"/>
    </row>
    <row r="10" spans="1:3" x14ac:dyDescent="0.25">
      <c r="C10" s="10"/>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7C62E5-A532-4B27-A965-90B8E6405DB8}">
  <sheetPr codeName="Sheet6"/>
  <dimension ref="A1:B7263"/>
  <sheetViews>
    <sheetView workbookViewId="0"/>
  </sheetViews>
  <sheetFormatPr defaultRowHeight="15.75" x14ac:dyDescent="0.25"/>
  <cols>
    <col min="1" max="1" width="10.375" bestFit="1" customWidth="1"/>
    <col min="2" max="2" width="194.75" bestFit="1" customWidth="1"/>
  </cols>
  <sheetData>
    <row r="1" spans="1:2" x14ac:dyDescent="0.25">
      <c r="A1" t="s">
        <v>28</v>
      </c>
      <c r="B1" t="s">
        <v>7288</v>
      </c>
    </row>
    <row r="2" spans="1:2" x14ac:dyDescent="0.25">
      <c r="A2" t="s">
        <v>29</v>
      </c>
      <c r="B2" t="s">
        <v>7289</v>
      </c>
    </row>
    <row r="3" spans="1:2" x14ac:dyDescent="0.25">
      <c r="A3" t="s">
        <v>30</v>
      </c>
      <c r="B3" t="s">
        <v>7290</v>
      </c>
    </row>
    <row r="4" spans="1:2" x14ac:dyDescent="0.25">
      <c r="A4" t="s">
        <v>31</v>
      </c>
      <c r="B4" t="s">
        <v>7291</v>
      </c>
    </row>
    <row r="5" spans="1:2" x14ac:dyDescent="0.25">
      <c r="A5" t="s">
        <v>32</v>
      </c>
      <c r="B5" t="s">
        <v>7292</v>
      </c>
    </row>
    <row r="6" spans="1:2" x14ac:dyDescent="0.25">
      <c r="A6" t="s">
        <v>33</v>
      </c>
      <c r="B6" t="s">
        <v>7293</v>
      </c>
    </row>
    <row r="7" spans="1:2" x14ac:dyDescent="0.25">
      <c r="A7" t="s">
        <v>34</v>
      </c>
      <c r="B7" t="s">
        <v>7294</v>
      </c>
    </row>
    <row r="8" spans="1:2" x14ac:dyDescent="0.25">
      <c r="A8" t="s">
        <v>35</v>
      </c>
      <c r="B8" t="s">
        <v>7295</v>
      </c>
    </row>
    <row r="9" spans="1:2" x14ac:dyDescent="0.25">
      <c r="A9" t="s">
        <v>36</v>
      </c>
      <c r="B9" t="s">
        <v>7296</v>
      </c>
    </row>
    <row r="10" spans="1:2" x14ac:dyDescent="0.25">
      <c r="A10" t="s">
        <v>37</v>
      </c>
      <c r="B10" t="s">
        <v>7297</v>
      </c>
    </row>
    <row r="11" spans="1:2" x14ac:dyDescent="0.25">
      <c r="A11" t="s">
        <v>38</v>
      </c>
      <c r="B11" t="s">
        <v>7298</v>
      </c>
    </row>
    <row r="12" spans="1:2" x14ac:dyDescent="0.25">
      <c r="A12" t="s">
        <v>39</v>
      </c>
      <c r="B12" t="s">
        <v>7299</v>
      </c>
    </row>
    <row r="13" spans="1:2" x14ac:dyDescent="0.25">
      <c r="A13" t="s">
        <v>40</v>
      </c>
      <c r="B13" t="s">
        <v>7300</v>
      </c>
    </row>
    <row r="14" spans="1:2" x14ac:dyDescent="0.25">
      <c r="A14" t="s">
        <v>41</v>
      </c>
      <c r="B14" t="s">
        <v>7301</v>
      </c>
    </row>
    <row r="15" spans="1:2" x14ac:dyDescent="0.25">
      <c r="A15" t="s">
        <v>42</v>
      </c>
      <c r="B15" t="s">
        <v>7302</v>
      </c>
    </row>
    <row r="16" spans="1:2" x14ac:dyDescent="0.25">
      <c r="A16" t="s">
        <v>43</v>
      </c>
      <c r="B16" t="s">
        <v>7303</v>
      </c>
    </row>
    <row r="17" spans="1:2" x14ac:dyDescent="0.25">
      <c r="A17" t="s">
        <v>44</v>
      </c>
      <c r="B17" t="s">
        <v>7304</v>
      </c>
    </row>
    <row r="18" spans="1:2" x14ac:dyDescent="0.25">
      <c r="A18" t="s">
        <v>45</v>
      </c>
      <c r="B18" t="s">
        <v>7305</v>
      </c>
    </row>
    <row r="19" spans="1:2" x14ac:dyDescent="0.25">
      <c r="A19" t="s">
        <v>46</v>
      </c>
      <c r="B19" t="s">
        <v>7306</v>
      </c>
    </row>
    <row r="20" spans="1:2" x14ac:dyDescent="0.25">
      <c r="A20" t="s">
        <v>47</v>
      </c>
      <c r="B20" t="s">
        <v>7307</v>
      </c>
    </row>
    <row r="21" spans="1:2" x14ac:dyDescent="0.25">
      <c r="A21" t="s">
        <v>48</v>
      </c>
      <c r="B21" t="s">
        <v>7308</v>
      </c>
    </row>
    <row r="22" spans="1:2" x14ac:dyDescent="0.25">
      <c r="A22" t="s">
        <v>49</v>
      </c>
      <c r="B22" t="s">
        <v>7309</v>
      </c>
    </row>
    <row r="23" spans="1:2" x14ac:dyDescent="0.25">
      <c r="A23" t="s">
        <v>50</v>
      </c>
      <c r="B23" t="s">
        <v>7310</v>
      </c>
    </row>
    <row r="24" spans="1:2" x14ac:dyDescent="0.25">
      <c r="A24" t="s">
        <v>51</v>
      </c>
      <c r="B24" t="s">
        <v>7311</v>
      </c>
    </row>
    <row r="25" spans="1:2" x14ac:dyDescent="0.25">
      <c r="A25" t="s">
        <v>52</v>
      </c>
      <c r="B25" t="s">
        <v>7312</v>
      </c>
    </row>
    <row r="26" spans="1:2" x14ac:dyDescent="0.25">
      <c r="A26" t="s">
        <v>53</v>
      </c>
      <c r="B26" t="s">
        <v>7313</v>
      </c>
    </row>
    <row r="27" spans="1:2" x14ac:dyDescent="0.25">
      <c r="A27" t="s">
        <v>54</v>
      </c>
      <c r="B27" t="s">
        <v>7314</v>
      </c>
    </row>
    <row r="28" spans="1:2" x14ac:dyDescent="0.25">
      <c r="A28" t="s">
        <v>55</v>
      </c>
      <c r="B28" t="s">
        <v>7315</v>
      </c>
    </row>
    <row r="29" spans="1:2" x14ac:dyDescent="0.25">
      <c r="A29" t="s">
        <v>56</v>
      </c>
      <c r="B29" t="s">
        <v>7316</v>
      </c>
    </row>
    <row r="30" spans="1:2" x14ac:dyDescent="0.25">
      <c r="A30" t="s">
        <v>57</v>
      </c>
      <c r="B30" t="s">
        <v>7317</v>
      </c>
    </row>
    <row r="31" spans="1:2" x14ac:dyDescent="0.25">
      <c r="A31" t="s">
        <v>58</v>
      </c>
      <c r="B31" t="s">
        <v>7318</v>
      </c>
    </row>
    <row r="32" spans="1:2" x14ac:dyDescent="0.25">
      <c r="A32" t="s">
        <v>59</v>
      </c>
      <c r="B32" t="s">
        <v>7319</v>
      </c>
    </row>
    <row r="33" spans="1:2" x14ac:dyDescent="0.25">
      <c r="A33" t="s">
        <v>60</v>
      </c>
      <c r="B33" t="s">
        <v>7320</v>
      </c>
    </row>
    <row r="34" spans="1:2" x14ac:dyDescent="0.25">
      <c r="A34" t="s">
        <v>61</v>
      </c>
      <c r="B34" t="s">
        <v>7321</v>
      </c>
    </row>
    <row r="35" spans="1:2" x14ac:dyDescent="0.25">
      <c r="A35" t="s">
        <v>62</v>
      </c>
      <c r="B35" t="s">
        <v>7322</v>
      </c>
    </row>
    <row r="36" spans="1:2" x14ac:dyDescent="0.25">
      <c r="A36" t="s">
        <v>63</v>
      </c>
      <c r="B36" t="s">
        <v>7323</v>
      </c>
    </row>
    <row r="37" spans="1:2" x14ac:dyDescent="0.25">
      <c r="A37" t="s">
        <v>64</v>
      </c>
      <c r="B37" t="s">
        <v>7324</v>
      </c>
    </row>
    <row r="38" spans="1:2" x14ac:dyDescent="0.25">
      <c r="A38" t="s">
        <v>65</v>
      </c>
      <c r="B38" t="s">
        <v>7325</v>
      </c>
    </row>
    <row r="39" spans="1:2" x14ac:dyDescent="0.25">
      <c r="A39" t="s">
        <v>66</v>
      </c>
      <c r="B39" t="s">
        <v>7326</v>
      </c>
    </row>
    <row r="40" spans="1:2" x14ac:dyDescent="0.25">
      <c r="A40" t="s">
        <v>67</v>
      </c>
      <c r="B40" t="s">
        <v>7327</v>
      </c>
    </row>
    <row r="41" spans="1:2" x14ac:dyDescent="0.25">
      <c r="A41" t="s">
        <v>68</v>
      </c>
      <c r="B41" t="s">
        <v>7328</v>
      </c>
    </row>
    <row r="42" spans="1:2" x14ac:dyDescent="0.25">
      <c r="A42" t="s">
        <v>69</v>
      </c>
      <c r="B42" t="s">
        <v>7329</v>
      </c>
    </row>
    <row r="43" spans="1:2" x14ac:dyDescent="0.25">
      <c r="A43" t="s">
        <v>70</v>
      </c>
      <c r="B43" t="s">
        <v>7330</v>
      </c>
    </row>
    <row r="44" spans="1:2" x14ac:dyDescent="0.25">
      <c r="A44" t="s">
        <v>71</v>
      </c>
      <c r="B44" t="s">
        <v>7331</v>
      </c>
    </row>
    <row r="45" spans="1:2" x14ac:dyDescent="0.25">
      <c r="A45" t="s">
        <v>72</v>
      </c>
      <c r="B45" t="s">
        <v>7332</v>
      </c>
    </row>
    <row r="46" spans="1:2" x14ac:dyDescent="0.25">
      <c r="A46" t="s">
        <v>73</v>
      </c>
      <c r="B46" t="s">
        <v>7333</v>
      </c>
    </row>
    <row r="47" spans="1:2" x14ac:dyDescent="0.25">
      <c r="A47" t="s">
        <v>74</v>
      </c>
      <c r="B47" t="s">
        <v>7334</v>
      </c>
    </row>
    <row r="48" spans="1:2" x14ac:dyDescent="0.25">
      <c r="A48" t="s">
        <v>75</v>
      </c>
      <c r="B48" t="s">
        <v>7335</v>
      </c>
    </row>
    <row r="49" spans="1:2" x14ac:dyDescent="0.25">
      <c r="A49" t="s">
        <v>76</v>
      </c>
      <c r="B49" t="s">
        <v>7336</v>
      </c>
    </row>
    <row r="50" spans="1:2" x14ac:dyDescent="0.25">
      <c r="A50" t="s">
        <v>77</v>
      </c>
      <c r="B50" t="s">
        <v>7337</v>
      </c>
    </row>
    <row r="51" spans="1:2" x14ac:dyDescent="0.25">
      <c r="A51" t="s">
        <v>78</v>
      </c>
      <c r="B51" t="s">
        <v>7338</v>
      </c>
    </row>
    <row r="52" spans="1:2" x14ac:dyDescent="0.25">
      <c r="A52" t="s">
        <v>79</v>
      </c>
      <c r="B52" t="s">
        <v>7339</v>
      </c>
    </row>
    <row r="53" spans="1:2" x14ac:dyDescent="0.25">
      <c r="A53" t="s">
        <v>80</v>
      </c>
      <c r="B53" t="s">
        <v>7340</v>
      </c>
    </row>
    <row r="54" spans="1:2" x14ac:dyDescent="0.25">
      <c r="A54" t="s">
        <v>81</v>
      </c>
      <c r="B54" t="s">
        <v>7341</v>
      </c>
    </row>
    <row r="55" spans="1:2" x14ac:dyDescent="0.25">
      <c r="A55" t="s">
        <v>82</v>
      </c>
      <c r="B55" t="s">
        <v>7342</v>
      </c>
    </row>
    <row r="56" spans="1:2" x14ac:dyDescent="0.25">
      <c r="A56" t="s">
        <v>83</v>
      </c>
      <c r="B56" t="s">
        <v>7343</v>
      </c>
    </row>
    <row r="57" spans="1:2" x14ac:dyDescent="0.25">
      <c r="A57" t="s">
        <v>84</v>
      </c>
      <c r="B57" t="s">
        <v>7344</v>
      </c>
    </row>
    <row r="58" spans="1:2" x14ac:dyDescent="0.25">
      <c r="A58" t="s">
        <v>85</v>
      </c>
      <c r="B58" t="s">
        <v>7345</v>
      </c>
    </row>
    <row r="59" spans="1:2" x14ac:dyDescent="0.25">
      <c r="A59" t="s">
        <v>86</v>
      </c>
      <c r="B59" t="s">
        <v>7346</v>
      </c>
    </row>
    <row r="60" spans="1:2" x14ac:dyDescent="0.25">
      <c r="A60" t="s">
        <v>87</v>
      </c>
      <c r="B60" t="s">
        <v>7347</v>
      </c>
    </row>
    <row r="61" spans="1:2" x14ac:dyDescent="0.25">
      <c r="A61" t="s">
        <v>88</v>
      </c>
      <c r="B61" t="s">
        <v>7348</v>
      </c>
    </row>
    <row r="62" spans="1:2" x14ac:dyDescent="0.25">
      <c r="A62" t="s">
        <v>89</v>
      </c>
      <c r="B62" t="s">
        <v>7349</v>
      </c>
    </row>
    <row r="63" spans="1:2" x14ac:dyDescent="0.25">
      <c r="A63" t="s">
        <v>90</v>
      </c>
      <c r="B63" t="s">
        <v>7350</v>
      </c>
    </row>
    <row r="64" spans="1:2" x14ac:dyDescent="0.25">
      <c r="A64" t="s">
        <v>91</v>
      </c>
      <c r="B64" t="s">
        <v>7351</v>
      </c>
    </row>
    <row r="65" spans="1:2" x14ac:dyDescent="0.25">
      <c r="A65" t="s">
        <v>92</v>
      </c>
      <c r="B65" t="s">
        <v>7352</v>
      </c>
    </row>
    <row r="66" spans="1:2" x14ac:dyDescent="0.25">
      <c r="A66" t="s">
        <v>93</v>
      </c>
      <c r="B66" t="s">
        <v>7353</v>
      </c>
    </row>
    <row r="67" spans="1:2" x14ac:dyDescent="0.25">
      <c r="A67" t="s">
        <v>94</v>
      </c>
      <c r="B67" t="s">
        <v>7354</v>
      </c>
    </row>
    <row r="68" spans="1:2" x14ac:dyDescent="0.25">
      <c r="A68" t="s">
        <v>95</v>
      </c>
      <c r="B68" t="s">
        <v>7355</v>
      </c>
    </row>
    <row r="69" spans="1:2" x14ac:dyDescent="0.25">
      <c r="A69" t="s">
        <v>96</v>
      </c>
      <c r="B69" t="s">
        <v>7356</v>
      </c>
    </row>
    <row r="70" spans="1:2" x14ac:dyDescent="0.25">
      <c r="A70" t="s">
        <v>97</v>
      </c>
      <c r="B70" t="s">
        <v>7357</v>
      </c>
    </row>
    <row r="71" spans="1:2" x14ac:dyDescent="0.25">
      <c r="A71" t="s">
        <v>98</v>
      </c>
      <c r="B71" t="s">
        <v>7358</v>
      </c>
    </row>
    <row r="72" spans="1:2" x14ac:dyDescent="0.25">
      <c r="A72" t="s">
        <v>99</v>
      </c>
      <c r="B72" t="s">
        <v>7359</v>
      </c>
    </row>
    <row r="73" spans="1:2" x14ac:dyDescent="0.25">
      <c r="A73" t="s">
        <v>100</v>
      </c>
      <c r="B73" t="s">
        <v>7360</v>
      </c>
    </row>
    <row r="74" spans="1:2" x14ac:dyDescent="0.25">
      <c r="A74" t="s">
        <v>101</v>
      </c>
      <c r="B74" t="s">
        <v>7361</v>
      </c>
    </row>
    <row r="75" spans="1:2" x14ac:dyDescent="0.25">
      <c r="A75" t="s">
        <v>102</v>
      </c>
      <c r="B75" t="s">
        <v>7362</v>
      </c>
    </row>
    <row r="76" spans="1:2" x14ac:dyDescent="0.25">
      <c r="A76" t="s">
        <v>103</v>
      </c>
      <c r="B76" t="s">
        <v>7363</v>
      </c>
    </row>
    <row r="77" spans="1:2" x14ac:dyDescent="0.25">
      <c r="A77" t="s">
        <v>104</v>
      </c>
      <c r="B77" t="s">
        <v>7364</v>
      </c>
    </row>
    <row r="78" spans="1:2" x14ac:dyDescent="0.25">
      <c r="A78" t="s">
        <v>105</v>
      </c>
      <c r="B78" t="s">
        <v>7365</v>
      </c>
    </row>
    <row r="79" spans="1:2" x14ac:dyDescent="0.25">
      <c r="A79" t="s">
        <v>106</v>
      </c>
      <c r="B79" t="s">
        <v>7366</v>
      </c>
    </row>
    <row r="80" spans="1:2" x14ac:dyDescent="0.25">
      <c r="A80" t="s">
        <v>107</v>
      </c>
      <c r="B80" t="s">
        <v>7367</v>
      </c>
    </row>
    <row r="81" spans="1:2" x14ac:dyDescent="0.25">
      <c r="A81" t="s">
        <v>108</v>
      </c>
      <c r="B81" t="s">
        <v>7368</v>
      </c>
    </row>
    <row r="82" spans="1:2" x14ac:dyDescent="0.25">
      <c r="A82" t="s">
        <v>109</v>
      </c>
      <c r="B82" t="s">
        <v>7369</v>
      </c>
    </row>
    <row r="83" spans="1:2" x14ac:dyDescent="0.25">
      <c r="A83" t="s">
        <v>110</v>
      </c>
      <c r="B83" t="s">
        <v>7370</v>
      </c>
    </row>
    <row r="84" spans="1:2" x14ac:dyDescent="0.25">
      <c r="A84" t="s">
        <v>111</v>
      </c>
      <c r="B84" t="s">
        <v>7371</v>
      </c>
    </row>
    <row r="85" spans="1:2" x14ac:dyDescent="0.25">
      <c r="A85" t="s">
        <v>112</v>
      </c>
      <c r="B85" t="s">
        <v>7372</v>
      </c>
    </row>
    <row r="86" spans="1:2" x14ac:dyDescent="0.25">
      <c r="A86" t="s">
        <v>113</v>
      </c>
      <c r="B86" t="s">
        <v>7373</v>
      </c>
    </row>
    <row r="87" spans="1:2" x14ac:dyDescent="0.25">
      <c r="A87" t="s">
        <v>114</v>
      </c>
      <c r="B87" t="s">
        <v>7374</v>
      </c>
    </row>
    <row r="88" spans="1:2" x14ac:dyDescent="0.25">
      <c r="A88" t="s">
        <v>115</v>
      </c>
      <c r="B88" t="s">
        <v>7375</v>
      </c>
    </row>
    <row r="89" spans="1:2" x14ac:dyDescent="0.25">
      <c r="A89" t="s">
        <v>116</v>
      </c>
      <c r="B89" t="s">
        <v>7376</v>
      </c>
    </row>
    <row r="90" spans="1:2" x14ac:dyDescent="0.25">
      <c r="A90" t="s">
        <v>117</v>
      </c>
      <c r="B90" t="s">
        <v>7377</v>
      </c>
    </row>
    <row r="91" spans="1:2" x14ac:dyDescent="0.25">
      <c r="A91" t="s">
        <v>118</v>
      </c>
      <c r="B91" t="s">
        <v>7378</v>
      </c>
    </row>
    <row r="92" spans="1:2" x14ac:dyDescent="0.25">
      <c r="A92" t="s">
        <v>119</v>
      </c>
      <c r="B92" t="s">
        <v>7379</v>
      </c>
    </row>
    <row r="93" spans="1:2" x14ac:dyDescent="0.25">
      <c r="A93" t="s">
        <v>120</v>
      </c>
      <c r="B93" t="s">
        <v>7380</v>
      </c>
    </row>
    <row r="94" spans="1:2" x14ac:dyDescent="0.25">
      <c r="A94" t="s">
        <v>121</v>
      </c>
      <c r="B94" t="s">
        <v>7381</v>
      </c>
    </row>
    <row r="95" spans="1:2" x14ac:dyDescent="0.25">
      <c r="A95" t="s">
        <v>122</v>
      </c>
      <c r="B95" t="s">
        <v>7382</v>
      </c>
    </row>
    <row r="96" spans="1:2" x14ac:dyDescent="0.25">
      <c r="A96" t="s">
        <v>123</v>
      </c>
      <c r="B96" t="s">
        <v>7383</v>
      </c>
    </row>
    <row r="97" spans="1:2" x14ac:dyDescent="0.25">
      <c r="A97" t="s">
        <v>124</v>
      </c>
      <c r="B97" t="s">
        <v>7384</v>
      </c>
    </row>
    <row r="98" spans="1:2" x14ac:dyDescent="0.25">
      <c r="A98" t="s">
        <v>125</v>
      </c>
      <c r="B98" t="s">
        <v>7385</v>
      </c>
    </row>
    <row r="99" spans="1:2" x14ac:dyDescent="0.25">
      <c r="A99" t="s">
        <v>126</v>
      </c>
      <c r="B99" t="s">
        <v>7386</v>
      </c>
    </row>
    <row r="100" spans="1:2" x14ac:dyDescent="0.25">
      <c r="A100" t="s">
        <v>127</v>
      </c>
      <c r="B100" t="s">
        <v>7387</v>
      </c>
    </row>
    <row r="101" spans="1:2" x14ac:dyDescent="0.25">
      <c r="A101" t="s">
        <v>128</v>
      </c>
      <c r="B101" t="s">
        <v>7388</v>
      </c>
    </row>
    <row r="102" spans="1:2" x14ac:dyDescent="0.25">
      <c r="A102" t="s">
        <v>129</v>
      </c>
      <c r="B102" t="s">
        <v>7389</v>
      </c>
    </row>
    <row r="103" spans="1:2" x14ac:dyDescent="0.25">
      <c r="A103" t="s">
        <v>130</v>
      </c>
      <c r="B103" t="s">
        <v>7390</v>
      </c>
    </row>
    <row r="104" spans="1:2" x14ac:dyDescent="0.25">
      <c r="A104" t="s">
        <v>131</v>
      </c>
      <c r="B104" t="s">
        <v>7391</v>
      </c>
    </row>
    <row r="105" spans="1:2" x14ac:dyDescent="0.25">
      <c r="A105" t="s">
        <v>132</v>
      </c>
      <c r="B105" t="s">
        <v>7392</v>
      </c>
    </row>
    <row r="106" spans="1:2" x14ac:dyDescent="0.25">
      <c r="A106" t="s">
        <v>133</v>
      </c>
      <c r="B106" t="s">
        <v>7393</v>
      </c>
    </row>
    <row r="107" spans="1:2" x14ac:dyDescent="0.25">
      <c r="A107" t="s">
        <v>134</v>
      </c>
      <c r="B107" t="s">
        <v>7394</v>
      </c>
    </row>
    <row r="108" spans="1:2" x14ac:dyDescent="0.25">
      <c r="A108" t="s">
        <v>135</v>
      </c>
      <c r="B108" t="s">
        <v>7395</v>
      </c>
    </row>
    <row r="109" spans="1:2" x14ac:dyDescent="0.25">
      <c r="A109" t="s">
        <v>136</v>
      </c>
      <c r="B109" t="s">
        <v>7396</v>
      </c>
    </row>
    <row r="110" spans="1:2" x14ac:dyDescent="0.25">
      <c r="A110" t="s">
        <v>137</v>
      </c>
      <c r="B110" t="s">
        <v>7397</v>
      </c>
    </row>
    <row r="111" spans="1:2" x14ac:dyDescent="0.25">
      <c r="A111" t="s">
        <v>138</v>
      </c>
      <c r="B111" t="s">
        <v>7398</v>
      </c>
    </row>
    <row r="112" spans="1:2" x14ac:dyDescent="0.25">
      <c r="A112" t="s">
        <v>139</v>
      </c>
      <c r="B112" t="s">
        <v>7399</v>
      </c>
    </row>
    <row r="113" spans="1:2" x14ac:dyDescent="0.25">
      <c r="A113" t="s">
        <v>140</v>
      </c>
      <c r="B113" t="s">
        <v>7400</v>
      </c>
    </row>
    <row r="114" spans="1:2" x14ac:dyDescent="0.25">
      <c r="A114" t="s">
        <v>141</v>
      </c>
      <c r="B114" t="s">
        <v>7401</v>
      </c>
    </row>
    <row r="115" spans="1:2" x14ac:dyDescent="0.25">
      <c r="A115" t="s">
        <v>142</v>
      </c>
      <c r="B115" t="s">
        <v>7402</v>
      </c>
    </row>
    <row r="116" spans="1:2" x14ac:dyDescent="0.25">
      <c r="A116" t="s">
        <v>143</v>
      </c>
      <c r="B116" t="s">
        <v>7403</v>
      </c>
    </row>
    <row r="117" spans="1:2" x14ac:dyDescent="0.25">
      <c r="A117" t="s">
        <v>144</v>
      </c>
      <c r="B117" t="s">
        <v>7404</v>
      </c>
    </row>
    <row r="118" spans="1:2" x14ac:dyDescent="0.25">
      <c r="A118" t="s">
        <v>145</v>
      </c>
      <c r="B118" t="s">
        <v>7405</v>
      </c>
    </row>
    <row r="119" spans="1:2" x14ac:dyDescent="0.25">
      <c r="A119" t="s">
        <v>146</v>
      </c>
      <c r="B119" t="s">
        <v>7406</v>
      </c>
    </row>
    <row r="120" spans="1:2" x14ac:dyDescent="0.25">
      <c r="A120" t="s">
        <v>147</v>
      </c>
      <c r="B120" t="s">
        <v>7407</v>
      </c>
    </row>
    <row r="121" spans="1:2" x14ac:dyDescent="0.25">
      <c r="A121" t="s">
        <v>148</v>
      </c>
      <c r="B121" t="s">
        <v>7408</v>
      </c>
    </row>
    <row r="122" spans="1:2" x14ac:dyDescent="0.25">
      <c r="A122" t="s">
        <v>149</v>
      </c>
      <c r="B122" t="s">
        <v>7409</v>
      </c>
    </row>
    <row r="123" spans="1:2" x14ac:dyDescent="0.25">
      <c r="A123" t="s">
        <v>150</v>
      </c>
      <c r="B123" t="s">
        <v>7410</v>
      </c>
    </row>
    <row r="124" spans="1:2" x14ac:dyDescent="0.25">
      <c r="A124" t="s">
        <v>151</v>
      </c>
      <c r="B124" t="s">
        <v>7411</v>
      </c>
    </row>
    <row r="125" spans="1:2" x14ac:dyDescent="0.25">
      <c r="A125" t="s">
        <v>152</v>
      </c>
      <c r="B125" t="s">
        <v>7412</v>
      </c>
    </row>
    <row r="126" spans="1:2" x14ac:dyDescent="0.25">
      <c r="A126" t="s">
        <v>153</v>
      </c>
      <c r="B126" t="s">
        <v>7413</v>
      </c>
    </row>
    <row r="127" spans="1:2" x14ac:dyDescent="0.25">
      <c r="A127" t="s">
        <v>154</v>
      </c>
      <c r="B127" t="s">
        <v>7414</v>
      </c>
    </row>
    <row r="128" spans="1:2" x14ac:dyDescent="0.25">
      <c r="A128" t="s">
        <v>155</v>
      </c>
      <c r="B128" t="s">
        <v>7415</v>
      </c>
    </row>
    <row r="129" spans="1:2" x14ac:dyDescent="0.25">
      <c r="A129" t="s">
        <v>156</v>
      </c>
      <c r="B129" t="s">
        <v>7416</v>
      </c>
    </row>
    <row r="130" spans="1:2" x14ac:dyDescent="0.25">
      <c r="A130" t="s">
        <v>157</v>
      </c>
      <c r="B130" t="s">
        <v>7417</v>
      </c>
    </row>
    <row r="131" spans="1:2" x14ac:dyDescent="0.25">
      <c r="A131" t="s">
        <v>158</v>
      </c>
      <c r="B131" t="s">
        <v>7418</v>
      </c>
    </row>
    <row r="132" spans="1:2" x14ac:dyDescent="0.25">
      <c r="A132" t="s">
        <v>159</v>
      </c>
      <c r="B132" t="s">
        <v>7419</v>
      </c>
    </row>
    <row r="133" spans="1:2" x14ac:dyDescent="0.25">
      <c r="A133" t="s">
        <v>160</v>
      </c>
      <c r="B133" t="s">
        <v>7420</v>
      </c>
    </row>
    <row r="134" spans="1:2" x14ac:dyDescent="0.25">
      <c r="A134" t="s">
        <v>161</v>
      </c>
      <c r="B134" t="s">
        <v>7421</v>
      </c>
    </row>
    <row r="135" spans="1:2" x14ac:dyDescent="0.25">
      <c r="A135" t="s">
        <v>162</v>
      </c>
      <c r="B135" t="s">
        <v>7422</v>
      </c>
    </row>
    <row r="136" spans="1:2" x14ac:dyDescent="0.25">
      <c r="A136" t="s">
        <v>163</v>
      </c>
      <c r="B136" t="s">
        <v>7423</v>
      </c>
    </row>
    <row r="137" spans="1:2" x14ac:dyDescent="0.25">
      <c r="A137" t="s">
        <v>164</v>
      </c>
      <c r="B137" t="s">
        <v>7424</v>
      </c>
    </row>
    <row r="138" spans="1:2" x14ac:dyDescent="0.25">
      <c r="A138" t="s">
        <v>165</v>
      </c>
      <c r="B138" t="s">
        <v>7425</v>
      </c>
    </row>
    <row r="139" spans="1:2" x14ac:dyDescent="0.25">
      <c r="A139" t="s">
        <v>166</v>
      </c>
      <c r="B139" t="s">
        <v>7426</v>
      </c>
    </row>
    <row r="140" spans="1:2" x14ac:dyDescent="0.25">
      <c r="A140" t="s">
        <v>167</v>
      </c>
      <c r="B140" t="s">
        <v>7427</v>
      </c>
    </row>
    <row r="141" spans="1:2" x14ac:dyDescent="0.25">
      <c r="A141" t="s">
        <v>168</v>
      </c>
      <c r="B141" t="s">
        <v>7428</v>
      </c>
    </row>
    <row r="142" spans="1:2" x14ac:dyDescent="0.25">
      <c r="A142" t="s">
        <v>169</v>
      </c>
      <c r="B142" t="s">
        <v>7429</v>
      </c>
    </row>
    <row r="143" spans="1:2" x14ac:dyDescent="0.25">
      <c r="A143" t="s">
        <v>170</v>
      </c>
      <c r="B143" t="s">
        <v>7430</v>
      </c>
    </row>
    <row r="144" spans="1:2" x14ac:dyDescent="0.25">
      <c r="A144" t="s">
        <v>171</v>
      </c>
      <c r="B144" t="s">
        <v>7431</v>
      </c>
    </row>
    <row r="145" spans="1:2" x14ac:dyDescent="0.25">
      <c r="A145" t="s">
        <v>172</v>
      </c>
      <c r="B145" t="s">
        <v>7432</v>
      </c>
    </row>
    <row r="146" spans="1:2" x14ac:dyDescent="0.25">
      <c r="A146" t="s">
        <v>173</v>
      </c>
      <c r="B146" t="s">
        <v>7433</v>
      </c>
    </row>
    <row r="147" spans="1:2" x14ac:dyDescent="0.25">
      <c r="A147" t="s">
        <v>174</v>
      </c>
      <c r="B147" t="s">
        <v>7434</v>
      </c>
    </row>
    <row r="148" spans="1:2" x14ac:dyDescent="0.25">
      <c r="A148" t="s">
        <v>175</v>
      </c>
      <c r="B148" t="s">
        <v>7435</v>
      </c>
    </row>
    <row r="149" spans="1:2" x14ac:dyDescent="0.25">
      <c r="A149" t="s">
        <v>176</v>
      </c>
      <c r="B149" t="s">
        <v>7436</v>
      </c>
    </row>
    <row r="150" spans="1:2" x14ac:dyDescent="0.25">
      <c r="A150" t="s">
        <v>177</v>
      </c>
      <c r="B150" t="s">
        <v>7437</v>
      </c>
    </row>
    <row r="151" spans="1:2" x14ac:dyDescent="0.25">
      <c r="A151" t="s">
        <v>178</v>
      </c>
      <c r="B151" t="s">
        <v>7438</v>
      </c>
    </row>
    <row r="152" spans="1:2" x14ac:dyDescent="0.25">
      <c r="A152" t="s">
        <v>179</v>
      </c>
      <c r="B152" t="s">
        <v>7439</v>
      </c>
    </row>
    <row r="153" spans="1:2" x14ac:dyDescent="0.25">
      <c r="A153" t="s">
        <v>180</v>
      </c>
      <c r="B153" t="s">
        <v>7440</v>
      </c>
    </row>
    <row r="154" spans="1:2" x14ac:dyDescent="0.25">
      <c r="A154" t="s">
        <v>181</v>
      </c>
      <c r="B154" t="s">
        <v>7441</v>
      </c>
    </row>
    <row r="155" spans="1:2" x14ac:dyDescent="0.25">
      <c r="A155" t="s">
        <v>182</v>
      </c>
      <c r="B155" t="s">
        <v>7442</v>
      </c>
    </row>
    <row r="156" spans="1:2" x14ac:dyDescent="0.25">
      <c r="A156" t="s">
        <v>183</v>
      </c>
      <c r="B156" t="s">
        <v>7443</v>
      </c>
    </row>
    <row r="157" spans="1:2" x14ac:dyDescent="0.25">
      <c r="A157" t="s">
        <v>184</v>
      </c>
      <c r="B157" t="s">
        <v>7444</v>
      </c>
    </row>
    <row r="158" spans="1:2" x14ac:dyDescent="0.25">
      <c r="A158" t="s">
        <v>185</v>
      </c>
      <c r="B158" t="s">
        <v>7445</v>
      </c>
    </row>
    <row r="159" spans="1:2" x14ac:dyDescent="0.25">
      <c r="A159" t="s">
        <v>186</v>
      </c>
      <c r="B159" t="s">
        <v>7446</v>
      </c>
    </row>
    <row r="160" spans="1:2" x14ac:dyDescent="0.25">
      <c r="A160" t="s">
        <v>187</v>
      </c>
      <c r="B160" t="s">
        <v>7447</v>
      </c>
    </row>
    <row r="161" spans="1:2" x14ac:dyDescent="0.25">
      <c r="A161" t="s">
        <v>188</v>
      </c>
      <c r="B161" t="s">
        <v>7448</v>
      </c>
    </row>
    <row r="162" spans="1:2" x14ac:dyDescent="0.25">
      <c r="A162" t="s">
        <v>189</v>
      </c>
      <c r="B162" t="s">
        <v>7449</v>
      </c>
    </row>
    <row r="163" spans="1:2" x14ac:dyDescent="0.25">
      <c r="A163" t="s">
        <v>190</v>
      </c>
      <c r="B163" t="s">
        <v>7450</v>
      </c>
    </row>
    <row r="164" spans="1:2" x14ac:dyDescent="0.25">
      <c r="A164" t="s">
        <v>191</v>
      </c>
      <c r="B164" t="s">
        <v>7451</v>
      </c>
    </row>
    <row r="165" spans="1:2" x14ac:dyDescent="0.25">
      <c r="A165" t="s">
        <v>192</v>
      </c>
      <c r="B165" t="s">
        <v>7452</v>
      </c>
    </row>
    <row r="166" spans="1:2" x14ac:dyDescent="0.25">
      <c r="A166" t="s">
        <v>193</v>
      </c>
      <c r="B166" t="s">
        <v>7453</v>
      </c>
    </row>
    <row r="167" spans="1:2" x14ac:dyDescent="0.25">
      <c r="A167" t="s">
        <v>194</v>
      </c>
      <c r="B167" t="s">
        <v>7454</v>
      </c>
    </row>
    <row r="168" spans="1:2" x14ac:dyDescent="0.25">
      <c r="A168" t="s">
        <v>195</v>
      </c>
      <c r="B168" t="s">
        <v>7455</v>
      </c>
    </row>
    <row r="169" spans="1:2" x14ac:dyDescent="0.25">
      <c r="A169" t="s">
        <v>196</v>
      </c>
      <c r="B169" t="s">
        <v>7456</v>
      </c>
    </row>
    <row r="170" spans="1:2" x14ac:dyDescent="0.25">
      <c r="A170" t="s">
        <v>197</v>
      </c>
      <c r="B170" t="s">
        <v>7457</v>
      </c>
    </row>
    <row r="171" spans="1:2" x14ac:dyDescent="0.25">
      <c r="A171" t="s">
        <v>198</v>
      </c>
      <c r="B171" t="s">
        <v>7458</v>
      </c>
    </row>
    <row r="172" spans="1:2" x14ac:dyDescent="0.25">
      <c r="A172" t="s">
        <v>199</v>
      </c>
      <c r="B172" t="s">
        <v>7459</v>
      </c>
    </row>
    <row r="173" spans="1:2" x14ac:dyDescent="0.25">
      <c r="A173" t="s">
        <v>200</v>
      </c>
      <c r="B173" t="s">
        <v>7460</v>
      </c>
    </row>
    <row r="174" spans="1:2" x14ac:dyDescent="0.25">
      <c r="A174" t="s">
        <v>201</v>
      </c>
      <c r="B174" t="s">
        <v>7461</v>
      </c>
    </row>
    <row r="175" spans="1:2" x14ac:dyDescent="0.25">
      <c r="A175" t="s">
        <v>202</v>
      </c>
      <c r="B175" t="s">
        <v>7462</v>
      </c>
    </row>
    <row r="176" spans="1:2" x14ac:dyDescent="0.25">
      <c r="A176" t="s">
        <v>203</v>
      </c>
      <c r="B176" t="s">
        <v>7463</v>
      </c>
    </row>
    <row r="177" spans="1:2" x14ac:dyDescent="0.25">
      <c r="A177" t="s">
        <v>204</v>
      </c>
      <c r="B177" t="s">
        <v>7464</v>
      </c>
    </row>
    <row r="178" spans="1:2" x14ac:dyDescent="0.25">
      <c r="A178" t="s">
        <v>205</v>
      </c>
      <c r="B178" t="s">
        <v>7465</v>
      </c>
    </row>
    <row r="179" spans="1:2" x14ac:dyDescent="0.25">
      <c r="A179" t="s">
        <v>206</v>
      </c>
      <c r="B179" t="s">
        <v>7466</v>
      </c>
    </row>
    <row r="180" spans="1:2" x14ac:dyDescent="0.25">
      <c r="A180" t="s">
        <v>207</v>
      </c>
      <c r="B180" t="s">
        <v>7467</v>
      </c>
    </row>
    <row r="181" spans="1:2" x14ac:dyDescent="0.25">
      <c r="A181" t="s">
        <v>208</v>
      </c>
      <c r="B181" t="s">
        <v>7468</v>
      </c>
    </row>
    <row r="182" spans="1:2" x14ac:dyDescent="0.25">
      <c r="A182" t="s">
        <v>209</v>
      </c>
      <c r="B182" t="s">
        <v>7469</v>
      </c>
    </row>
    <row r="183" spans="1:2" x14ac:dyDescent="0.25">
      <c r="A183" t="s">
        <v>210</v>
      </c>
      <c r="B183" t="s">
        <v>7470</v>
      </c>
    </row>
    <row r="184" spans="1:2" x14ac:dyDescent="0.25">
      <c r="A184" t="s">
        <v>211</v>
      </c>
      <c r="B184" t="s">
        <v>7471</v>
      </c>
    </row>
    <row r="185" spans="1:2" x14ac:dyDescent="0.25">
      <c r="A185" t="s">
        <v>212</v>
      </c>
      <c r="B185" t="s">
        <v>7472</v>
      </c>
    </row>
    <row r="186" spans="1:2" x14ac:dyDescent="0.25">
      <c r="A186" t="s">
        <v>213</v>
      </c>
      <c r="B186" t="s">
        <v>7473</v>
      </c>
    </row>
    <row r="187" spans="1:2" x14ac:dyDescent="0.25">
      <c r="A187" t="s">
        <v>214</v>
      </c>
      <c r="B187" t="s">
        <v>7474</v>
      </c>
    </row>
    <row r="188" spans="1:2" x14ac:dyDescent="0.25">
      <c r="A188" t="s">
        <v>215</v>
      </c>
      <c r="B188" t="s">
        <v>7475</v>
      </c>
    </row>
    <row r="189" spans="1:2" x14ac:dyDescent="0.25">
      <c r="A189" t="s">
        <v>216</v>
      </c>
      <c r="B189" t="s">
        <v>7476</v>
      </c>
    </row>
    <row r="190" spans="1:2" x14ac:dyDescent="0.25">
      <c r="A190" t="s">
        <v>217</v>
      </c>
      <c r="B190" t="s">
        <v>7477</v>
      </c>
    </row>
    <row r="191" spans="1:2" x14ac:dyDescent="0.25">
      <c r="A191" t="s">
        <v>218</v>
      </c>
      <c r="B191" t="s">
        <v>7478</v>
      </c>
    </row>
    <row r="192" spans="1:2" x14ac:dyDescent="0.25">
      <c r="A192" t="s">
        <v>219</v>
      </c>
      <c r="B192" t="s">
        <v>7479</v>
      </c>
    </row>
    <row r="193" spans="1:2" x14ac:dyDescent="0.25">
      <c r="A193" t="s">
        <v>220</v>
      </c>
      <c r="B193" t="s">
        <v>7480</v>
      </c>
    </row>
    <row r="194" spans="1:2" x14ac:dyDescent="0.25">
      <c r="A194" t="s">
        <v>221</v>
      </c>
      <c r="B194" t="s">
        <v>7481</v>
      </c>
    </row>
    <row r="195" spans="1:2" x14ac:dyDescent="0.25">
      <c r="A195" t="s">
        <v>222</v>
      </c>
      <c r="B195" t="s">
        <v>7482</v>
      </c>
    </row>
    <row r="196" spans="1:2" x14ac:dyDescent="0.25">
      <c r="A196" t="s">
        <v>223</v>
      </c>
      <c r="B196" t="s">
        <v>7483</v>
      </c>
    </row>
    <row r="197" spans="1:2" x14ac:dyDescent="0.25">
      <c r="A197" t="s">
        <v>224</v>
      </c>
      <c r="B197" t="s">
        <v>7484</v>
      </c>
    </row>
    <row r="198" spans="1:2" x14ac:dyDescent="0.25">
      <c r="A198" t="s">
        <v>225</v>
      </c>
      <c r="B198" t="s">
        <v>7485</v>
      </c>
    </row>
    <row r="199" spans="1:2" x14ac:dyDescent="0.25">
      <c r="A199" t="s">
        <v>226</v>
      </c>
      <c r="B199" t="s">
        <v>7486</v>
      </c>
    </row>
    <row r="200" spans="1:2" x14ac:dyDescent="0.25">
      <c r="A200" t="s">
        <v>227</v>
      </c>
      <c r="B200" t="s">
        <v>7487</v>
      </c>
    </row>
    <row r="201" spans="1:2" x14ac:dyDescent="0.25">
      <c r="A201" t="s">
        <v>228</v>
      </c>
      <c r="B201" t="s">
        <v>7488</v>
      </c>
    </row>
    <row r="202" spans="1:2" x14ac:dyDescent="0.25">
      <c r="A202" t="s">
        <v>229</v>
      </c>
      <c r="B202" t="s">
        <v>7489</v>
      </c>
    </row>
    <row r="203" spans="1:2" x14ac:dyDescent="0.25">
      <c r="A203" t="s">
        <v>230</v>
      </c>
      <c r="B203" t="s">
        <v>7490</v>
      </c>
    </row>
    <row r="204" spans="1:2" x14ac:dyDescent="0.25">
      <c r="A204" t="s">
        <v>231</v>
      </c>
      <c r="B204" t="s">
        <v>7491</v>
      </c>
    </row>
    <row r="205" spans="1:2" x14ac:dyDescent="0.25">
      <c r="A205" t="s">
        <v>232</v>
      </c>
      <c r="B205" t="s">
        <v>7492</v>
      </c>
    </row>
    <row r="206" spans="1:2" x14ac:dyDescent="0.25">
      <c r="A206" t="s">
        <v>233</v>
      </c>
      <c r="B206" t="s">
        <v>7493</v>
      </c>
    </row>
    <row r="207" spans="1:2" x14ac:dyDescent="0.25">
      <c r="A207" t="s">
        <v>234</v>
      </c>
      <c r="B207" t="s">
        <v>7494</v>
      </c>
    </row>
    <row r="208" spans="1:2" x14ac:dyDescent="0.25">
      <c r="A208" t="s">
        <v>235</v>
      </c>
      <c r="B208" t="s">
        <v>7495</v>
      </c>
    </row>
    <row r="209" spans="1:2" x14ac:dyDescent="0.25">
      <c r="A209" t="s">
        <v>236</v>
      </c>
      <c r="B209" t="s">
        <v>7496</v>
      </c>
    </row>
    <row r="210" spans="1:2" x14ac:dyDescent="0.25">
      <c r="A210" t="s">
        <v>237</v>
      </c>
      <c r="B210" t="s">
        <v>7497</v>
      </c>
    </row>
    <row r="211" spans="1:2" x14ac:dyDescent="0.25">
      <c r="A211" t="s">
        <v>238</v>
      </c>
      <c r="B211" t="s">
        <v>7498</v>
      </c>
    </row>
    <row r="212" spans="1:2" x14ac:dyDescent="0.25">
      <c r="A212" t="s">
        <v>239</v>
      </c>
      <c r="B212" t="s">
        <v>7499</v>
      </c>
    </row>
    <row r="213" spans="1:2" x14ac:dyDescent="0.25">
      <c r="A213" t="s">
        <v>240</v>
      </c>
      <c r="B213" t="s">
        <v>7500</v>
      </c>
    </row>
    <row r="214" spans="1:2" x14ac:dyDescent="0.25">
      <c r="A214" t="s">
        <v>241</v>
      </c>
      <c r="B214" t="s">
        <v>7501</v>
      </c>
    </row>
    <row r="215" spans="1:2" x14ac:dyDescent="0.25">
      <c r="A215" t="s">
        <v>242</v>
      </c>
      <c r="B215" t="s">
        <v>7502</v>
      </c>
    </row>
    <row r="216" spans="1:2" x14ac:dyDescent="0.25">
      <c r="A216" t="s">
        <v>243</v>
      </c>
      <c r="B216" t="s">
        <v>7503</v>
      </c>
    </row>
    <row r="217" spans="1:2" x14ac:dyDescent="0.25">
      <c r="A217" t="s">
        <v>244</v>
      </c>
      <c r="B217" t="s">
        <v>7504</v>
      </c>
    </row>
    <row r="218" spans="1:2" x14ac:dyDescent="0.25">
      <c r="A218" t="s">
        <v>245</v>
      </c>
      <c r="B218" t="s">
        <v>7505</v>
      </c>
    </row>
    <row r="219" spans="1:2" x14ac:dyDescent="0.25">
      <c r="A219" t="s">
        <v>246</v>
      </c>
      <c r="B219" t="s">
        <v>7506</v>
      </c>
    </row>
    <row r="220" spans="1:2" x14ac:dyDescent="0.25">
      <c r="A220" t="s">
        <v>247</v>
      </c>
      <c r="B220" t="s">
        <v>7507</v>
      </c>
    </row>
    <row r="221" spans="1:2" x14ac:dyDescent="0.25">
      <c r="A221" t="s">
        <v>248</v>
      </c>
      <c r="B221" t="s">
        <v>7508</v>
      </c>
    </row>
    <row r="222" spans="1:2" x14ac:dyDescent="0.25">
      <c r="A222" t="s">
        <v>249</v>
      </c>
      <c r="B222" t="s">
        <v>7509</v>
      </c>
    </row>
    <row r="223" spans="1:2" x14ac:dyDescent="0.25">
      <c r="A223" t="s">
        <v>250</v>
      </c>
      <c r="B223" t="s">
        <v>7510</v>
      </c>
    </row>
    <row r="224" spans="1:2" x14ac:dyDescent="0.25">
      <c r="A224" t="s">
        <v>251</v>
      </c>
      <c r="B224" t="s">
        <v>7511</v>
      </c>
    </row>
    <row r="225" spans="1:2" x14ac:dyDescent="0.25">
      <c r="A225" t="s">
        <v>252</v>
      </c>
      <c r="B225" t="s">
        <v>7512</v>
      </c>
    </row>
    <row r="226" spans="1:2" x14ac:dyDescent="0.25">
      <c r="A226" t="s">
        <v>253</v>
      </c>
      <c r="B226" t="s">
        <v>7513</v>
      </c>
    </row>
    <row r="227" spans="1:2" x14ac:dyDescent="0.25">
      <c r="A227" t="s">
        <v>254</v>
      </c>
      <c r="B227" t="s">
        <v>7514</v>
      </c>
    </row>
    <row r="228" spans="1:2" x14ac:dyDescent="0.25">
      <c r="A228" t="s">
        <v>255</v>
      </c>
      <c r="B228" t="s">
        <v>7515</v>
      </c>
    </row>
    <row r="229" spans="1:2" x14ac:dyDescent="0.25">
      <c r="A229" t="s">
        <v>256</v>
      </c>
      <c r="B229" t="s">
        <v>7516</v>
      </c>
    </row>
    <row r="230" spans="1:2" x14ac:dyDescent="0.25">
      <c r="A230" t="s">
        <v>257</v>
      </c>
      <c r="B230" t="s">
        <v>7517</v>
      </c>
    </row>
    <row r="231" spans="1:2" x14ac:dyDescent="0.25">
      <c r="A231" t="s">
        <v>258</v>
      </c>
      <c r="B231" t="s">
        <v>7518</v>
      </c>
    </row>
    <row r="232" spans="1:2" x14ac:dyDescent="0.25">
      <c r="A232" t="s">
        <v>259</v>
      </c>
      <c r="B232" t="s">
        <v>7519</v>
      </c>
    </row>
    <row r="233" spans="1:2" x14ac:dyDescent="0.25">
      <c r="A233" t="s">
        <v>260</v>
      </c>
      <c r="B233" t="s">
        <v>7520</v>
      </c>
    </row>
    <row r="234" spans="1:2" x14ac:dyDescent="0.25">
      <c r="A234" t="s">
        <v>261</v>
      </c>
      <c r="B234" t="s">
        <v>7521</v>
      </c>
    </row>
    <row r="235" spans="1:2" x14ac:dyDescent="0.25">
      <c r="A235" t="s">
        <v>262</v>
      </c>
      <c r="B235" t="s">
        <v>7522</v>
      </c>
    </row>
    <row r="236" spans="1:2" x14ac:dyDescent="0.25">
      <c r="A236" t="s">
        <v>263</v>
      </c>
      <c r="B236" t="s">
        <v>7523</v>
      </c>
    </row>
    <row r="237" spans="1:2" x14ac:dyDescent="0.25">
      <c r="A237" t="s">
        <v>264</v>
      </c>
      <c r="B237" t="s">
        <v>7524</v>
      </c>
    </row>
    <row r="238" spans="1:2" x14ac:dyDescent="0.25">
      <c r="A238" t="s">
        <v>265</v>
      </c>
      <c r="B238" t="s">
        <v>7525</v>
      </c>
    </row>
    <row r="239" spans="1:2" x14ac:dyDescent="0.25">
      <c r="A239" t="s">
        <v>266</v>
      </c>
      <c r="B239" t="s">
        <v>7526</v>
      </c>
    </row>
    <row r="240" spans="1:2" x14ac:dyDescent="0.25">
      <c r="A240" t="s">
        <v>267</v>
      </c>
      <c r="B240" t="s">
        <v>7527</v>
      </c>
    </row>
    <row r="241" spans="1:2" x14ac:dyDescent="0.25">
      <c r="A241" t="s">
        <v>268</v>
      </c>
      <c r="B241" t="s">
        <v>7528</v>
      </c>
    </row>
    <row r="242" spans="1:2" x14ac:dyDescent="0.25">
      <c r="A242" t="s">
        <v>269</v>
      </c>
      <c r="B242" t="s">
        <v>7529</v>
      </c>
    </row>
    <row r="243" spans="1:2" x14ac:dyDescent="0.25">
      <c r="A243" t="s">
        <v>270</v>
      </c>
      <c r="B243" t="s">
        <v>7530</v>
      </c>
    </row>
    <row r="244" spans="1:2" x14ac:dyDescent="0.25">
      <c r="A244" t="s">
        <v>271</v>
      </c>
      <c r="B244" t="s">
        <v>7531</v>
      </c>
    </row>
    <row r="245" spans="1:2" x14ac:dyDescent="0.25">
      <c r="A245" t="s">
        <v>272</v>
      </c>
      <c r="B245" t="s">
        <v>7532</v>
      </c>
    </row>
    <row r="246" spans="1:2" x14ac:dyDescent="0.25">
      <c r="A246" t="s">
        <v>273</v>
      </c>
      <c r="B246" t="s">
        <v>7533</v>
      </c>
    </row>
    <row r="247" spans="1:2" x14ac:dyDescent="0.25">
      <c r="A247" t="s">
        <v>274</v>
      </c>
      <c r="B247" t="s">
        <v>7534</v>
      </c>
    </row>
    <row r="248" spans="1:2" x14ac:dyDescent="0.25">
      <c r="A248" t="s">
        <v>275</v>
      </c>
      <c r="B248" t="s">
        <v>7535</v>
      </c>
    </row>
    <row r="249" spans="1:2" x14ac:dyDescent="0.25">
      <c r="A249" t="s">
        <v>276</v>
      </c>
      <c r="B249" t="s">
        <v>7536</v>
      </c>
    </row>
    <row r="250" spans="1:2" x14ac:dyDescent="0.25">
      <c r="A250" t="s">
        <v>277</v>
      </c>
      <c r="B250" t="s">
        <v>7537</v>
      </c>
    </row>
    <row r="251" spans="1:2" x14ac:dyDescent="0.25">
      <c r="A251" t="s">
        <v>278</v>
      </c>
      <c r="B251" t="s">
        <v>7538</v>
      </c>
    </row>
    <row r="252" spans="1:2" x14ac:dyDescent="0.25">
      <c r="A252" t="s">
        <v>279</v>
      </c>
      <c r="B252" t="s">
        <v>7539</v>
      </c>
    </row>
    <row r="253" spans="1:2" x14ac:dyDescent="0.25">
      <c r="A253" t="s">
        <v>280</v>
      </c>
      <c r="B253" t="s">
        <v>7540</v>
      </c>
    </row>
    <row r="254" spans="1:2" x14ac:dyDescent="0.25">
      <c r="A254" t="s">
        <v>281</v>
      </c>
      <c r="B254" t="s">
        <v>7541</v>
      </c>
    </row>
    <row r="255" spans="1:2" x14ac:dyDescent="0.25">
      <c r="A255" t="s">
        <v>282</v>
      </c>
      <c r="B255" t="s">
        <v>7542</v>
      </c>
    </row>
    <row r="256" spans="1:2" x14ac:dyDescent="0.25">
      <c r="A256" t="s">
        <v>283</v>
      </c>
      <c r="B256" t="s">
        <v>7543</v>
      </c>
    </row>
    <row r="257" spans="1:2" x14ac:dyDescent="0.25">
      <c r="A257" t="s">
        <v>284</v>
      </c>
      <c r="B257" t="s">
        <v>7544</v>
      </c>
    </row>
    <row r="258" spans="1:2" x14ac:dyDescent="0.25">
      <c r="A258" t="s">
        <v>285</v>
      </c>
      <c r="B258" t="s">
        <v>7545</v>
      </c>
    </row>
    <row r="259" spans="1:2" x14ac:dyDescent="0.25">
      <c r="A259" t="s">
        <v>286</v>
      </c>
      <c r="B259" t="s">
        <v>7546</v>
      </c>
    </row>
    <row r="260" spans="1:2" x14ac:dyDescent="0.25">
      <c r="A260" t="s">
        <v>287</v>
      </c>
      <c r="B260" t="s">
        <v>7547</v>
      </c>
    </row>
    <row r="261" spans="1:2" x14ac:dyDescent="0.25">
      <c r="A261" t="s">
        <v>288</v>
      </c>
      <c r="B261" t="s">
        <v>7548</v>
      </c>
    </row>
    <row r="262" spans="1:2" x14ac:dyDescent="0.25">
      <c r="A262" t="s">
        <v>289</v>
      </c>
      <c r="B262" t="s">
        <v>7549</v>
      </c>
    </row>
    <row r="263" spans="1:2" x14ac:dyDescent="0.25">
      <c r="A263" t="s">
        <v>290</v>
      </c>
      <c r="B263" t="s">
        <v>7550</v>
      </c>
    </row>
    <row r="264" spans="1:2" x14ac:dyDescent="0.25">
      <c r="A264" t="s">
        <v>291</v>
      </c>
      <c r="B264" t="s">
        <v>7551</v>
      </c>
    </row>
    <row r="265" spans="1:2" x14ac:dyDescent="0.25">
      <c r="A265" t="s">
        <v>292</v>
      </c>
      <c r="B265" t="s">
        <v>7552</v>
      </c>
    </row>
    <row r="266" spans="1:2" x14ac:dyDescent="0.25">
      <c r="A266" t="s">
        <v>293</v>
      </c>
      <c r="B266" t="s">
        <v>7553</v>
      </c>
    </row>
    <row r="267" spans="1:2" x14ac:dyDescent="0.25">
      <c r="A267" t="s">
        <v>294</v>
      </c>
      <c r="B267" t="s">
        <v>7554</v>
      </c>
    </row>
    <row r="268" spans="1:2" x14ac:dyDescent="0.25">
      <c r="A268" t="s">
        <v>295</v>
      </c>
      <c r="B268" t="s">
        <v>7555</v>
      </c>
    </row>
    <row r="269" spans="1:2" x14ac:dyDescent="0.25">
      <c r="A269" t="s">
        <v>296</v>
      </c>
      <c r="B269" t="s">
        <v>7556</v>
      </c>
    </row>
    <row r="270" spans="1:2" x14ac:dyDescent="0.25">
      <c r="A270" t="s">
        <v>297</v>
      </c>
      <c r="B270" t="s">
        <v>7557</v>
      </c>
    </row>
    <row r="271" spans="1:2" x14ac:dyDescent="0.25">
      <c r="A271" t="s">
        <v>298</v>
      </c>
      <c r="B271" t="s">
        <v>7558</v>
      </c>
    </row>
    <row r="272" spans="1:2" x14ac:dyDescent="0.25">
      <c r="A272" t="s">
        <v>299</v>
      </c>
      <c r="B272" t="s">
        <v>7559</v>
      </c>
    </row>
    <row r="273" spans="1:2" x14ac:dyDescent="0.25">
      <c r="A273" t="s">
        <v>300</v>
      </c>
      <c r="B273" t="s">
        <v>7560</v>
      </c>
    </row>
    <row r="274" spans="1:2" x14ac:dyDescent="0.25">
      <c r="A274" t="s">
        <v>301</v>
      </c>
      <c r="B274" t="s">
        <v>7561</v>
      </c>
    </row>
    <row r="275" spans="1:2" x14ac:dyDescent="0.25">
      <c r="A275" t="s">
        <v>302</v>
      </c>
      <c r="B275" t="s">
        <v>7562</v>
      </c>
    </row>
    <row r="276" spans="1:2" x14ac:dyDescent="0.25">
      <c r="A276" t="s">
        <v>303</v>
      </c>
      <c r="B276" t="s">
        <v>7563</v>
      </c>
    </row>
    <row r="277" spans="1:2" x14ac:dyDescent="0.25">
      <c r="A277" t="s">
        <v>304</v>
      </c>
      <c r="B277" t="s">
        <v>7564</v>
      </c>
    </row>
    <row r="278" spans="1:2" x14ac:dyDescent="0.25">
      <c r="A278" t="s">
        <v>305</v>
      </c>
      <c r="B278" t="s">
        <v>7565</v>
      </c>
    </row>
    <row r="279" spans="1:2" x14ac:dyDescent="0.25">
      <c r="A279" t="s">
        <v>306</v>
      </c>
      <c r="B279" t="s">
        <v>7566</v>
      </c>
    </row>
    <row r="280" spans="1:2" x14ac:dyDescent="0.25">
      <c r="A280" t="s">
        <v>307</v>
      </c>
      <c r="B280" t="s">
        <v>7566</v>
      </c>
    </row>
    <row r="281" spans="1:2" x14ac:dyDescent="0.25">
      <c r="A281" t="s">
        <v>308</v>
      </c>
      <c r="B281" t="s">
        <v>7567</v>
      </c>
    </row>
    <row r="282" spans="1:2" x14ac:dyDescent="0.25">
      <c r="A282" t="s">
        <v>309</v>
      </c>
      <c r="B282" t="s">
        <v>7568</v>
      </c>
    </row>
    <row r="283" spans="1:2" x14ac:dyDescent="0.25">
      <c r="A283" t="s">
        <v>310</v>
      </c>
      <c r="B283" t="s">
        <v>7569</v>
      </c>
    </row>
    <row r="284" spans="1:2" x14ac:dyDescent="0.25">
      <c r="A284" t="s">
        <v>311</v>
      </c>
      <c r="B284" t="s">
        <v>7570</v>
      </c>
    </row>
    <row r="285" spans="1:2" x14ac:dyDescent="0.25">
      <c r="A285" t="s">
        <v>312</v>
      </c>
      <c r="B285" t="s">
        <v>7571</v>
      </c>
    </row>
    <row r="286" spans="1:2" x14ac:dyDescent="0.25">
      <c r="A286" t="s">
        <v>313</v>
      </c>
      <c r="B286" t="s">
        <v>7572</v>
      </c>
    </row>
    <row r="287" spans="1:2" x14ac:dyDescent="0.25">
      <c r="A287" t="s">
        <v>314</v>
      </c>
      <c r="B287" t="s">
        <v>7573</v>
      </c>
    </row>
    <row r="288" spans="1:2" x14ac:dyDescent="0.25">
      <c r="A288" t="s">
        <v>315</v>
      </c>
      <c r="B288" t="s">
        <v>7574</v>
      </c>
    </row>
    <row r="289" spans="1:2" x14ac:dyDescent="0.25">
      <c r="A289" t="s">
        <v>316</v>
      </c>
      <c r="B289" t="s">
        <v>7575</v>
      </c>
    </row>
    <row r="290" spans="1:2" x14ac:dyDescent="0.25">
      <c r="A290" t="s">
        <v>317</v>
      </c>
      <c r="B290" t="s">
        <v>7576</v>
      </c>
    </row>
    <row r="291" spans="1:2" x14ac:dyDescent="0.25">
      <c r="A291" t="s">
        <v>318</v>
      </c>
      <c r="B291" t="s">
        <v>7577</v>
      </c>
    </row>
    <row r="292" spans="1:2" x14ac:dyDescent="0.25">
      <c r="A292" t="s">
        <v>319</v>
      </c>
      <c r="B292" t="s">
        <v>7578</v>
      </c>
    </row>
    <row r="293" spans="1:2" x14ac:dyDescent="0.25">
      <c r="A293" t="s">
        <v>320</v>
      </c>
      <c r="B293" t="s">
        <v>7579</v>
      </c>
    </row>
    <row r="294" spans="1:2" x14ac:dyDescent="0.25">
      <c r="A294" t="s">
        <v>321</v>
      </c>
      <c r="B294" t="s">
        <v>7580</v>
      </c>
    </row>
    <row r="295" spans="1:2" x14ac:dyDescent="0.25">
      <c r="A295" t="s">
        <v>322</v>
      </c>
      <c r="B295" t="s">
        <v>7581</v>
      </c>
    </row>
    <row r="296" spans="1:2" x14ac:dyDescent="0.25">
      <c r="A296" t="s">
        <v>323</v>
      </c>
      <c r="B296" t="s">
        <v>7582</v>
      </c>
    </row>
    <row r="297" spans="1:2" x14ac:dyDescent="0.25">
      <c r="A297" t="s">
        <v>324</v>
      </c>
      <c r="B297" t="s">
        <v>7583</v>
      </c>
    </row>
    <row r="298" spans="1:2" x14ac:dyDescent="0.25">
      <c r="A298" t="s">
        <v>325</v>
      </c>
      <c r="B298" t="s">
        <v>7584</v>
      </c>
    </row>
    <row r="299" spans="1:2" x14ac:dyDescent="0.25">
      <c r="A299" t="s">
        <v>326</v>
      </c>
      <c r="B299" t="s">
        <v>7585</v>
      </c>
    </row>
    <row r="300" spans="1:2" x14ac:dyDescent="0.25">
      <c r="A300" t="s">
        <v>327</v>
      </c>
      <c r="B300" t="s">
        <v>7586</v>
      </c>
    </row>
    <row r="301" spans="1:2" x14ac:dyDescent="0.25">
      <c r="A301" t="s">
        <v>328</v>
      </c>
      <c r="B301" t="s">
        <v>7587</v>
      </c>
    </row>
    <row r="302" spans="1:2" x14ac:dyDescent="0.25">
      <c r="A302" t="s">
        <v>329</v>
      </c>
      <c r="B302" t="s">
        <v>7588</v>
      </c>
    </row>
    <row r="303" spans="1:2" x14ac:dyDescent="0.25">
      <c r="A303" t="s">
        <v>330</v>
      </c>
      <c r="B303" t="s">
        <v>7589</v>
      </c>
    </row>
    <row r="304" spans="1:2" x14ac:dyDescent="0.25">
      <c r="A304" t="s">
        <v>331</v>
      </c>
      <c r="B304" t="s">
        <v>7590</v>
      </c>
    </row>
    <row r="305" spans="1:2" x14ac:dyDescent="0.25">
      <c r="A305" t="s">
        <v>332</v>
      </c>
      <c r="B305" t="s">
        <v>7591</v>
      </c>
    </row>
    <row r="306" spans="1:2" x14ac:dyDescent="0.25">
      <c r="A306" t="s">
        <v>333</v>
      </c>
      <c r="B306" t="s">
        <v>7592</v>
      </c>
    </row>
    <row r="307" spans="1:2" x14ac:dyDescent="0.25">
      <c r="A307" t="s">
        <v>334</v>
      </c>
      <c r="B307" t="s">
        <v>7593</v>
      </c>
    </row>
    <row r="308" spans="1:2" x14ac:dyDescent="0.25">
      <c r="A308" t="s">
        <v>335</v>
      </c>
      <c r="B308" t="s">
        <v>7594</v>
      </c>
    </row>
    <row r="309" spans="1:2" x14ac:dyDescent="0.25">
      <c r="A309" t="s">
        <v>336</v>
      </c>
      <c r="B309" t="s">
        <v>7595</v>
      </c>
    </row>
    <row r="310" spans="1:2" x14ac:dyDescent="0.25">
      <c r="A310" t="s">
        <v>337</v>
      </c>
      <c r="B310" t="s">
        <v>7596</v>
      </c>
    </row>
    <row r="311" spans="1:2" x14ac:dyDescent="0.25">
      <c r="A311" t="s">
        <v>338</v>
      </c>
      <c r="B311" t="s">
        <v>7597</v>
      </c>
    </row>
    <row r="312" spans="1:2" x14ac:dyDescent="0.25">
      <c r="A312" t="s">
        <v>339</v>
      </c>
      <c r="B312" t="s">
        <v>7598</v>
      </c>
    </row>
    <row r="313" spans="1:2" x14ac:dyDescent="0.25">
      <c r="A313" t="s">
        <v>340</v>
      </c>
      <c r="B313" t="s">
        <v>7599</v>
      </c>
    </row>
    <row r="314" spans="1:2" x14ac:dyDescent="0.25">
      <c r="A314" t="s">
        <v>341</v>
      </c>
      <c r="B314" t="s">
        <v>7600</v>
      </c>
    </row>
    <row r="315" spans="1:2" x14ac:dyDescent="0.25">
      <c r="A315" t="s">
        <v>342</v>
      </c>
      <c r="B315" t="s">
        <v>7601</v>
      </c>
    </row>
    <row r="316" spans="1:2" x14ac:dyDescent="0.25">
      <c r="A316" t="s">
        <v>343</v>
      </c>
      <c r="B316" t="s">
        <v>7602</v>
      </c>
    </row>
    <row r="317" spans="1:2" x14ac:dyDescent="0.25">
      <c r="A317" t="s">
        <v>344</v>
      </c>
      <c r="B317" t="s">
        <v>7603</v>
      </c>
    </row>
    <row r="318" spans="1:2" x14ac:dyDescent="0.25">
      <c r="A318" t="s">
        <v>345</v>
      </c>
      <c r="B318" t="s">
        <v>7604</v>
      </c>
    </row>
    <row r="319" spans="1:2" x14ac:dyDescent="0.25">
      <c r="A319" t="s">
        <v>346</v>
      </c>
      <c r="B319" t="s">
        <v>7605</v>
      </c>
    </row>
    <row r="320" spans="1:2" x14ac:dyDescent="0.25">
      <c r="A320" t="s">
        <v>347</v>
      </c>
      <c r="B320" t="s">
        <v>7606</v>
      </c>
    </row>
    <row r="321" spans="1:2" x14ac:dyDescent="0.25">
      <c r="A321" t="s">
        <v>348</v>
      </c>
      <c r="B321" t="s">
        <v>7607</v>
      </c>
    </row>
    <row r="322" spans="1:2" x14ac:dyDescent="0.25">
      <c r="A322" t="s">
        <v>349</v>
      </c>
      <c r="B322" t="s">
        <v>7608</v>
      </c>
    </row>
    <row r="323" spans="1:2" x14ac:dyDescent="0.25">
      <c r="A323" t="s">
        <v>350</v>
      </c>
      <c r="B323" t="s">
        <v>7609</v>
      </c>
    </row>
    <row r="324" spans="1:2" x14ac:dyDescent="0.25">
      <c r="A324" t="s">
        <v>351</v>
      </c>
      <c r="B324" t="s">
        <v>7610</v>
      </c>
    </row>
    <row r="325" spans="1:2" x14ac:dyDescent="0.25">
      <c r="A325" t="s">
        <v>352</v>
      </c>
      <c r="B325" t="s">
        <v>7611</v>
      </c>
    </row>
    <row r="326" spans="1:2" x14ac:dyDescent="0.25">
      <c r="A326" t="s">
        <v>353</v>
      </c>
      <c r="B326" t="s">
        <v>7612</v>
      </c>
    </row>
    <row r="327" spans="1:2" x14ac:dyDescent="0.25">
      <c r="A327" t="s">
        <v>354</v>
      </c>
      <c r="B327" t="s">
        <v>7613</v>
      </c>
    </row>
    <row r="328" spans="1:2" x14ac:dyDescent="0.25">
      <c r="A328" t="s">
        <v>355</v>
      </c>
      <c r="B328" t="s">
        <v>7614</v>
      </c>
    </row>
    <row r="329" spans="1:2" x14ac:dyDescent="0.25">
      <c r="A329" t="s">
        <v>356</v>
      </c>
      <c r="B329" t="s">
        <v>7615</v>
      </c>
    </row>
    <row r="330" spans="1:2" x14ac:dyDescent="0.25">
      <c r="A330" t="s">
        <v>357</v>
      </c>
      <c r="B330" t="s">
        <v>7616</v>
      </c>
    </row>
    <row r="331" spans="1:2" x14ac:dyDescent="0.25">
      <c r="A331" t="s">
        <v>358</v>
      </c>
      <c r="B331" t="s">
        <v>7617</v>
      </c>
    </row>
    <row r="332" spans="1:2" x14ac:dyDescent="0.25">
      <c r="A332" t="s">
        <v>359</v>
      </c>
      <c r="B332" t="s">
        <v>7618</v>
      </c>
    </row>
    <row r="333" spans="1:2" x14ac:dyDescent="0.25">
      <c r="A333" t="s">
        <v>360</v>
      </c>
      <c r="B333" t="s">
        <v>7619</v>
      </c>
    </row>
    <row r="334" spans="1:2" x14ac:dyDescent="0.25">
      <c r="A334" t="s">
        <v>361</v>
      </c>
      <c r="B334" t="s">
        <v>7620</v>
      </c>
    </row>
    <row r="335" spans="1:2" x14ac:dyDescent="0.25">
      <c r="A335" t="s">
        <v>362</v>
      </c>
      <c r="B335" t="s">
        <v>7621</v>
      </c>
    </row>
    <row r="336" spans="1:2" x14ac:dyDescent="0.25">
      <c r="A336" t="s">
        <v>363</v>
      </c>
      <c r="B336" t="s">
        <v>7622</v>
      </c>
    </row>
    <row r="337" spans="1:2" x14ac:dyDescent="0.25">
      <c r="A337" t="s">
        <v>364</v>
      </c>
      <c r="B337" t="s">
        <v>7623</v>
      </c>
    </row>
    <row r="338" spans="1:2" x14ac:dyDescent="0.25">
      <c r="A338" t="s">
        <v>365</v>
      </c>
      <c r="B338" t="s">
        <v>7624</v>
      </c>
    </row>
    <row r="339" spans="1:2" x14ac:dyDescent="0.25">
      <c r="A339" t="s">
        <v>366</v>
      </c>
      <c r="B339" t="s">
        <v>7625</v>
      </c>
    </row>
    <row r="340" spans="1:2" x14ac:dyDescent="0.25">
      <c r="A340" t="s">
        <v>367</v>
      </c>
      <c r="B340" t="s">
        <v>7626</v>
      </c>
    </row>
    <row r="341" spans="1:2" x14ac:dyDescent="0.25">
      <c r="A341" t="s">
        <v>368</v>
      </c>
      <c r="B341" t="s">
        <v>7627</v>
      </c>
    </row>
    <row r="342" spans="1:2" x14ac:dyDescent="0.25">
      <c r="A342" t="s">
        <v>369</v>
      </c>
      <c r="B342" t="s">
        <v>7628</v>
      </c>
    </row>
    <row r="343" spans="1:2" x14ac:dyDescent="0.25">
      <c r="A343" t="s">
        <v>370</v>
      </c>
      <c r="B343" t="s">
        <v>7629</v>
      </c>
    </row>
    <row r="344" spans="1:2" x14ac:dyDescent="0.25">
      <c r="A344" t="s">
        <v>371</v>
      </c>
      <c r="B344" t="s">
        <v>7630</v>
      </c>
    </row>
    <row r="345" spans="1:2" x14ac:dyDescent="0.25">
      <c r="A345" t="s">
        <v>372</v>
      </c>
      <c r="B345" t="s">
        <v>7631</v>
      </c>
    </row>
    <row r="346" spans="1:2" x14ac:dyDescent="0.25">
      <c r="A346" t="s">
        <v>373</v>
      </c>
      <c r="B346" t="s">
        <v>7632</v>
      </c>
    </row>
    <row r="347" spans="1:2" x14ac:dyDescent="0.25">
      <c r="A347" t="s">
        <v>374</v>
      </c>
      <c r="B347" t="s">
        <v>7633</v>
      </c>
    </row>
    <row r="348" spans="1:2" x14ac:dyDescent="0.25">
      <c r="A348" t="s">
        <v>375</v>
      </c>
      <c r="B348" t="s">
        <v>7634</v>
      </c>
    </row>
    <row r="349" spans="1:2" x14ac:dyDescent="0.25">
      <c r="A349" t="s">
        <v>376</v>
      </c>
      <c r="B349" t="s">
        <v>7635</v>
      </c>
    </row>
    <row r="350" spans="1:2" x14ac:dyDescent="0.25">
      <c r="A350" t="s">
        <v>377</v>
      </c>
      <c r="B350" t="s">
        <v>7636</v>
      </c>
    </row>
    <row r="351" spans="1:2" x14ac:dyDescent="0.25">
      <c r="A351" t="s">
        <v>378</v>
      </c>
      <c r="B351" t="s">
        <v>7637</v>
      </c>
    </row>
    <row r="352" spans="1:2" x14ac:dyDescent="0.25">
      <c r="A352" t="s">
        <v>379</v>
      </c>
      <c r="B352" t="s">
        <v>7638</v>
      </c>
    </row>
    <row r="353" spans="1:2" x14ac:dyDescent="0.25">
      <c r="A353" t="s">
        <v>380</v>
      </c>
      <c r="B353" t="s">
        <v>7639</v>
      </c>
    </row>
    <row r="354" spans="1:2" x14ac:dyDescent="0.25">
      <c r="A354" t="s">
        <v>381</v>
      </c>
      <c r="B354" t="s">
        <v>7640</v>
      </c>
    </row>
    <row r="355" spans="1:2" x14ac:dyDescent="0.25">
      <c r="A355" t="s">
        <v>382</v>
      </c>
      <c r="B355" t="s">
        <v>7641</v>
      </c>
    </row>
    <row r="356" spans="1:2" x14ac:dyDescent="0.25">
      <c r="A356" t="s">
        <v>383</v>
      </c>
      <c r="B356" t="s">
        <v>7642</v>
      </c>
    </row>
    <row r="357" spans="1:2" x14ac:dyDescent="0.25">
      <c r="A357" t="s">
        <v>384</v>
      </c>
      <c r="B357" t="s">
        <v>7643</v>
      </c>
    </row>
    <row r="358" spans="1:2" x14ac:dyDescent="0.25">
      <c r="A358" t="s">
        <v>385</v>
      </c>
      <c r="B358" t="s">
        <v>7644</v>
      </c>
    </row>
    <row r="359" spans="1:2" x14ac:dyDescent="0.25">
      <c r="A359" t="s">
        <v>386</v>
      </c>
      <c r="B359" t="s">
        <v>7645</v>
      </c>
    </row>
    <row r="360" spans="1:2" x14ac:dyDescent="0.25">
      <c r="A360" t="s">
        <v>387</v>
      </c>
      <c r="B360" t="s">
        <v>7646</v>
      </c>
    </row>
    <row r="361" spans="1:2" x14ac:dyDescent="0.25">
      <c r="A361" t="s">
        <v>388</v>
      </c>
      <c r="B361" t="s">
        <v>7647</v>
      </c>
    </row>
    <row r="362" spans="1:2" x14ac:dyDescent="0.25">
      <c r="A362" t="s">
        <v>389</v>
      </c>
      <c r="B362" t="s">
        <v>7648</v>
      </c>
    </row>
    <row r="363" spans="1:2" x14ac:dyDescent="0.25">
      <c r="A363" t="s">
        <v>390</v>
      </c>
      <c r="B363" t="s">
        <v>7649</v>
      </c>
    </row>
    <row r="364" spans="1:2" x14ac:dyDescent="0.25">
      <c r="A364" t="s">
        <v>391</v>
      </c>
      <c r="B364" t="s">
        <v>7650</v>
      </c>
    </row>
    <row r="365" spans="1:2" x14ac:dyDescent="0.25">
      <c r="A365" t="s">
        <v>392</v>
      </c>
      <c r="B365" t="s">
        <v>7651</v>
      </c>
    </row>
    <row r="366" spans="1:2" x14ac:dyDescent="0.25">
      <c r="A366" t="s">
        <v>393</v>
      </c>
      <c r="B366" t="s">
        <v>7652</v>
      </c>
    </row>
    <row r="367" spans="1:2" x14ac:dyDescent="0.25">
      <c r="A367" t="s">
        <v>394</v>
      </c>
      <c r="B367" t="s">
        <v>7653</v>
      </c>
    </row>
    <row r="368" spans="1:2" x14ac:dyDescent="0.25">
      <c r="A368" t="s">
        <v>395</v>
      </c>
      <c r="B368" t="s">
        <v>7654</v>
      </c>
    </row>
    <row r="369" spans="1:2" x14ac:dyDescent="0.25">
      <c r="A369" t="s">
        <v>396</v>
      </c>
      <c r="B369" t="s">
        <v>7655</v>
      </c>
    </row>
    <row r="370" spans="1:2" x14ac:dyDescent="0.25">
      <c r="A370" t="s">
        <v>397</v>
      </c>
      <c r="B370" t="s">
        <v>7656</v>
      </c>
    </row>
    <row r="371" spans="1:2" x14ac:dyDescent="0.25">
      <c r="A371" t="s">
        <v>398</v>
      </c>
      <c r="B371" t="s">
        <v>7657</v>
      </c>
    </row>
    <row r="372" spans="1:2" x14ac:dyDescent="0.25">
      <c r="A372" t="s">
        <v>399</v>
      </c>
      <c r="B372" t="s">
        <v>7658</v>
      </c>
    </row>
    <row r="373" spans="1:2" x14ac:dyDescent="0.25">
      <c r="A373" t="s">
        <v>400</v>
      </c>
      <c r="B373" t="s">
        <v>7659</v>
      </c>
    </row>
    <row r="374" spans="1:2" x14ac:dyDescent="0.25">
      <c r="A374" t="s">
        <v>401</v>
      </c>
      <c r="B374" t="s">
        <v>7660</v>
      </c>
    </row>
    <row r="375" spans="1:2" x14ac:dyDescent="0.25">
      <c r="A375" t="s">
        <v>402</v>
      </c>
      <c r="B375" t="s">
        <v>7661</v>
      </c>
    </row>
    <row r="376" spans="1:2" x14ac:dyDescent="0.25">
      <c r="A376" t="s">
        <v>403</v>
      </c>
      <c r="B376" t="s">
        <v>7662</v>
      </c>
    </row>
    <row r="377" spans="1:2" x14ac:dyDescent="0.25">
      <c r="A377" t="s">
        <v>404</v>
      </c>
      <c r="B377" t="s">
        <v>7663</v>
      </c>
    </row>
    <row r="378" spans="1:2" x14ac:dyDescent="0.25">
      <c r="A378" t="s">
        <v>405</v>
      </c>
      <c r="B378" t="s">
        <v>7664</v>
      </c>
    </row>
    <row r="379" spans="1:2" x14ac:dyDescent="0.25">
      <c r="A379" t="s">
        <v>406</v>
      </c>
      <c r="B379" t="s">
        <v>7665</v>
      </c>
    </row>
    <row r="380" spans="1:2" x14ac:dyDescent="0.25">
      <c r="A380" t="s">
        <v>407</v>
      </c>
      <c r="B380" t="s">
        <v>7666</v>
      </c>
    </row>
    <row r="381" spans="1:2" x14ac:dyDescent="0.25">
      <c r="A381" t="s">
        <v>408</v>
      </c>
      <c r="B381" t="s">
        <v>7667</v>
      </c>
    </row>
    <row r="382" spans="1:2" x14ac:dyDescent="0.25">
      <c r="A382" t="s">
        <v>409</v>
      </c>
      <c r="B382" t="s">
        <v>7668</v>
      </c>
    </row>
    <row r="383" spans="1:2" x14ac:dyDescent="0.25">
      <c r="A383" t="s">
        <v>410</v>
      </c>
      <c r="B383" t="s">
        <v>7669</v>
      </c>
    </row>
    <row r="384" spans="1:2" x14ac:dyDescent="0.25">
      <c r="A384" t="s">
        <v>411</v>
      </c>
      <c r="B384" t="s">
        <v>7670</v>
      </c>
    </row>
    <row r="385" spans="1:2" x14ac:dyDescent="0.25">
      <c r="A385" t="s">
        <v>412</v>
      </c>
      <c r="B385" t="s">
        <v>7671</v>
      </c>
    </row>
    <row r="386" spans="1:2" x14ac:dyDescent="0.25">
      <c r="A386" t="s">
        <v>413</v>
      </c>
      <c r="B386" t="s">
        <v>7672</v>
      </c>
    </row>
    <row r="387" spans="1:2" x14ac:dyDescent="0.25">
      <c r="A387" t="s">
        <v>414</v>
      </c>
      <c r="B387" t="s">
        <v>7673</v>
      </c>
    </row>
    <row r="388" spans="1:2" x14ac:dyDescent="0.25">
      <c r="A388" t="s">
        <v>415</v>
      </c>
      <c r="B388" t="s">
        <v>7674</v>
      </c>
    </row>
    <row r="389" spans="1:2" x14ac:dyDescent="0.25">
      <c r="A389" t="s">
        <v>416</v>
      </c>
      <c r="B389" t="s">
        <v>7675</v>
      </c>
    </row>
    <row r="390" spans="1:2" x14ac:dyDescent="0.25">
      <c r="A390" t="s">
        <v>417</v>
      </c>
      <c r="B390" t="s">
        <v>7676</v>
      </c>
    </row>
    <row r="391" spans="1:2" x14ac:dyDescent="0.25">
      <c r="A391" t="s">
        <v>418</v>
      </c>
      <c r="B391" t="s">
        <v>7677</v>
      </c>
    </row>
    <row r="392" spans="1:2" x14ac:dyDescent="0.25">
      <c r="A392" t="s">
        <v>419</v>
      </c>
      <c r="B392" t="s">
        <v>7678</v>
      </c>
    </row>
    <row r="393" spans="1:2" x14ac:dyDescent="0.25">
      <c r="A393" t="s">
        <v>420</v>
      </c>
      <c r="B393" t="s">
        <v>7679</v>
      </c>
    </row>
    <row r="394" spans="1:2" x14ac:dyDescent="0.25">
      <c r="A394" t="s">
        <v>421</v>
      </c>
      <c r="B394" t="s">
        <v>7680</v>
      </c>
    </row>
    <row r="395" spans="1:2" x14ac:dyDescent="0.25">
      <c r="A395" t="s">
        <v>422</v>
      </c>
      <c r="B395" t="s">
        <v>7681</v>
      </c>
    </row>
    <row r="396" spans="1:2" x14ac:dyDescent="0.25">
      <c r="A396" t="s">
        <v>423</v>
      </c>
      <c r="B396" t="s">
        <v>7682</v>
      </c>
    </row>
    <row r="397" spans="1:2" x14ac:dyDescent="0.25">
      <c r="A397" t="s">
        <v>424</v>
      </c>
      <c r="B397" t="s">
        <v>7683</v>
      </c>
    </row>
    <row r="398" spans="1:2" x14ac:dyDescent="0.25">
      <c r="A398" t="s">
        <v>425</v>
      </c>
      <c r="B398" t="s">
        <v>7684</v>
      </c>
    </row>
    <row r="399" spans="1:2" x14ac:dyDescent="0.25">
      <c r="A399" t="s">
        <v>426</v>
      </c>
      <c r="B399" t="s">
        <v>7685</v>
      </c>
    </row>
    <row r="400" spans="1:2" x14ac:dyDescent="0.25">
      <c r="A400" t="s">
        <v>427</v>
      </c>
      <c r="B400" t="s">
        <v>7686</v>
      </c>
    </row>
    <row r="401" spans="1:2" x14ac:dyDescent="0.25">
      <c r="A401" t="s">
        <v>428</v>
      </c>
      <c r="B401" t="s">
        <v>7687</v>
      </c>
    </row>
    <row r="402" spans="1:2" x14ac:dyDescent="0.25">
      <c r="A402" t="s">
        <v>429</v>
      </c>
      <c r="B402" t="s">
        <v>7688</v>
      </c>
    </row>
    <row r="403" spans="1:2" x14ac:dyDescent="0.25">
      <c r="A403" t="s">
        <v>430</v>
      </c>
      <c r="B403" t="s">
        <v>7689</v>
      </c>
    </row>
    <row r="404" spans="1:2" x14ac:dyDescent="0.25">
      <c r="A404" t="s">
        <v>431</v>
      </c>
      <c r="B404" t="s">
        <v>7690</v>
      </c>
    </row>
    <row r="405" spans="1:2" x14ac:dyDescent="0.25">
      <c r="A405" t="s">
        <v>432</v>
      </c>
      <c r="B405" t="s">
        <v>7691</v>
      </c>
    </row>
    <row r="406" spans="1:2" x14ac:dyDescent="0.25">
      <c r="A406" t="s">
        <v>433</v>
      </c>
      <c r="B406" t="s">
        <v>7692</v>
      </c>
    </row>
    <row r="407" spans="1:2" x14ac:dyDescent="0.25">
      <c r="A407" t="s">
        <v>434</v>
      </c>
      <c r="B407" t="s">
        <v>7693</v>
      </c>
    </row>
    <row r="408" spans="1:2" x14ac:dyDescent="0.25">
      <c r="A408" t="s">
        <v>435</v>
      </c>
      <c r="B408" t="s">
        <v>7694</v>
      </c>
    </row>
    <row r="409" spans="1:2" x14ac:dyDescent="0.25">
      <c r="A409" t="s">
        <v>436</v>
      </c>
      <c r="B409" t="s">
        <v>7695</v>
      </c>
    </row>
    <row r="410" spans="1:2" x14ac:dyDescent="0.25">
      <c r="A410" t="s">
        <v>437</v>
      </c>
      <c r="B410" t="s">
        <v>7696</v>
      </c>
    </row>
    <row r="411" spans="1:2" x14ac:dyDescent="0.25">
      <c r="A411" t="s">
        <v>438</v>
      </c>
      <c r="B411" t="s">
        <v>7697</v>
      </c>
    </row>
    <row r="412" spans="1:2" x14ac:dyDescent="0.25">
      <c r="A412" t="s">
        <v>439</v>
      </c>
      <c r="B412" t="s">
        <v>7698</v>
      </c>
    </row>
    <row r="413" spans="1:2" x14ac:dyDescent="0.25">
      <c r="A413" t="s">
        <v>440</v>
      </c>
      <c r="B413" t="s">
        <v>7699</v>
      </c>
    </row>
    <row r="414" spans="1:2" x14ac:dyDescent="0.25">
      <c r="A414" t="s">
        <v>441</v>
      </c>
      <c r="B414" t="s">
        <v>7700</v>
      </c>
    </row>
    <row r="415" spans="1:2" x14ac:dyDescent="0.25">
      <c r="A415" t="s">
        <v>442</v>
      </c>
      <c r="B415" t="s">
        <v>7701</v>
      </c>
    </row>
    <row r="416" spans="1:2" x14ac:dyDescent="0.25">
      <c r="A416" t="s">
        <v>443</v>
      </c>
      <c r="B416" t="s">
        <v>7702</v>
      </c>
    </row>
    <row r="417" spans="1:2" x14ac:dyDescent="0.25">
      <c r="A417" t="s">
        <v>444</v>
      </c>
      <c r="B417" t="s">
        <v>7703</v>
      </c>
    </row>
    <row r="418" spans="1:2" x14ac:dyDescent="0.25">
      <c r="A418" t="s">
        <v>445</v>
      </c>
      <c r="B418" t="s">
        <v>7704</v>
      </c>
    </row>
    <row r="419" spans="1:2" x14ac:dyDescent="0.25">
      <c r="A419" t="s">
        <v>446</v>
      </c>
      <c r="B419" t="s">
        <v>7705</v>
      </c>
    </row>
    <row r="420" spans="1:2" x14ac:dyDescent="0.25">
      <c r="A420" t="s">
        <v>447</v>
      </c>
      <c r="B420" t="s">
        <v>7706</v>
      </c>
    </row>
    <row r="421" spans="1:2" x14ac:dyDescent="0.25">
      <c r="A421" t="s">
        <v>448</v>
      </c>
      <c r="B421" t="s">
        <v>7707</v>
      </c>
    </row>
    <row r="422" spans="1:2" x14ac:dyDescent="0.25">
      <c r="A422" t="s">
        <v>449</v>
      </c>
      <c r="B422" t="s">
        <v>7708</v>
      </c>
    </row>
    <row r="423" spans="1:2" x14ac:dyDescent="0.25">
      <c r="A423" t="s">
        <v>450</v>
      </c>
      <c r="B423" t="s">
        <v>7709</v>
      </c>
    </row>
    <row r="424" spans="1:2" x14ac:dyDescent="0.25">
      <c r="A424" t="s">
        <v>451</v>
      </c>
      <c r="B424" t="s">
        <v>7710</v>
      </c>
    </row>
    <row r="425" spans="1:2" x14ac:dyDescent="0.25">
      <c r="A425" t="s">
        <v>452</v>
      </c>
      <c r="B425" t="s">
        <v>7711</v>
      </c>
    </row>
    <row r="426" spans="1:2" x14ac:dyDescent="0.25">
      <c r="A426" t="s">
        <v>453</v>
      </c>
      <c r="B426" t="s">
        <v>7712</v>
      </c>
    </row>
    <row r="427" spans="1:2" x14ac:dyDescent="0.25">
      <c r="A427" t="s">
        <v>454</v>
      </c>
      <c r="B427" t="s">
        <v>7713</v>
      </c>
    </row>
    <row r="428" spans="1:2" x14ac:dyDescent="0.25">
      <c r="A428" t="s">
        <v>455</v>
      </c>
      <c r="B428" t="s">
        <v>7714</v>
      </c>
    </row>
    <row r="429" spans="1:2" x14ac:dyDescent="0.25">
      <c r="A429" t="s">
        <v>456</v>
      </c>
      <c r="B429" t="s">
        <v>7715</v>
      </c>
    </row>
    <row r="430" spans="1:2" x14ac:dyDescent="0.25">
      <c r="A430" t="s">
        <v>457</v>
      </c>
      <c r="B430" t="s">
        <v>7716</v>
      </c>
    </row>
    <row r="431" spans="1:2" x14ac:dyDescent="0.25">
      <c r="A431" t="s">
        <v>458</v>
      </c>
      <c r="B431" t="s">
        <v>7717</v>
      </c>
    </row>
    <row r="432" spans="1:2" x14ac:dyDescent="0.25">
      <c r="A432" t="s">
        <v>459</v>
      </c>
      <c r="B432" t="s">
        <v>7718</v>
      </c>
    </row>
    <row r="433" spans="1:2" x14ac:dyDescent="0.25">
      <c r="A433" t="s">
        <v>460</v>
      </c>
      <c r="B433" t="s">
        <v>7719</v>
      </c>
    </row>
    <row r="434" spans="1:2" x14ac:dyDescent="0.25">
      <c r="A434" t="s">
        <v>461</v>
      </c>
      <c r="B434" t="s">
        <v>7720</v>
      </c>
    </row>
    <row r="435" spans="1:2" x14ac:dyDescent="0.25">
      <c r="A435" t="s">
        <v>462</v>
      </c>
      <c r="B435" t="s">
        <v>7721</v>
      </c>
    </row>
    <row r="436" spans="1:2" x14ac:dyDescent="0.25">
      <c r="A436" t="s">
        <v>463</v>
      </c>
      <c r="B436" t="s">
        <v>7722</v>
      </c>
    </row>
    <row r="437" spans="1:2" x14ac:dyDescent="0.25">
      <c r="A437" t="s">
        <v>464</v>
      </c>
      <c r="B437" t="s">
        <v>7723</v>
      </c>
    </row>
    <row r="438" spans="1:2" x14ac:dyDescent="0.25">
      <c r="A438" t="s">
        <v>465</v>
      </c>
      <c r="B438" t="s">
        <v>7724</v>
      </c>
    </row>
    <row r="439" spans="1:2" x14ac:dyDescent="0.25">
      <c r="A439" t="s">
        <v>466</v>
      </c>
      <c r="B439" t="s">
        <v>7725</v>
      </c>
    </row>
    <row r="440" spans="1:2" x14ac:dyDescent="0.25">
      <c r="A440" t="s">
        <v>467</v>
      </c>
      <c r="B440" t="s">
        <v>7726</v>
      </c>
    </row>
    <row r="441" spans="1:2" x14ac:dyDescent="0.25">
      <c r="A441" t="s">
        <v>468</v>
      </c>
      <c r="B441" t="s">
        <v>7727</v>
      </c>
    </row>
    <row r="442" spans="1:2" x14ac:dyDescent="0.25">
      <c r="A442" t="s">
        <v>469</v>
      </c>
      <c r="B442" t="s">
        <v>7728</v>
      </c>
    </row>
    <row r="443" spans="1:2" x14ac:dyDescent="0.25">
      <c r="A443" t="s">
        <v>470</v>
      </c>
      <c r="B443" t="s">
        <v>7729</v>
      </c>
    </row>
    <row r="444" spans="1:2" x14ac:dyDescent="0.25">
      <c r="A444" t="s">
        <v>471</v>
      </c>
      <c r="B444" t="s">
        <v>7730</v>
      </c>
    </row>
    <row r="445" spans="1:2" x14ac:dyDescent="0.25">
      <c r="A445" t="s">
        <v>472</v>
      </c>
      <c r="B445" t="s">
        <v>7731</v>
      </c>
    </row>
    <row r="446" spans="1:2" x14ac:dyDescent="0.25">
      <c r="A446" t="s">
        <v>473</v>
      </c>
      <c r="B446" t="s">
        <v>7732</v>
      </c>
    </row>
    <row r="447" spans="1:2" x14ac:dyDescent="0.25">
      <c r="A447" t="s">
        <v>474</v>
      </c>
      <c r="B447" t="s">
        <v>7733</v>
      </c>
    </row>
    <row r="448" spans="1:2" x14ac:dyDescent="0.25">
      <c r="A448" t="s">
        <v>475</v>
      </c>
      <c r="B448" t="s">
        <v>7734</v>
      </c>
    </row>
    <row r="449" spans="1:2" x14ac:dyDescent="0.25">
      <c r="A449" t="s">
        <v>476</v>
      </c>
      <c r="B449" t="s">
        <v>7735</v>
      </c>
    </row>
    <row r="450" spans="1:2" x14ac:dyDescent="0.25">
      <c r="A450" t="s">
        <v>477</v>
      </c>
      <c r="B450" t="s">
        <v>7736</v>
      </c>
    </row>
    <row r="451" spans="1:2" x14ac:dyDescent="0.25">
      <c r="A451" t="s">
        <v>478</v>
      </c>
      <c r="B451" t="s">
        <v>7737</v>
      </c>
    </row>
    <row r="452" spans="1:2" x14ac:dyDescent="0.25">
      <c r="A452" t="s">
        <v>479</v>
      </c>
      <c r="B452" t="s">
        <v>7738</v>
      </c>
    </row>
    <row r="453" spans="1:2" x14ac:dyDescent="0.25">
      <c r="A453" t="s">
        <v>480</v>
      </c>
      <c r="B453" t="s">
        <v>7739</v>
      </c>
    </row>
    <row r="454" spans="1:2" x14ac:dyDescent="0.25">
      <c r="A454" t="s">
        <v>481</v>
      </c>
      <c r="B454" t="s">
        <v>7740</v>
      </c>
    </row>
    <row r="455" spans="1:2" x14ac:dyDescent="0.25">
      <c r="A455" t="s">
        <v>482</v>
      </c>
      <c r="B455" t="s">
        <v>7741</v>
      </c>
    </row>
    <row r="456" spans="1:2" x14ac:dyDescent="0.25">
      <c r="A456" t="s">
        <v>483</v>
      </c>
      <c r="B456" t="s">
        <v>7742</v>
      </c>
    </row>
    <row r="457" spans="1:2" x14ac:dyDescent="0.25">
      <c r="A457" t="s">
        <v>484</v>
      </c>
      <c r="B457" t="s">
        <v>7743</v>
      </c>
    </row>
    <row r="458" spans="1:2" x14ac:dyDescent="0.25">
      <c r="A458" t="s">
        <v>485</v>
      </c>
      <c r="B458" t="s">
        <v>7744</v>
      </c>
    </row>
    <row r="459" spans="1:2" x14ac:dyDescent="0.25">
      <c r="A459" t="s">
        <v>486</v>
      </c>
      <c r="B459" t="s">
        <v>7745</v>
      </c>
    </row>
    <row r="460" spans="1:2" x14ac:dyDescent="0.25">
      <c r="A460" t="s">
        <v>487</v>
      </c>
      <c r="B460" t="s">
        <v>7746</v>
      </c>
    </row>
    <row r="461" spans="1:2" x14ac:dyDescent="0.25">
      <c r="A461" t="s">
        <v>488</v>
      </c>
      <c r="B461" t="s">
        <v>7747</v>
      </c>
    </row>
    <row r="462" spans="1:2" x14ac:dyDescent="0.25">
      <c r="A462" t="s">
        <v>489</v>
      </c>
      <c r="B462" t="s">
        <v>7748</v>
      </c>
    </row>
    <row r="463" spans="1:2" x14ac:dyDescent="0.25">
      <c r="A463" t="s">
        <v>490</v>
      </c>
      <c r="B463" t="s">
        <v>7749</v>
      </c>
    </row>
    <row r="464" spans="1:2" x14ac:dyDescent="0.25">
      <c r="A464" t="s">
        <v>491</v>
      </c>
      <c r="B464" t="s">
        <v>7750</v>
      </c>
    </row>
    <row r="465" spans="1:2" x14ac:dyDescent="0.25">
      <c r="A465" t="s">
        <v>492</v>
      </c>
      <c r="B465" t="s">
        <v>7751</v>
      </c>
    </row>
    <row r="466" spans="1:2" x14ac:dyDescent="0.25">
      <c r="A466" t="s">
        <v>493</v>
      </c>
      <c r="B466" t="s">
        <v>7752</v>
      </c>
    </row>
    <row r="467" spans="1:2" x14ac:dyDescent="0.25">
      <c r="A467" t="s">
        <v>494</v>
      </c>
      <c r="B467" t="s">
        <v>7753</v>
      </c>
    </row>
    <row r="468" spans="1:2" x14ac:dyDescent="0.25">
      <c r="A468" t="s">
        <v>495</v>
      </c>
      <c r="B468" t="s">
        <v>7754</v>
      </c>
    </row>
    <row r="469" spans="1:2" x14ac:dyDescent="0.25">
      <c r="A469" t="s">
        <v>496</v>
      </c>
      <c r="B469" t="s">
        <v>7755</v>
      </c>
    </row>
    <row r="470" spans="1:2" x14ac:dyDescent="0.25">
      <c r="A470" t="s">
        <v>497</v>
      </c>
      <c r="B470" t="s">
        <v>7756</v>
      </c>
    </row>
    <row r="471" spans="1:2" x14ac:dyDescent="0.25">
      <c r="A471" t="s">
        <v>498</v>
      </c>
      <c r="B471" t="s">
        <v>7757</v>
      </c>
    </row>
    <row r="472" spans="1:2" x14ac:dyDescent="0.25">
      <c r="A472" t="s">
        <v>499</v>
      </c>
      <c r="B472" t="s">
        <v>7758</v>
      </c>
    </row>
    <row r="473" spans="1:2" x14ac:dyDescent="0.25">
      <c r="A473" t="s">
        <v>500</v>
      </c>
      <c r="B473" t="s">
        <v>7759</v>
      </c>
    </row>
    <row r="474" spans="1:2" x14ac:dyDescent="0.25">
      <c r="A474" t="s">
        <v>501</v>
      </c>
      <c r="B474" t="s">
        <v>7760</v>
      </c>
    </row>
    <row r="475" spans="1:2" x14ac:dyDescent="0.25">
      <c r="A475" t="s">
        <v>502</v>
      </c>
      <c r="B475" t="s">
        <v>7761</v>
      </c>
    </row>
    <row r="476" spans="1:2" x14ac:dyDescent="0.25">
      <c r="A476" t="s">
        <v>503</v>
      </c>
      <c r="B476" t="s">
        <v>7762</v>
      </c>
    </row>
    <row r="477" spans="1:2" x14ac:dyDescent="0.25">
      <c r="A477" t="s">
        <v>504</v>
      </c>
      <c r="B477" t="s">
        <v>7763</v>
      </c>
    </row>
    <row r="478" spans="1:2" x14ac:dyDescent="0.25">
      <c r="A478" t="s">
        <v>505</v>
      </c>
      <c r="B478" t="s">
        <v>7764</v>
      </c>
    </row>
    <row r="479" spans="1:2" x14ac:dyDescent="0.25">
      <c r="A479" t="s">
        <v>506</v>
      </c>
      <c r="B479" t="s">
        <v>7765</v>
      </c>
    </row>
    <row r="480" spans="1:2" x14ac:dyDescent="0.25">
      <c r="A480" t="s">
        <v>507</v>
      </c>
      <c r="B480" t="s">
        <v>7766</v>
      </c>
    </row>
    <row r="481" spans="1:2" x14ac:dyDescent="0.25">
      <c r="A481" t="s">
        <v>508</v>
      </c>
      <c r="B481" t="s">
        <v>7767</v>
      </c>
    </row>
    <row r="482" spans="1:2" x14ac:dyDescent="0.25">
      <c r="A482" t="s">
        <v>509</v>
      </c>
      <c r="B482" t="s">
        <v>7768</v>
      </c>
    </row>
    <row r="483" spans="1:2" x14ac:dyDescent="0.25">
      <c r="A483" t="s">
        <v>510</v>
      </c>
      <c r="B483" t="s">
        <v>7769</v>
      </c>
    </row>
    <row r="484" spans="1:2" x14ac:dyDescent="0.25">
      <c r="A484" t="s">
        <v>511</v>
      </c>
      <c r="B484" t="s">
        <v>7770</v>
      </c>
    </row>
    <row r="485" spans="1:2" x14ac:dyDescent="0.25">
      <c r="A485" t="s">
        <v>512</v>
      </c>
      <c r="B485" t="s">
        <v>7771</v>
      </c>
    </row>
    <row r="486" spans="1:2" x14ac:dyDescent="0.25">
      <c r="A486" t="s">
        <v>513</v>
      </c>
      <c r="B486" t="s">
        <v>7772</v>
      </c>
    </row>
    <row r="487" spans="1:2" x14ac:dyDescent="0.25">
      <c r="A487" t="s">
        <v>514</v>
      </c>
      <c r="B487" t="s">
        <v>7773</v>
      </c>
    </row>
    <row r="488" spans="1:2" x14ac:dyDescent="0.25">
      <c r="A488" t="s">
        <v>515</v>
      </c>
      <c r="B488" t="s">
        <v>7774</v>
      </c>
    </row>
    <row r="489" spans="1:2" x14ac:dyDescent="0.25">
      <c r="A489" t="s">
        <v>516</v>
      </c>
      <c r="B489" t="s">
        <v>7775</v>
      </c>
    </row>
    <row r="490" spans="1:2" x14ac:dyDescent="0.25">
      <c r="A490" t="s">
        <v>517</v>
      </c>
      <c r="B490" t="s">
        <v>7776</v>
      </c>
    </row>
    <row r="491" spans="1:2" x14ac:dyDescent="0.25">
      <c r="A491" t="s">
        <v>518</v>
      </c>
      <c r="B491" t="s">
        <v>7777</v>
      </c>
    </row>
    <row r="492" spans="1:2" x14ac:dyDescent="0.25">
      <c r="A492" t="s">
        <v>519</v>
      </c>
      <c r="B492" t="s">
        <v>7778</v>
      </c>
    </row>
    <row r="493" spans="1:2" x14ac:dyDescent="0.25">
      <c r="A493" t="s">
        <v>520</v>
      </c>
      <c r="B493" t="s">
        <v>7779</v>
      </c>
    </row>
    <row r="494" spans="1:2" x14ac:dyDescent="0.25">
      <c r="A494" t="s">
        <v>521</v>
      </c>
      <c r="B494" t="s">
        <v>7780</v>
      </c>
    </row>
    <row r="495" spans="1:2" x14ac:dyDescent="0.25">
      <c r="A495" t="s">
        <v>522</v>
      </c>
      <c r="B495" t="s">
        <v>7781</v>
      </c>
    </row>
    <row r="496" spans="1:2" x14ac:dyDescent="0.25">
      <c r="A496" t="s">
        <v>523</v>
      </c>
      <c r="B496" t="s">
        <v>7782</v>
      </c>
    </row>
    <row r="497" spans="1:2" x14ac:dyDescent="0.25">
      <c r="A497" t="s">
        <v>524</v>
      </c>
      <c r="B497" t="s">
        <v>7783</v>
      </c>
    </row>
    <row r="498" spans="1:2" x14ac:dyDescent="0.25">
      <c r="A498" t="s">
        <v>525</v>
      </c>
      <c r="B498" t="s">
        <v>7784</v>
      </c>
    </row>
    <row r="499" spans="1:2" x14ac:dyDescent="0.25">
      <c r="A499" t="s">
        <v>526</v>
      </c>
      <c r="B499" t="s">
        <v>7785</v>
      </c>
    </row>
    <row r="500" spans="1:2" x14ac:dyDescent="0.25">
      <c r="A500" t="s">
        <v>527</v>
      </c>
      <c r="B500" t="s">
        <v>7786</v>
      </c>
    </row>
    <row r="501" spans="1:2" x14ac:dyDescent="0.25">
      <c r="A501" t="s">
        <v>528</v>
      </c>
      <c r="B501" t="s">
        <v>7787</v>
      </c>
    </row>
    <row r="502" spans="1:2" x14ac:dyDescent="0.25">
      <c r="A502" t="s">
        <v>529</v>
      </c>
      <c r="B502" t="s">
        <v>7788</v>
      </c>
    </row>
    <row r="503" spans="1:2" x14ac:dyDescent="0.25">
      <c r="A503" t="s">
        <v>530</v>
      </c>
      <c r="B503" t="s">
        <v>7789</v>
      </c>
    </row>
    <row r="504" spans="1:2" x14ac:dyDescent="0.25">
      <c r="A504" t="s">
        <v>531</v>
      </c>
      <c r="B504" t="s">
        <v>7790</v>
      </c>
    </row>
    <row r="505" spans="1:2" x14ac:dyDescent="0.25">
      <c r="A505" t="s">
        <v>532</v>
      </c>
      <c r="B505" t="s">
        <v>7791</v>
      </c>
    </row>
    <row r="506" spans="1:2" x14ac:dyDescent="0.25">
      <c r="A506" t="s">
        <v>533</v>
      </c>
      <c r="B506" t="s">
        <v>7792</v>
      </c>
    </row>
    <row r="507" spans="1:2" x14ac:dyDescent="0.25">
      <c r="A507" t="s">
        <v>534</v>
      </c>
      <c r="B507" t="s">
        <v>7793</v>
      </c>
    </row>
    <row r="508" spans="1:2" x14ac:dyDescent="0.25">
      <c r="A508" t="s">
        <v>535</v>
      </c>
      <c r="B508" t="s">
        <v>7794</v>
      </c>
    </row>
    <row r="509" spans="1:2" x14ac:dyDescent="0.25">
      <c r="A509" t="s">
        <v>536</v>
      </c>
      <c r="B509" t="s">
        <v>7795</v>
      </c>
    </row>
    <row r="510" spans="1:2" x14ac:dyDescent="0.25">
      <c r="A510" t="s">
        <v>537</v>
      </c>
      <c r="B510" t="s">
        <v>7796</v>
      </c>
    </row>
    <row r="511" spans="1:2" x14ac:dyDescent="0.25">
      <c r="A511" t="s">
        <v>538</v>
      </c>
      <c r="B511" t="s">
        <v>7797</v>
      </c>
    </row>
    <row r="512" spans="1:2" x14ac:dyDescent="0.25">
      <c r="A512" t="s">
        <v>539</v>
      </c>
      <c r="B512" t="s">
        <v>7798</v>
      </c>
    </row>
    <row r="513" spans="1:2" x14ac:dyDescent="0.25">
      <c r="A513" t="s">
        <v>540</v>
      </c>
      <c r="B513" t="s">
        <v>7799</v>
      </c>
    </row>
    <row r="514" spans="1:2" x14ac:dyDescent="0.25">
      <c r="A514" t="s">
        <v>541</v>
      </c>
      <c r="B514" t="s">
        <v>7800</v>
      </c>
    </row>
    <row r="515" spans="1:2" x14ac:dyDescent="0.25">
      <c r="A515" t="s">
        <v>542</v>
      </c>
      <c r="B515" t="s">
        <v>7801</v>
      </c>
    </row>
    <row r="516" spans="1:2" x14ac:dyDescent="0.25">
      <c r="A516" t="s">
        <v>543</v>
      </c>
      <c r="B516" t="s">
        <v>7802</v>
      </c>
    </row>
    <row r="517" spans="1:2" x14ac:dyDescent="0.25">
      <c r="A517" t="s">
        <v>544</v>
      </c>
      <c r="B517" t="s">
        <v>7803</v>
      </c>
    </row>
    <row r="518" spans="1:2" x14ac:dyDescent="0.25">
      <c r="A518" t="s">
        <v>545</v>
      </c>
      <c r="B518" t="s">
        <v>7804</v>
      </c>
    </row>
    <row r="519" spans="1:2" x14ac:dyDescent="0.25">
      <c r="A519" t="s">
        <v>546</v>
      </c>
      <c r="B519" t="s">
        <v>7805</v>
      </c>
    </row>
    <row r="520" spans="1:2" x14ac:dyDescent="0.25">
      <c r="A520" t="s">
        <v>547</v>
      </c>
      <c r="B520" t="s">
        <v>7806</v>
      </c>
    </row>
    <row r="521" spans="1:2" x14ac:dyDescent="0.25">
      <c r="A521" t="s">
        <v>548</v>
      </c>
      <c r="B521" t="s">
        <v>7807</v>
      </c>
    </row>
    <row r="522" spans="1:2" x14ac:dyDescent="0.25">
      <c r="A522" t="s">
        <v>549</v>
      </c>
      <c r="B522" t="s">
        <v>7808</v>
      </c>
    </row>
    <row r="523" spans="1:2" x14ac:dyDescent="0.25">
      <c r="A523" t="s">
        <v>550</v>
      </c>
      <c r="B523" t="s">
        <v>7809</v>
      </c>
    </row>
    <row r="524" spans="1:2" x14ac:dyDescent="0.25">
      <c r="A524" t="s">
        <v>551</v>
      </c>
      <c r="B524" t="s">
        <v>7810</v>
      </c>
    </row>
    <row r="525" spans="1:2" x14ac:dyDescent="0.25">
      <c r="A525" t="s">
        <v>552</v>
      </c>
      <c r="B525" t="s">
        <v>7811</v>
      </c>
    </row>
    <row r="526" spans="1:2" x14ac:dyDescent="0.25">
      <c r="A526" t="s">
        <v>553</v>
      </c>
      <c r="B526" t="s">
        <v>7812</v>
      </c>
    </row>
    <row r="527" spans="1:2" x14ac:dyDescent="0.25">
      <c r="A527" t="s">
        <v>554</v>
      </c>
      <c r="B527" t="s">
        <v>7813</v>
      </c>
    </row>
    <row r="528" spans="1:2" x14ac:dyDescent="0.25">
      <c r="A528" t="s">
        <v>555</v>
      </c>
      <c r="B528" t="s">
        <v>7814</v>
      </c>
    </row>
    <row r="529" spans="1:2" x14ac:dyDescent="0.25">
      <c r="A529" t="s">
        <v>556</v>
      </c>
      <c r="B529" t="s">
        <v>7815</v>
      </c>
    </row>
    <row r="530" spans="1:2" x14ac:dyDescent="0.25">
      <c r="A530" t="s">
        <v>557</v>
      </c>
      <c r="B530" t="s">
        <v>7816</v>
      </c>
    </row>
    <row r="531" spans="1:2" x14ac:dyDescent="0.25">
      <c r="A531" t="s">
        <v>558</v>
      </c>
      <c r="B531" t="s">
        <v>7817</v>
      </c>
    </row>
    <row r="532" spans="1:2" x14ac:dyDescent="0.25">
      <c r="A532" t="s">
        <v>559</v>
      </c>
      <c r="B532" t="s">
        <v>7818</v>
      </c>
    </row>
    <row r="533" spans="1:2" x14ac:dyDescent="0.25">
      <c r="A533" t="s">
        <v>560</v>
      </c>
      <c r="B533" t="s">
        <v>7819</v>
      </c>
    </row>
    <row r="534" spans="1:2" x14ac:dyDescent="0.25">
      <c r="A534" t="s">
        <v>561</v>
      </c>
      <c r="B534" t="s">
        <v>7820</v>
      </c>
    </row>
    <row r="535" spans="1:2" x14ac:dyDescent="0.25">
      <c r="A535" t="s">
        <v>562</v>
      </c>
      <c r="B535" t="s">
        <v>7821</v>
      </c>
    </row>
    <row r="536" spans="1:2" x14ac:dyDescent="0.25">
      <c r="A536" t="s">
        <v>563</v>
      </c>
      <c r="B536" t="s">
        <v>7822</v>
      </c>
    </row>
    <row r="537" spans="1:2" x14ac:dyDescent="0.25">
      <c r="A537" t="s">
        <v>564</v>
      </c>
      <c r="B537" t="s">
        <v>7823</v>
      </c>
    </row>
    <row r="538" spans="1:2" x14ac:dyDescent="0.25">
      <c r="A538" t="s">
        <v>565</v>
      </c>
      <c r="B538" t="s">
        <v>7824</v>
      </c>
    </row>
    <row r="539" spans="1:2" x14ac:dyDescent="0.25">
      <c r="A539" t="s">
        <v>566</v>
      </c>
      <c r="B539" t="s">
        <v>7825</v>
      </c>
    </row>
    <row r="540" spans="1:2" x14ac:dyDescent="0.25">
      <c r="A540" t="s">
        <v>567</v>
      </c>
      <c r="B540" t="s">
        <v>7826</v>
      </c>
    </row>
    <row r="541" spans="1:2" x14ac:dyDescent="0.25">
      <c r="A541" t="s">
        <v>568</v>
      </c>
      <c r="B541" t="s">
        <v>7827</v>
      </c>
    </row>
    <row r="542" spans="1:2" x14ac:dyDescent="0.25">
      <c r="A542" t="s">
        <v>569</v>
      </c>
      <c r="B542" t="s">
        <v>7828</v>
      </c>
    </row>
    <row r="543" spans="1:2" x14ac:dyDescent="0.25">
      <c r="A543" t="s">
        <v>570</v>
      </c>
      <c r="B543" t="s">
        <v>7829</v>
      </c>
    </row>
    <row r="544" spans="1:2" x14ac:dyDescent="0.25">
      <c r="A544" t="s">
        <v>571</v>
      </c>
      <c r="B544" t="s">
        <v>7830</v>
      </c>
    </row>
    <row r="545" spans="1:2" x14ac:dyDescent="0.25">
      <c r="A545" t="s">
        <v>572</v>
      </c>
      <c r="B545" t="s">
        <v>7831</v>
      </c>
    </row>
    <row r="546" spans="1:2" x14ac:dyDescent="0.25">
      <c r="A546" t="s">
        <v>573</v>
      </c>
      <c r="B546" t="s">
        <v>7832</v>
      </c>
    </row>
    <row r="547" spans="1:2" x14ac:dyDescent="0.25">
      <c r="A547" t="s">
        <v>574</v>
      </c>
      <c r="B547" t="s">
        <v>7833</v>
      </c>
    </row>
    <row r="548" spans="1:2" x14ac:dyDescent="0.25">
      <c r="A548" t="s">
        <v>575</v>
      </c>
      <c r="B548" t="s">
        <v>7834</v>
      </c>
    </row>
    <row r="549" spans="1:2" x14ac:dyDescent="0.25">
      <c r="A549" t="s">
        <v>576</v>
      </c>
      <c r="B549" t="s">
        <v>7835</v>
      </c>
    </row>
    <row r="550" spans="1:2" x14ac:dyDescent="0.25">
      <c r="A550" t="s">
        <v>577</v>
      </c>
      <c r="B550" t="s">
        <v>7836</v>
      </c>
    </row>
    <row r="551" spans="1:2" x14ac:dyDescent="0.25">
      <c r="A551" t="s">
        <v>578</v>
      </c>
      <c r="B551" t="s">
        <v>7837</v>
      </c>
    </row>
    <row r="552" spans="1:2" x14ac:dyDescent="0.25">
      <c r="A552" t="s">
        <v>579</v>
      </c>
      <c r="B552" t="s">
        <v>7838</v>
      </c>
    </row>
    <row r="553" spans="1:2" x14ac:dyDescent="0.25">
      <c r="A553" t="s">
        <v>580</v>
      </c>
      <c r="B553" t="s">
        <v>7839</v>
      </c>
    </row>
    <row r="554" spans="1:2" x14ac:dyDescent="0.25">
      <c r="A554" t="s">
        <v>581</v>
      </c>
      <c r="B554" t="s">
        <v>7840</v>
      </c>
    </row>
    <row r="555" spans="1:2" x14ac:dyDescent="0.25">
      <c r="A555" t="s">
        <v>582</v>
      </c>
      <c r="B555" t="s">
        <v>7841</v>
      </c>
    </row>
    <row r="556" spans="1:2" x14ac:dyDescent="0.25">
      <c r="A556" t="s">
        <v>583</v>
      </c>
      <c r="B556" t="s">
        <v>7842</v>
      </c>
    </row>
    <row r="557" spans="1:2" x14ac:dyDescent="0.25">
      <c r="A557" t="s">
        <v>584</v>
      </c>
      <c r="B557" t="s">
        <v>7843</v>
      </c>
    </row>
    <row r="558" spans="1:2" x14ac:dyDescent="0.25">
      <c r="A558" t="s">
        <v>585</v>
      </c>
      <c r="B558" t="s">
        <v>7844</v>
      </c>
    </row>
    <row r="559" spans="1:2" x14ac:dyDescent="0.25">
      <c r="A559" t="s">
        <v>586</v>
      </c>
      <c r="B559" t="s">
        <v>7845</v>
      </c>
    </row>
    <row r="560" spans="1:2" x14ac:dyDescent="0.25">
      <c r="A560" t="s">
        <v>587</v>
      </c>
      <c r="B560" t="s">
        <v>7846</v>
      </c>
    </row>
    <row r="561" spans="1:2" x14ac:dyDescent="0.25">
      <c r="A561" t="s">
        <v>588</v>
      </c>
      <c r="B561" t="s">
        <v>7847</v>
      </c>
    </row>
    <row r="562" spans="1:2" x14ac:dyDescent="0.25">
      <c r="A562" t="s">
        <v>589</v>
      </c>
      <c r="B562" t="s">
        <v>7848</v>
      </c>
    </row>
    <row r="563" spans="1:2" x14ac:dyDescent="0.25">
      <c r="A563" t="s">
        <v>590</v>
      </c>
      <c r="B563" t="s">
        <v>7849</v>
      </c>
    </row>
    <row r="564" spans="1:2" x14ac:dyDescent="0.25">
      <c r="A564" t="s">
        <v>591</v>
      </c>
      <c r="B564" t="s">
        <v>7850</v>
      </c>
    </row>
    <row r="565" spans="1:2" x14ac:dyDescent="0.25">
      <c r="A565" t="s">
        <v>592</v>
      </c>
      <c r="B565" t="s">
        <v>7851</v>
      </c>
    </row>
    <row r="566" spans="1:2" x14ac:dyDescent="0.25">
      <c r="A566" t="s">
        <v>593</v>
      </c>
      <c r="B566" t="s">
        <v>7852</v>
      </c>
    </row>
    <row r="567" spans="1:2" x14ac:dyDescent="0.25">
      <c r="A567" t="s">
        <v>594</v>
      </c>
      <c r="B567" t="s">
        <v>7853</v>
      </c>
    </row>
    <row r="568" spans="1:2" x14ac:dyDescent="0.25">
      <c r="A568" t="s">
        <v>595</v>
      </c>
      <c r="B568" t="s">
        <v>7854</v>
      </c>
    </row>
    <row r="569" spans="1:2" x14ac:dyDescent="0.25">
      <c r="A569" t="s">
        <v>596</v>
      </c>
      <c r="B569" t="s">
        <v>7855</v>
      </c>
    </row>
    <row r="570" spans="1:2" x14ac:dyDescent="0.25">
      <c r="A570" t="s">
        <v>597</v>
      </c>
      <c r="B570" t="s">
        <v>7856</v>
      </c>
    </row>
    <row r="571" spans="1:2" x14ac:dyDescent="0.25">
      <c r="A571" t="s">
        <v>598</v>
      </c>
      <c r="B571" t="s">
        <v>7857</v>
      </c>
    </row>
    <row r="572" spans="1:2" x14ac:dyDescent="0.25">
      <c r="A572" t="s">
        <v>599</v>
      </c>
      <c r="B572" t="s">
        <v>7858</v>
      </c>
    </row>
    <row r="573" spans="1:2" x14ac:dyDescent="0.25">
      <c r="A573" t="s">
        <v>600</v>
      </c>
      <c r="B573" t="s">
        <v>7859</v>
      </c>
    </row>
    <row r="574" spans="1:2" x14ac:dyDescent="0.25">
      <c r="A574" t="s">
        <v>601</v>
      </c>
      <c r="B574" t="s">
        <v>7860</v>
      </c>
    </row>
    <row r="575" spans="1:2" x14ac:dyDescent="0.25">
      <c r="A575" t="s">
        <v>602</v>
      </c>
      <c r="B575" t="s">
        <v>7861</v>
      </c>
    </row>
    <row r="576" spans="1:2" x14ac:dyDescent="0.25">
      <c r="A576" t="s">
        <v>603</v>
      </c>
      <c r="B576" t="s">
        <v>7862</v>
      </c>
    </row>
    <row r="577" spans="1:2" x14ac:dyDescent="0.25">
      <c r="A577" t="s">
        <v>604</v>
      </c>
      <c r="B577" t="s">
        <v>7863</v>
      </c>
    </row>
    <row r="578" spans="1:2" x14ac:dyDescent="0.25">
      <c r="A578" t="s">
        <v>605</v>
      </c>
      <c r="B578" t="s">
        <v>7864</v>
      </c>
    </row>
    <row r="579" spans="1:2" x14ac:dyDescent="0.25">
      <c r="A579" t="s">
        <v>606</v>
      </c>
      <c r="B579" t="s">
        <v>7865</v>
      </c>
    </row>
    <row r="580" spans="1:2" x14ac:dyDescent="0.25">
      <c r="A580" t="s">
        <v>607</v>
      </c>
      <c r="B580" t="s">
        <v>7866</v>
      </c>
    </row>
    <row r="581" spans="1:2" x14ac:dyDescent="0.25">
      <c r="A581" t="s">
        <v>608</v>
      </c>
      <c r="B581" t="s">
        <v>7867</v>
      </c>
    </row>
    <row r="582" spans="1:2" x14ac:dyDescent="0.25">
      <c r="A582" t="s">
        <v>609</v>
      </c>
      <c r="B582" t="s">
        <v>7868</v>
      </c>
    </row>
    <row r="583" spans="1:2" x14ac:dyDescent="0.25">
      <c r="A583" t="s">
        <v>610</v>
      </c>
      <c r="B583" t="s">
        <v>7869</v>
      </c>
    </row>
    <row r="584" spans="1:2" x14ac:dyDescent="0.25">
      <c r="A584" t="s">
        <v>611</v>
      </c>
      <c r="B584" t="s">
        <v>7870</v>
      </c>
    </row>
    <row r="585" spans="1:2" x14ac:dyDescent="0.25">
      <c r="A585" t="s">
        <v>612</v>
      </c>
      <c r="B585" t="s">
        <v>7871</v>
      </c>
    </row>
    <row r="586" spans="1:2" x14ac:dyDescent="0.25">
      <c r="A586" t="s">
        <v>613</v>
      </c>
      <c r="B586" t="s">
        <v>7872</v>
      </c>
    </row>
    <row r="587" spans="1:2" x14ac:dyDescent="0.25">
      <c r="A587" t="s">
        <v>614</v>
      </c>
      <c r="B587" t="s">
        <v>7873</v>
      </c>
    </row>
    <row r="588" spans="1:2" x14ac:dyDescent="0.25">
      <c r="A588" t="s">
        <v>615</v>
      </c>
      <c r="B588" t="s">
        <v>7874</v>
      </c>
    </row>
    <row r="589" spans="1:2" x14ac:dyDescent="0.25">
      <c r="A589" t="s">
        <v>616</v>
      </c>
      <c r="B589" t="s">
        <v>7875</v>
      </c>
    </row>
    <row r="590" spans="1:2" x14ac:dyDescent="0.25">
      <c r="A590" t="s">
        <v>617</v>
      </c>
      <c r="B590" t="s">
        <v>7876</v>
      </c>
    </row>
    <row r="591" spans="1:2" x14ac:dyDescent="0.25">
      <c r="A591" t="s">
        <v>618</v>
      </c>
      <c r="B591" t="s">
        <v>7877</v>
      </c>
    </row>
    <row r="592" spans="1:2" x14ac:dyDescent="0.25">
      <c r="A592" t="s">
        <v>619</v>
      </c>
      <c r="B592" t="s">
        <v>7878</v>
      </c>
    </row>
    <row r="593" spans="1:2" x14ac:dyDescent="0.25">
      <c r="A593" t="s">
        <v>620</v>
      </c>
      <c r="B593" t="s">
        <v>7879</v>
      </c>
    </row>
    <row r="594" spans="1:2" x14ac:dyDescent="0.25">
      <c r="A594" t="s">
        <v>621</v>
      </c>
      <c r="B594" t="s">
        <v>7880</v>
      </c>
    </row>
    <row r="595" spans="1:2" x14ac:dyDescent="0.25">
      <c r="A595" t="s">
        <v>622</v>
      </c>
      <c r="B595" t="s">
        <v>7881</v>
      </c>
    </row>
    <row r="596" spans="1:2" x14ac:dyDescent="0.25">
      <c r="A596" t="s">
        <v>623</v>
      </c>
      <c r="B596" t="s">
        <v>7882</v>
      </c>
    </row>
    <row r="597" spans="1:2" x14ac:dyDescent="0.25">
      <c r="A597" t="s">
        <v>624</v>
      </c>
      <c r="B597" t="s">
        <v>7883</v>
      </c>
    </row>
    <row r="598" spans="1:2" x14ac:dyDescent="0.25">
      <c r="A598" t="s">
        <v>625</v>
      </c>
      <c r="B598" t="s">
        <v>7884</v>
      </c>
    </row>
    <row r="599" spans="1:2" x14ac:dyDescent="0.25">
      <c r="A599" t="s">
        <v>626</v>
      </c>
      <c r="B599" t="s">
        <v>7885</v>
      </c>
    </row>
    <row r="600" spans="1:2" x14ac:dyDescent="0.25">
      <c r="A600" t="s">
        <v>627</v>
      </c>
      <c r="B600" t="s">
        <v>7886</v>
      </c>
    </row>
    <row r="601" spans="1:2" x14ac:dyDescent="0.25">
      <c r="A601" t="s">
        <v>628</v>
      </c>
      <c r="B601" t="s">
        <v>7887</v>
      </c>
    </row>
    <row r="602" spans="1:2" x14ac:dyDescent="0.25">
      <c r="A602" t="s">
        <v>629</v>
      </c>
      <c r="B602" t="s">
        <v>7888</v>
      </c>
    </row>
    <row r="603" spans="1:2" x14ac:dyDescent="0.25">
      <c r="A603" t="s">
        <v>630</v>
      </c>
      <c r="B603" t="s">
        <v>7889</v>
      </c>
    </row>
    <row r="604" spans="1:2" x14ac:dyDescent="0.25">
      <c r="A604" t="s">
        <v>631</v>
      </c>
      <c r="B604" t="s">
        <v>7890</v>
      </c>
    </row>
    <row r="605" spans="1:2" x14ac:dyDescent="0.25">
      <c r="A605" t="s">
        <v>632</v>
      </c>
      <c r="B605" t="s">
        <v>7891</v>
      </c>
    </row>
    <row r="606" spans="1:2" x14ac:dyDescent="0.25">
      <c r="A606" t="s">
        <v>633</v>
      </c>
      <c r="B606" t="s">
        <v>7892</v>
      </c>
    </row>
    <row r="607" spans="1:2" x14ac:dyDescent="0.25">
      <c r="A607" t="s">
        <v>634</v>
      </c>
      <c r="B607" t="s">
        <v>7893</v>
      </c>
    </row>
    <row r="608" spans="1:2" x14ac:dyDescent="0.25">
      <c r="A608" t="s">
        <v>635</v>
      </c>
      <c r="B608" t="s">
        <v>7894</v>
      </c>
    </row>
    <row r="609" spans="1:2" x14ac:dyDescent="0.25">
      <c r="A609" t="s">
        <v>636</v>
      </c>
      <c r="B609" t="s">
        <v>7895</v>
      </c>
    </row>
    <row r="610" spans="1:2" x14ac:dyDescent="0.25">
      <c r="A610" t="s">
        <v>637</v>
      </c>
      <c r="B610" t="s">
        <v>7896</v>
      </c>
    </row>
    <row r="611" spans="1:2" x14ac:dyDescent="0.25">
      <c r="A611" t="s">
        <v>638</v>
      </c>
      <c r="B611" t="s">
        <v>7897</v>
      </c>
    </row>
    <row r="612" spans="1:2" x14ac:dyDescent="0.25">
      <c r="A612" t="s">
        <v>639</v>
      </c>
      <c r="B612" t="s">
        <v>7898</v>
      </c>
    </row>
    <row r="613" spans="1:2" x14ac:dyDescent="0.25">
      <c r="A613" t="s">
        <v>640</v>
      </c>
      <c r="B613" t="s">
        <v>7899</v>
      </c>
    </row>
    <row r="614" spans="1:2" x14ac:dyDescent="0.25">
      <c r="A614" t="s">
        <v>641</v>
      </c>
      <c r="B614" t="s">
        <v>7900</v>
      </c>
    </row>
    <row r="615" spans="1:2" x14ac:dyDescent="0.25">
      <c r="A615" t="s">
        <v>642</v>
      </c>
      <c r="B615" t="s">
        <v>7901</v>
      </c>
    </row>
    <row r="616" spans="1:2" x14ac:dyDescent="0.25">
      <c r="A616" t="s">
        <v>643</v>
      </c>
      <c r="B616" t="s">
        <v>7902</v>
      </c>
    </row>
    <row r="617" spans="1:2" x14ac:dyDescent="0.25">
      <c r="A617" t="s">
        <v>644</v>
      </c>
      <c r="B617" t="s">
        <v>7903</v>
      </c>
    </row>
    <row r="618" spans="1:2" x14ac:dyDescent="0.25">
      <c r="A618" t="s">
        <v>645</v>
      </c>
      <c r="B618" t="s">
        <v>7904</v>
      </c>
    </row>
    <row r="619" spans="1:2" x14ac:dyDescent="0.25">
      <c r="A619" t="s">
        <v>646</v>
      </c>
      <c r="B619" t="s">
        <v>7905</v>
      </c>
    </row>
    <row r="620" spans="1:2" x14ac:dyDescent="0.25">
      <c r="A620" t="s">
        <v>647</v>
      </c>
      <c r="B620" t="s">
        <v>7906</v>
      </c>
    </row>
    <row r="621" spans="1:2" x14ac:dyDescent="0.25">
      <c r="A621" t="s">
        <v>648</v>
      </c>
      <c r="B621" t="s">
        <v>7907</v>
      </c>
    </row>
    <row r="622" spans="1:2" x14ac:dyDescent="0.25">
      <c r="A622" t="s">
        <v>649</v>
      </c>
      <c r="B622" t="s">
        <v>7908</v>
      </c>
    </row>
    <row r="623" spans="1:2" x14ac:dyDescent="0.25">
      <c r="A623" t="s">
        <v>650</v>
      </c>
      <c r="B623" t="s">
        <v>7909</v>
      </c>
    </row>
    <row r="624" spans="1:2" x14ac:dyDescent="0.25">
      <c r="A624" t="s">
        <v>651</v>
      </c>
      <c r="B624" t="s">
        <v>7910</v>
      </c>
    </row>
    <row r="625" spans="1:2" x14ac:dyDescent="0.25">
      <c r="A625" t="s">
        <v>652</v>
      </c>
      <c r="B625" t="s">
        <v>7911</v>
      </c>
    </row>
    <row r="626" spans="1:2" x14ac:dyDescent="0.25">
      <c r="A626" t="s">
        <v>653</v>
      </c>
      <c r="B626" t="s">
        <v>7912</v>
      </c>
    </row>
    <row r="627" spans="1:2" x14ac:dyDescent="0.25">
      <c r="A627" t="s">
        <v>654</v>
      </c>
      <c r="B627" t="s">
        <v>7913</v>
      </c>
    </row>
    <row r="628" spans="1:2" x14ac:dyDescent="0.25">
      <c r="A628" t="s">
        <v>655</v>
      </c>
      <c r="B628" t="s">
        <v>7914</v>
      </c>
    </row>
    <row r="629" spans="1:2" x14ac:dyDescent="0.25">
      <c r="A629" t="s">
        <v>656</v>
      </c>
      <c r="B629" t="s">
        <v>7915</v>
      </c>
    </row>
    <row r="630" spans="1:2" x14ac:dyDescent="0.25">
      <c r="A630" t="s">
        <v>657</v>
      </c>
      <c r="B630" t="s">
        <v>7916</v>
      </c>
    </row>
    <row r="631" spans="1:2" x14ac:dyDescent="0.25">
      <c r="A631" t="s">
        <v>658</v>
      </c>
      <c r="B631" t="s">
        <v>7917</v>
      </c>
    </row>
    <row r="632" spans="1:2" x14ac:dyDescent="0.25">
      <c r="A632" t="s">
        <v>659</v>
      </c>
      <c r="B632" t="s">
        <v>7918</v>
      </c>
    </row>
    <row r="633" spans="1:2" x14ac:dyDescent="0.25">
      <c r="A633" t="s">
        <v>660</v>
      </c>
      <c r="B633" t="s">
        <v>7919</v>
      </c>
    </row>
    <row r="634" spans="1:2" x14ac:dyDescent="0.25">
      <c r="A634" t="s">
        <v>661</v>
      </c>
      <c r="B634" t="s">
        <v>7920</v>
      </c>
    </row>
    <row r="635" spans="1:2" x14ac:dyDescent="0.25">
      <c r="A635" t="s">
        <v>662</v>
      </c>
      <c r="B635" t="s">
        <v>7921</v>
      </c>
    </row>
    <row r="636" spans="1:2" x14ac:dyDescent="0.25">
      <c r="A636" t="s">
        <v>663</v>
      </c>
      <c r="B636" t="s">
        <v>7922</v>
      </c>
    </row>
    <row r="637" spans="1:2" x14ac:dyDescent="0.25">
      <c r="A637" t="s">
        <v>664</v>
      </c>
      <c r="B637" t="s">
        <v>7923</v>
      </c>
    </row>
    <row r="638" spans="1:2" x14ac:dyDescent="0.25">
      <c r="A638" t="s">
        <v>665</v>
      </c>
      <c r="B638" t="s">
        <v>7924</v>
      </c>
    </row>
    <row r="639" spans="1:2" x14ac:dyDescent="0.25">
      <c r="A639" t="s">
        <v>666</v>
      </c>
      <c r="B639" t="s">
        <v>7925</v>
      </c>
    </row>
    <row r="640" spans="1:2" x14ac:dyDescent="0.25">
      <c r="A640" t="s">
        <v>667</v>
      </c>
      <c r="B640" t="s">
        <v>7926</v>
      </c>
    </row>
    <row r="641" spans="1:2" x14ac:dyDescent="0.25">
      <c r="A641" t="s">
        <v>668</v>
      </c>
      <c r="B641" t="s">
        <v>7927</v>
      </c>
    </row>
    <row r="642" spans="1:2" x14ac:dyDescent="0.25">
      <c r="A642" t="s">
        <v>669</v>
      </c>
      <c r="B642" t="s">
        <v>7928</v>
      </c>
    </row>
    <row r="643" spans="1:2" x14ac:dyDescent="0.25">
      <c r="A643" t="s">
        <v>670</v>
      </c>
      <c r="B643" t="s">
        <v>7929</v>
      </c>
    </row>
    <row r="644" spans="1:2" x14ac:dyDescent="0.25">
      <c r="A644" t="s">
        <v>671</v>
      </c>
      <c r="B644" t="s">
        <v>7930</v>
      </c>
    </row>
    <row r="645" spans="1:2" x14ac:dyDescent="0.25">
      <c r="A645" t="s">
        <v>672</v>
      </c>
      <c r="B645" t="s">
        <v>7931</v>
      </c>
    </row>
    <row r="646" spans="1:2" x14ac:dyDescent="0.25">
      <c r="A646" t="s">
        <v>673</v>
      </c>
      <c r="B646" t="s">
        <v>7932</v>
      </c>
    </row>
    <row r="647" spans="1:2" x14ac:dyDescent="0.25">
      <c r="A647" t="s">
        <v>674</v>
      </c>
      <c r="B647" t="s">
        <v>7933</v>
      </c>
    </row>
    <row r="648" spans="1:2" x14ac:dyDescent="0.25">
      <c r="A648" t="s">
        <v>675</v>
      </c>
      <c r="B648" t="s">
        <v>7934</v>
      </c>
    </row>
    <row r="649" spans="1:2" x14ac:dyDescent="0.25">
      <c r="A649" t="s">
        <v>676</v>
      </c>
      <c r="B649" t="s">
        <v>7935</v>
      </c>
    </row>
    <row r="650" spans="1:2" x14ac:dyDescent="0.25">
      <c r="A650" t="s">
        <v>677</v>
      </c>
      <c r="B650" t="s">
        <v>7936</v>
      </c>
    </row>
    <row r="651" spans="1:2" x14ac:dyDescent="0.25">
      <c r="A651" t="s">
        <v>678</v>
      </c>
      <c r="B651" t="s">
        <v>7937</v>
      </c>
    </row>
    <row r="652" spans="1:2" x14ac:dyDescent="0.25">
      <c r="A652" t="s">
        <v>679</v>
      </c>
      <c r="B652" t="s">
        <v>7938</v>
      </c>
    </row>
    <row r="653" spans="1:2" x14ac:dyDescent="0.25">
      <c r="A653" t="s">
        <v>680</v>
      </c>
      <c r="B653" t="s">
        <v>7939</v>
      </c>
    </row>
    <row r="654" spans="1:2" x14ac:dyDescent="0.25">
      <c r="A654" t="s">
        <v>681</v>
      </c>
      <c r="B654" t="s">
        <v>7940</v>
      </c>
    </row>
    <row r="655" spans="1:2" x14ac:dyDescent="0.25">
      <c r="A655" t="s">
        <v>682</v>
      </c>
      <c r="B655" t="s">
        <v>7941</v>
      </c>
    </row>
    <row r="656" spans="1:2" x14ac:dyDescent="0.25">
      <c r="A656" t="s">
        <v>683</v>
      </c>
      <c r="B656" t="s">
        <v>7942</v>
      </c>
    </row>
    <row r="657" spans="1:2" x14ac:dyDescent="0.25">
      <c r="A657" t="s">
        <v>684</v>
      </c>
      <c r="B657" t="s">
        <v>7943</v>
      </c>
    </row>
    <row r="658" spans="1:2" x14ac:dyDescent="0.25">
      <c r="A658" t="s">
        <v>685</v>
      </c>
      <c r="B658" t="s">
        <v>7944</v>
      </c>
    </row>
    <row r="659" spans="1:2" x14ac:dyDescent="0.25">
      <c r="A659" t="s">
        <v>686</v>
      </c>
      <c r="B659" t="s">
        <v>7945</v>
      </c>
    </row>
    <row r="660" spans="1:2" x14ac:dyDescent="0.25">
      <c r="A660" t="s">
        <v>687</v>
      </c>
      <c r="B660" t="s">
        <v>7946</v>
      </c>
    </row>
    <row r="661" spans="1:2" x14ac:dyDescent="0.25">
      <c r="A661" t="s">
        <v>688</v>
      </c>
      <c r="B661" t="s">
        <v>7947</v>
      </c>
    </row>
    <row r="662" spans="1:2" x14ac:dyDescent="0.25">
      <c r="A662" t="s">
        <v>689</v>
      </c>
      <c r="B662" t="s">
        <v>7948</v>
      </c>
    </row>
    <row r="663" spans="1:2" x14ac:dyDescent="0.25">
      <c r="A663" t="s">
        <v>690</v>
      </c>
      <c r="B663" t="s">
        <v>7949</v>
      </c>
    </row>
    <row r="664" spans="1:2" x14ac:dyDescent="0.25">
      <c r="A664" t="s">
        <v>691</v>
      </c>
      <c r="B664" t="s">
        <v>7950</v>
      </c>
    </row>
    <row r="665" spans="1:2" x14ac:dyDescent="0.25">
      <c r="A665" t="s">
        <v>692</v>
      </c>
      <c r="B665" t="s">
        <v>7951</v>
      </c>
    </row>
    <row r="666" spans="1:2" x14ac:dyDescent="0.25">
      <c r="A666" t="s">
        <v>693</v>
      </c>
      <c r="B666" t="s">
        <v>7952</v>
      </c>
    </row>
    <row r="667" spans="1:2" x14ac:dyDescent="0.25">
      <c r="A667" t="s">
        <v>694</v>
      </c>
      <c r="B667" t="s">
        <v>7953</v>
      </c>
    </row>
    <row r="668" spans="1:2" x14ac:dyDescent="0.25">
      <c r="A668" t="s">
        <v>695</v>
      </c>
      <c r="B668" t="s">
        <v>7954</v>
      </c>
    </row>
    <row r="669" spans="1:2" x14ac:dyDescent="0.25">
      <c r="A669" t="s">
        <v>696</v>
      </c>
      <c r="B669" t="s">
        <v>7955</v>
      </c>
    </row>
    <row r="670" spans="1:2" x14ac:dyDescent="0.25">
      <c r="A670" t="s">
        <v>697</v>
      </c>
      <c r="B670" t="s">
        <v>7956</v>
      </c>
    </row>
    <row r="671" spans="1:2" x14ac:dyDescent="0.25">
      <c r="A671" t="s">
        <v>698</v>
      </c>
      <c r="B671" t="s">
        <v>7957</v>
      </c>
    </row>
    <row r="672" spans="1:2" x14ac:dyDescent="0.25">
      <c r="A672" t="s">
        <v>699</v>
      </c>
      <c r="B672" t="s">
        <v>7958</v>
      </c>
    </row>
    <row r="673" spans="1:2" x14ac:dyDescent="0.25">
      <c r="A673" t="s">
        <v>700</v>
      </c>
      <c r="B673" t="s">
        <v>7959</v>
      </c>
    </row>
    <row r="674" spans="1:2" x14ac:dyDescent="0.25">
      <c r="A674" t="s">
        <v>701</v>
      </c>
      <c r="B674" t="s">
        <v>7960</v>
      </c>
    </row>
    <row r="675" spans="1:2" x14ac:dyDescent="0.25">
      <c r="A675" t="s">
        <v>702</v>
      </c>
      <c r="B675" t="s">
        <v>7961</v>
      </c>
    </row>
    <row r="676" spans="1:2" x14ac:dyDescent="0.25">
      <c r="A676" t="s">
        <v>703</v>
      </c>
      <c r="B676" t="s">
        <v>7962</v>
      </c>
    </row>
    <row r="677" spans="1:2" x14ac:dyDescent="0.25">
      <c r="A677" t="s">
        <v>704</v>
      </c>
      <c r="B677" t="s">
        <v>7963</v>
      </c>
    </row>
    <row r="678" spans="1:2" x14ac:dyDescent="0.25">
      <c r="A678" t="s">
        <v>705</v>
      </c>
      <c r="B678" t="s">
        <v>7964</v>
      </c>
    </row>
    <row r="679" spans="1:2" x14ac:dyDescent="0.25">
      <c r="A679" t="s">
        <v>706</v>
      </c>
      <c r="B679" t="s">
        <v>7965</v>
      </c>
    </row>
    <row r="680" spans="1:2" x14ac:dyDescent="0.25">
      <c r="A680" t="s">
        <v>707</v>
      </c>
      <c r="B680" t="s">
        <v>7966</v>
      </c>
    </row>
    <row r="681" spans="1:2" x14ac:dyDescent="0.25">
      <c r="A681" t="s">
        <v>708</v>
      </c>
      <c r="B681" t="s">
        <v>7967</v>
      </c>
    </row>
    <row r="682" spans="1:2" x14ac:dyDescent="0.25">
      <c r="A682" t="s">
        <v>709</v>
      </c>
      <c r="B682" t="s">
        <v>7968</v>
      </c>
    </row>
    <row r="683" spans="1:2" x14ac:dyDescent="0.25">
      <c r="A683" t="s">
        <v>710</v>
      </c>
      <c r="B683" t="s">
        <v>7969</v>
      </c>
    </row>
    <row r="684" spans="1:2" x14ac:dyDescent="0.25">
      <c r="A684" t="s">
        <v>711</v>
      </c>
      <c r="B684" t="s">
        <v>7970</v>
      </c>
    </row>
    <row r="685" spans="1:2" x14ac:dyDescent="0.25">
      <c r="A685" t="s">
        <v>712</v>
      </c>
      <c r="B685" t="s">
        <v>7971</v>
      </c>
    </row>
    <row r="686" spans="1:2" x14ac:dyDescent="0.25">
      <c r="A686" t="s">
        <v>713</v>
      </c>
      <c r="B686" t="s">
        <v>7972</v>
      </c>
    </row>
    <row r="687" spans="1:2" x14ac:dyDescent="0.25">
      <c r="A687" t="s">
        <v>714</v>
      </c>
      <c r="B687" t="s">
        <v>7973</v>
      </c>
    </row>
    <row r="688" spans="1:2" x14ac:dyDescent="0.25">
      <c r="A688" t="s">
        <v>715</v>
      </c>
      <c r="B688" t="s">
        <v>7974</v>
      </c>
    </row>
    <row r="689" spans="1:2" x14ac:dyDescent="0.25">
      <c r="A689" t="s">
        <v>716</v>
      </c>
      <c r="B689" t="s">
        <v>7975</v>
      </c>
    </row>
    <row r="690" spans="1:2" x14ac:dyDescent="0.25">
      <c r="A690" t="s">
        <v>717</v>
      </c>
      <c r="B690" t="s">
        <v>7976</v>
      </c>
    </row>
    <row r="691" spans="1:2" x14ac:dyDescent="0.25">
      <c r="A691" t="s">
        <v>718</v>
      </c>
      <c r="B691" t="s">
        <v>7977</v>
      </c>
    </row>
    <row r="692" spans="1:2" x14ac:dyDescent="0.25">
      <c r="A692" t="s">
        <v>719</v>
      </c>
      <c r="B692" t="s">
        <v>7978</v>
      </c>
    </row>
    <row r="693" spans="1:2" x14ac:dyDescent="0.25">
      <c r="A693" t="s">
        <v>720</v>
      </c>
      <c r="B693" t="s">
        <v>7979</v>
      </c>
    </row>
    <row r="694" spans="1:2" x14ac:dyDescent="0.25">
      <c r="A694" t="s">
        <v>721</v>
      </c>
      <c r="B694" t="s">
        <v>7980</v>
      </c>
    </row>
    <row r="695" spans="1:2" x14ac:dyDescent="0.25">
      <c r="A695" t="s">
        <v>722</v>
      </c>
      <c r="B695" t="s">
        <v>7981</v>
      </c>
    </row>
    <row r="696" spans="1:2" x14ac:dyDescent="0.25">
      <c r="A696" t="s">
        <v>723</v>
      </c>
      <c r="B696" t="s">
        <v>7982</v>
      </c>
    </row>
    <row r="697" spans="1:2" x14ac:dyDescent="0.25">
      <c r="A697" t="s">
        <v>724</v>
      </c>
      <c r="B697" t="s">
        <v>7983</v>
      </c>
    </row>
    <row r="698" spans="1:2" x14ac:dyDescent="0.25">
      <c r="A698" t="s">
        <v>725</v>
      </c>
      <c r="B698" t="s">
        <v>7984</v>
      </c>
    </row>
    <row r="699" spans="1:2" x14ac:dyDescent="0.25">
      <c r="A699" t="s">
        <v>726</v>
      </c>
      <c r="B699" t="s">
        <v>7985</v>
      </c>
    </row>
    <row r="700" spans="1:2" x14ac:dyDescent="0.25">
      <c r="A700" t="s">
        <v>727</v>
      </c>
      <c r="B700" t="s">
        <v>7986</v>
      </c>
    </row>
    <row r="701" spans="1:2" x14ac:dyDescent="0.25">
      <c r="A701" t="s">
        <v>728</v>
      </c>
      <c r="B701" t="s">
        <v>7987</v>
      </c>
    </row>
    <row r="702" spans="1:2" x14ac:dyDescent="0.25">
      <c r="A702" t="s">
        <v>729</v>
      </c>
      <c r="B702" t="s">
        <v>7988</v>
      </c>
    </row>
    <row r="703" spans="1:2" x14ac:dyDescent="0.25">
      <c r="A703" t="s">
        <v>730</v>
      </c>
      <c r="B703" t="s">
        <v>7989</v>
      </c>
    </row>
    <row r="704" spans="1:2" x14ac:dyDescent="0.25">
      <c r="A704" t="s">
        <v>731</v>
      </c>
      <c r="B704" t="s">
        <v>7990</v>
      </c>
    </row>
    <row r="705" spans="1:2" x14ac:dyDescent="0.25">
      <c r="A705" t="s">
        <v>732</v>
      </c>
      <c r="B705" t="s">
        <v>7991</v>
      </c>
    </row>
    <row r="706" spans="1:2" x14ac:dyDescent="0.25">
      <c r="A706" t="s">
        <v>733</v>
      </c>
      <c r="B706" t="s">
        <v>7992</v>
      </c>
    </row>
    <row r="707" spans="1:2" x14ac:dyDescent="0.25">
      <c r="A707" t="s">
        <v>734</v>
      </c>
      <c r="B707" t="s">
        <v>7993</v>
      </c>
    </row>
    <row r="708" spans="1:2" x14ac:dyDescent="0.25">
      <c r="A708" t="s">
        <v>735</v>
      </c>
      <c r="B708" t="s">
        <v>7994</v>
      </c>
    </row>
    <row r="709" spans="1:2" x14ac:dyDescent="0.25">
      <c r="A709" t="s">
        <v>736</v>
      </c>
      <c r="B709" t="s">
        <v>7995</v>
      </c>
    </row>
    <row r="710" spans="1:2" x14ac:dyDescent="0.25">
      <c r="A710" t="s">
        <v>737</v>
      </c>
      <c r="B710" t="s">
        <v>7996</v>
      </c>
    </row>
    <row r="711" spans="1:2" x14ac:dyDescent="0.25">
      <c r="A711" t="s">
        <v>738</v>
      </c>
      <c r="B711" t="s">
        <v>7997</v>
      </c>
    </row>
    <row r="712" spans="1:2" x14ac:dyDescent="0.25">
      <c r="A712" t="s">
        <v>739</v>
      </c>
      <c r="B712" t="s">
        <v>7998</v>
      </c>
    </row>
    <row r="713" spans="1:2" x14ac:dyDescent="0.25">
      <c r="A713" t="s">
        <v>740</v>
      </c>
      <c r="B713" t="s">
        <v>7999</v>
      </c>
    </row>
    <row r="714" spans="1:2" x14ac:dyDescent="0.25">
      <c r="A714" t="s">
        <v>741</v>
      </c>
      <c r="B714" t="s">
        <v>8000</v>
      </c>
    </row>
    <row r="715" spans="1:2" x14ac:dyDescent="0.25">
      <c r="A715" t="s">
        <v>742</v>
      </c>
      <c r="B715" t="s">
        <v>8001</v>
      </c>
    </row>
    <row r="716" spans="1:2" x14ac:dyDescent="0.25">
      <c r="A716" t="s">
        <v>743</v>
      </c>
      <c r="B716" t="s">
        <v>8002</v>
      </c>
    </row>
    <row r="717" spans="1:2" x14ac:dyDescent="0.25">
      <c r="A717" t="s">
        <v>744</v>
      </c>
      <c r="B717" t="s">
        <v>8003</v>
      </c>
    </row>
    <row r="718" spans="1:2" x14ac:dyDescent="0.25">
      <c r="A718" t="s">
        <v>745</v>
      </c>
      <c r="B718" t="s">
        <v>8004</v>
      </c>
    </row>
    <row r="719" spans="1:2" x14ac:dyDescent="0.25">
      <c r="A719" t="s">
        <v>746</v>
      </c>
      <c r="B719" t="s">
        <v>8005</v>
      </c>
    </row>
    <row r="720" spans="1:2" x14ac:dyDescent="0.25">
      <c r="A720" t="s">
        <v>747</v>
      </c>
      <c r="B720" t="s">
        <v>8006</v>
      </c>
    </row>
    <row r="721" spans="1:2" x14ac:dyDescent="0.25">
      <c r="A721" t="s">
        <v>748</v>
      </c>
      <c r="B721" t="s">
        <v>8007</v>
      </c>
    </row>
    <row r="722" spans="1:2" x14ac:dyDescent="0.25">
      <c r="A722" t="s">
        <v>749</v>
      </c>
      <c r="B722" t="s">
        <v>8008</v>
      </c>
    </row>
    <row r="723" spans="1:2" x14ac:dyDescent="0.25">
      <c r="A723" t="s">
        <v>750</v>
      </c>
      <c r="B723" t="s">
        <v>8009</v>
      </c>
    </row>
    <row r="724" spans="1:2" x14ac:dyDescent="0.25">
      <c r="A724" t="s">
        <v>751</v>
      </c>
      <c r="B724" t="s">
        <v>8010</v>
      </c>
    </row>
    <row r="725" spans="1:2" x14ac:dyDescent="0.25">
      <c r="A725" t="s">
        <v>752</v>
      </c>
      <c r="B725" t="s">
        <v>8011</v>
      </c>
    </row>
    <row r="726" spans="1:2" x14ac:dyDescent="0.25">
      <c r="A726" t="s">
        <v>753</v>
      </c>
      <c r="B726" t="s">
        <v>8012</v>
      </c>
    </row>
    <row r="727" spans="1:2" x14ac:dyDescent="0.25">
      <c r="A727" t="s">
        <v>754</v>
      </c>
      <c r="B727" t="s">
        <v>8013</v>
      </c>
    </row>
    <row r="728" spans="1:2" x14ac:dyDescent="0.25">
      <c r="A728" t="s">
        <v>755</v>
      </c>
      <c r="B728" t="s">
        <v>8014</v>
      </c>
    </row>
    <row r="729" spans="1:2" x14ac:dyDescent="0.25">
      <c r="A729" t="s">
        <v>756</v>
      </c>
      <c r="B729" t="s">
        <v>8015</v>
      </c>
    </row>
    <row r="730" spans="1:2" x14ac:dyDescent="0.25">
      <c r="A730" t="s">
        <v>757</v>
      </c>
      <c r="B730" t="s">
        <v>8016</v>
      </c>
    </row>
    <row r="731" spans="1:2" x14ac:dyDescent="0.25">
      <c r="A731" t="s">
        <v>758</v>
      </c>
      <c r="B731" t="s">
        <v>8017</v>
      </c>
    </row>
    <row r="732" spans="1:2" x14ac:dyDescent="0.25">
      <c r="A732" t="s">
        <v>759</v>
      </c>
      <c r="B732" t="s">
        <v>8018</v>
      </c>
    </row>
    <row r="733" spans="1:2" x14ac:dyDescent="0.25">
      <c r="A733" t="s">
        <v>760</v>
      </c>
      <c r="B733" t="s">
        <v>8019</v>
      </c>
    </row>
    <row r="734" spans="1:2" x14ac:dyDescent="0.25">
      <c r="A734" t="s">
        <v>761</v>
      </c>
      <c r="B734" t="s">
        <v>8020</v>
      </c>
    </row>
    <row r="735" spans="1:2" x14ac:dyDescent="0.25">
      <c r="A735" t="s">
        <v>762</v>
      </c>
      <c r="B735" t="s">
        <v>8021</v>
      </c>
    </row>
    <row r="736" spans="1:2" x14ac:dyDescent="0.25">
      <c r="A736" t="s">
        <v>763</v>
      </c>
      <c r="B736" t="s">
        <v>8022</v>
      </c>
    </row>
    <row r="737" spans="1:2" x14ac:dyDescent="0.25">
      <c r="A737" t="s">
        <v>764</v>
      </c>
      <c r="B737" t="s">
        <v>8023</v>
      </c>
    </row>
    <row r="738" spans="1:2" x14ac:dyDescent="0.25">
      <c r="A738" t="s">
        <v>765</v>
      </c>
      <c r="B738" t="s">
        <v>8024</v>
      </c>
    </row>
    <row r="739" spans="1:2" x14ac:dyDescent="0.25">
      <c r="A739" t="s">
        <v>766</v>
      </c>
      <c r="B739" t="s">
        <v>8025</v>
      </c>
    </row>
    <row r="740" spans="1:2" x14ac:dyDescent="0.25">
      <c r="A740" t="s">
        <v>767</v>
      </c>
      <c r="B740" t="s">
        <v>8026</v>
      </c>
    </row>
    <row r="741" spans="1:2" x14ac:dyDescent="0.25">
      <c r="A741" t="s">
        <v>768</v>
      </c>
      <c r="B741" t="s">
        <v>8027</v>
      </c>
    </row>
    <row r="742" spans="1:2" x14ac:dyDescent="0.25">
      <c r="A742" t="s">
        <v>769</v>
      </c>
      <c r="B742" t="s">
        <v>8028</v>
      </c>
    </row>
    <row r="743" spans="1:2" x14ac:dyDescent="0.25">
      <c r="A743" t="s">
        <v>770</v>
      </c>
      <c r="B743" t="s">
        <v>8029</v>
      </c>
    </row>
    <row r="744" spans="1:2" x14ac:dyDescent="0.25">
      <c r="A744" t="s">
        <v>771</v>
      </c>
      <c r="B744" t="s">
        <v>8030</v>
      </c>
    </row>
    <row r="745" spans="1:2" x14ac:dyDescent="0.25">
      <c r="A745" t="s">
        <v>772</v>
      </c>
      <c r="B745" t="s">
        <v>8031</v>
      </c>
    </row>
    <row r="746" spans="1:2" x14ac:dyDescent="0.25">
      <c r="A746" t="s">
        <v>773</v>
      </c>
      <c r="B746" t="s">
        <v>8032</v>
      </c>
    </row>
    <row r="747" spans="1:2" x14ac:dyDescent="0.25">
      <c r="A747" t="s">
        <v>774</v>
      </c>
      <c r="B747" t="s">
        <v>8033</v>
      </c>
    </row>
    <row r="748" spans="1:2" x14ac:dyDescent="0.25">
      <c r="A748" t="s">
        <v>775</v>
      </c>
      <c r="B748" t="s">
        <v>8034</v>
      </c>
    </row>
    <row r="749" spans="1:2" x14ac:dyDescent="0.25">
      <c r="A749" t="s">
        <v>776</v>
      </c>
      <c r="B749" t="s">
        <v>8035</v>
      </c>
    </row>
    <row r="750" spans="1:2" x14ac:dyDescent="0.25">
      <c r="A750" t="s">
        <v>777</v>
      </c>
      <c r="B750" t="s">
        <v>8036</v>
      </c>
    </row>
    <row r="751" spans="1:2" x14ac:dyDescent="0.25">
      <c r="A751" t="s">
        <v>778</v>
      </c>
      <c r="B751" t="s">
        <v>8037</v>
      </c>
    </row>
    <row r="752" spans="1:2" x14ac:dyDescent="0.25">
      <c r="A752" t="s">
        <v>779</v>
      </c>
      <c r="B752" t="s">
        <v>8038</v>
      </c>
    </row>
    <row r="753" spans="1:2" x14ac:dyDescent="0.25">
      <c r="A753" t="s">
        <v>780</v>
      </c>
      <c r="B753" t="s">
        <v>8039</v>
      </c>
    </row>
    <row r="754" spans="1:2" x14ac:dyDescent="0.25">
      <c r="A754" t="s">
        <v>781</v>
      </c>
      <c r="B754" t="s">
        <v>8040</v>
      </c>
    </row>
    <row r="755" spans="1:2" x14ac:dyDescent="0.25">
      <c r="A755" t="s">
        <v>782</v>
      </c>
      <c r="B755" t="s">
        <v>8041</v>
      </c>
    </row>
    <row r="756" spans="1:2" x14ac:dyDescent="0.25">
      <c r="A756" t="s">
        <v>783</v>
      </c>
      <c r="B756" t="s">
        <v>8042</v>
      </c>
    </row>
    <row r="757" spans="1:2" x14ac:dyDescent="0.25">
      <c r="A757" t="s">
        <v>784</v>
      </c>
      <c r="B757" t="s">
        <v>8043</v>
      </c>
    </row>
    <row r="758" spans="1:2" x14ac:dyDescent="0.25">
      <c r="A758" t="s">
        <v>785</v>
      </c>
      <c r="B758" t="s">
        <v>8044</v>
      </c>
    </row>
    <row r="759" spans="1:2" x14ac:dyDescent="0.25">
      <c r="A759" t="s">
        <v>786</v>
      </c>
      <c r="B759" t="s">
        <v>8045</v>
      </c>
    </row>
    <row r="760" spans="1:2" x14ac:dyDescent="0.25">
      <c r="A760" t="s">
        <v>787</v>
      </c>
      <c r="B760" t="s">
        <v>8046</v>
      </c>
    </row>
    <row r="761" spans="1:2" x14ac:dyDescent="0.25">
      <c r="A761" t="s">
        <v>788</v>
      </c>
      <c r="B761" t="s">
        <v>8047</v>
      </c>
    </row>
    <row r="762" spans="1:2" x14ac:dyDescent="0.25">
      <c r="A762" t="s">
        <v>789</v>
      </c>
      <c r="B762" t="s">
        <v>8048</v>
      </c>
    </row>
    <row r="763" spans="1:2" x14ac:dyDescent="0.25">
      <c r="A763" t="s">
        <v>790</v>
      </c>
      <c r="B763" t="s">
        <v>8049</v>
      </c>
    </row>
    <row r="764" spans="1:2" x14ac:dyDescent="0.25">
      <c r="A764" t="s">
        <v>791</v>
      </c>
      <c r="B764" t="s">
        <v>8050</v>
      </c>
    </row>
    <row r="765" spans="1:2" x14ac:dyDescent="0.25">
      <c r="A765" t="s">
        <v>792</v>
      </c>
      <c r="B765" t="s">
        <v>8051</v>
      </c>
    </row>
    <row r="766" spans="1:2" x14ac:dyDescent="0.25">
      <c r="A766" t="s">
        <v>793</v>
      </c>
      <c r="B766" t="s">
        <v>8052</v>
      </c>
    </row>
    <row r="767" spans="1:2" x14ac:dyDescent="0.25">
      <c r="A767" t="s">
        <v>794</v>
      </c>
      <c r="B767" t="s">
        <v>8053</v>
      </c>
    </row>
    <row r="768" spans="1:2" x14ac:dyDescent="0.25">
      <c r="A768" t="s">
        <v>795</v>
      </c>
      <c r="B768" t="s">
        <v>8054</v>
      </c>
    </row>
    <row r="769" spans="1:2" x14ac:dyDescent="0.25">
      <c r="A769" t="s">
        <v>796</v>
      </c>
      <c r="B769" t="s">
        <v>8055</v>
      </c>
    </row>
    <row r="770" spans="1:2" x14ac:dyDescent="0.25">
      <c r="A770" t="s">
        <v>797</v>
      </c>
      <c r="B770" t="s">
        <v>8056</v>
      </c>
    </row>
    <row r="771" spans="1:2" x14ac:dyDescent="0.25">
      <c r="A771" t="s">
        <v>798</v>
      </c>
      <c r="B771" t="s">
        <v>8057</v>
      </c>
    </row>
    <row r="772" spans="1:2" x14ac:dyDescent="0.25">
      <c r="A772" t="s">
        <v>799</v>
      </c>
      <c r="B772" t="s">
        <v>8058</v>
      </c>
    </row>
    <row r="773" spans="1:2" x14ac:dyDescent="0.25">
      <c r="A773" t="s">
        <v>800</v>
      </c>
      <c r="B773" t="s">
        <v>8059</v>
      </c>
    </row>
    <row r="774" spans="1:2" x14ac:dyDescent="0.25">
      <c r="A774" t="s">
        <v>801</v>
      </c>
      <c r="B774" t="s">
        <v>8060</v>
      </c>
    </row>
    <row r="775" spans="1:2" x14ac:dyDescent="0.25">
      <c r="A775" t="s">
        <v>802</v>
      </c>
      <c r="B775" t="s">
        <v>8061</v>
      </c>
    </row>
    <row r="776" spans="1:2" x14ac:dyDescent="0.25">
      <c r="A776" t="s">
        <v>803</v>
      </c>
      <c r="B776" t="s">
        <v>8062</v>
      </c>
    </row>
    <row r="777" spans="1:2" x14ac:dyDescent="0.25">
      <c r="A777" t="s">
        <v>804</v>
      </c>
      <c r="B777" t="s">
        <v>8063</v>
      </c>
    </row>
    <row r="778" spans="1:2" x14ac:dyDescent="0.25">
      <c r="A778" t="s">
        <v>805</v>
      </c>
      <c r="B778" t="s">
        <v>8064</v>
      </c>
    </row>
    <row r="779" spans="1:2" x14ac:dyDescent="0.25">
      <c r="A779" t="s">
        <v>806</v>
      </c>
      <c r="B779" t="s">
        <v>8065</v>
      </c>
    </row>
    <row r="780" spans="1:2" x14ac:dyDescent="0.25">
      <c r="A780" t="s">
        <v>807</v>
      </c>
      <c r="B780" t="s">
        <v>8066</v>
      </c>
    </row>
    <row r="781" spans="1:2" x14ac:dyDescent="0.25">
      <c r="A781" t="s">
        <v>808</v>
      </c>
      <c r="B781" t="s">
        <v>8067</v>
      </c>
    </row>
    <row r="782" spans="1:2" x14ac:dyDescent="0.25">
      <c r="A782" t="s">
        <v>809</v>
      </c>
      <c r="B782" t="s">
        <v>8068</v>
      </c>
    </row>
    <row r="783" spans="1:2" x14ac:dyDescent="0.25">
      <c r="A783" t="s">
        <v>810</v>
      </c>
      <c r="B783" t="s">
        <v>8069</v>
      </c>
    </row>
    <row r="784" spans="1:2" x14ac:dyDescent="0.25">
      <c r="A784" t="s">
        <v>811</v>
      </c>
      <c r="B784" t="s">
        <v>8070</v>
      </c>
    </row>
    <row r="785" spans="1:2" x14ac:dyDescent="0.25">
      <c r="A785" t="s">
        <v>812</v>
      </c>
      <c r="B785" t="s">
        <v>8071</v>
      </c>
    </row>
    <row r="786" spans="1:2" x14ac:dyDescent="0.25">
      <c r="A786" t="s">
        <v>813</v>
      </c>
      <c r="B786" t="s">
        <v>8072</v>
      </c>
    </row>
    <row r="787" spans="1:2" x14ac:dyDescent="0.25">
      <c r="A787" t="s">
        <v>814</v>
      </c>
      <c r="B787" t="s">
        <v>8073</v>
      </c>
    </row>
    <row r="788" spans="1:2" x14ac:dyDescent="0.25">
      <c r="A788" t="s">
        <v>815</v>
      </c>
      <c r="B788" t="s">
        <v>8074</v>
      </c>
    </row>
    <row r="789" spans="1:2" x14ac:dyDescent="0.25">
      <c r="A789" t="s">
        <v>816</v>
      </c>
      <c r="B789" t="s">
        <v>8075</v>
      </c>
    </row>
    <row r="790" spans="1:2" x14ac:dyDescent="0.25">
      <c r="A790" t="s">
        <v>817</v>
      </c>
      <c r="B790" t="s">
        <v>8076</v>
      </c>
    </row>
    <row r="791" spans="1:2" x14ac:dyDescent="0.25">
      <c r="A791" t="s">
        <v>22</v>
      </c>
      <c r="B791" t="s">
        <v>8077</v>
      </c>
    </row>
    <row r="792" spans="1:2" x14ac:dyDescent="0.25">
      <c r="A792" t="s">
        <v>818</v>
      </c>
      <c r="B792" t="s">
        <v>8078</v>
      </c>
    </row>
    <row r="793" spans="1:2" x14ac:dyDescent="0.25">
      <c r="A793" t="s">
        <v>819</v>
      </c>
      <c r="B793" t="s">
        <v>8079</v>
      </c>
    </row>
    <row r="794" spans="1:2" x14ac:dyDescent="0.25">
      <c r="A794" t="s">
        <v>820</v>
      </c>
      <c r="B794" t="s">
        <v>8080</v>
      </c>
    </row>
    <row r="795" spans="1:2" x14ac:dyDescent="0.25">
      <c r="A795" t="s">
        <v>821</v>
      </c>
      <c r="B795" t="s">
        <v>8081</v>
      </c>
    </row>
    <row r="796" spans="1:2" x14ac:dyDescent="0.25">
      <c r="A796" t="s">
        <v>822</v>
      </c>
      <c r="B796" t="s">
        <v>8082</v>
      </c>
    </row>
    <row r="797" spans="1:2" x14ac:dyDescent="0.25">
      <c r="A797" t="s">
        <v>823</v>
      </c>
      <c r="B797" t="s">
        <v>8083</v>
      </c>
    </row>
    <row r="798" spans="1:2" x14ac:dyDescent="0.25">
      <c r="A798" t="s">
        <v>824</v>
      </c>
      <c r="B798" t="s">
        <v>8084</v>
      </c>
    </row>
    <row r="799" spans="1:2" x14ac:dyDescent="0.25">
      <c r="A799" t="s">
        <v>825</v>
      </c>
      <c r="B799" t="s">
        <v>8085</v>
      </c>
    </row>
    <row r="800" spans="1:2" x14ac:dyDescent="0.25">
      <c r="A800" t="s">
        <v>826</v>
      </c>
      <c r="B800" t="s">
        <v>8086</v>
      </c>
    </row>
    <row r="801" spans="1:2" x14ac:dyDescent="0.25">
      <c r="A801" t="s">
        <v>827</v>
      </c>
      <c r="B801" t="s">
        <v>8087</v>
      </c>
    </row>
    <row r="802" spans="1:2" x14ac:dyDescent="0.25">
      <c r="A802" t="s">
        <v>828</v>
      </c>
      <c r="B802" t="s">
        <v>8088</v>
      </c>
    </row>
    <row r="803" spans="1:2" x14ac:dyDescent="0.25">
      <c r="A803" t="s">
        <v>829</v>
      </c>
      <c r="B803" t="s">
        <v>8089</v>
      </c>
    </row>
    <row r="804" spans="1:2" x14ac:dyDescent="0.25">
      <c r="A804" t="s">
        <v>830</v>
      </c>
      <c r="B804" t="s">
        <v>8090</v>
      </c>
    </row>
    <row r="805" spans="1:2" x14ac:dyDescent="0.25">
      <c r="A805" t="s">
        <v>831</v>
      </c>
      <c r="B805" t="s">
        <v>8091</v>
      </c>
    </row>
    <row r="806" spans="1:2" x14ac:dyDescent="0.25">
      <c r="A806" t="s">
        <v>832</v>
      </c>
      <c r="B806" t="s">
        <v>8092</v>
      </c>
    </row>
    <row r="807" spans="1:2" x14ac:dyDescent="0.25">
      <c r="A807" t="s">
        <v>833</v>
      </c>
      <c r="B807" t="s">
        <v>8093</v>
      </c>
    </row>
    <row r="808" spans="1:2" x14ac:dyDescent="0.25">
      <c r="A808" t="s">
        <v>834</v>
      </c>
      <c r="B808" t="s">
        <v>8094</v>
      </c>
    </row>
    <row r="809" spans="1:2" x14ac:dyDescent="0.25">
      <c r="A809" t="s">
        <v>835</v>
      </c>
      <c r="B809" t="s">
        <v>8095</v>
      </c>
    </row>
    <row r="810" spans="1:2" x14ac:dyDescent="0.25">
      <c r="A810" t="s">
        <v>836</v>
      </c>
      <c r="B810" t="s">
        <v>8096</v>
      </c>
    </row>
    <row r="811" spans="1:2" x14ac:dyDescent="0.25">
      <c r="A811" t="s">
        <v>837</v>
      </c>
      <c r="B811" t="s">
        <v>8097</v>
      </c>
    </row>
    <row r="812" spans="1:2" x14ac:dyDescent="0.25">
      <c r="A812" t="s">
        <v>838</v>
      </c>
      <c r="B812" t="s">
        <v>8098</v>
      </c>
    </row>
    <row r="813" spans="1:2" x14ac:dyDescent="0.25">
      <c r="A813" t="s">
        <v>839</v>
      </c>
      <c r="B813" t="s">
        <v>8099</v>
      </c>
    </row>
    <row r="814" spans="1:2" x14ac:dyDescent="0.25">
      <c r="A814" t="s">
        <v>840</v>
      </c>
      <c r="B814" t="s">
        <v>8100</v>
      </c>
    </row>
    <row r="815" spans="1:2" x14ac:dyDescent="0.25">
      <c r="A815" t="s">
        <v>841</v>
      </c>
      <c r="B815" t="s">
        <v>8101</v>
      </c>
    </row>
    <row r="816" spans="1:2" x14ac:dyDescent="0.25">
      <c r="A816" t="s">
        <v>842</v>
      </c>
      <c r="B816" t="s">
        <v>8102</v>
      </c>
    </row>
    <row r="817" spans="1:2" x14ac:dyDescent="0.25">
      <c r="A817" t="s">
        <v>843</v>
      </c>
      <c r="B817" t="s">
        <v>8103</v>
      </c>
    </row>
    <row r="818" spans="1:2" x14ac:dyDescent="0.25">
      <c r="A818" t="s">
        <v>844</v>
      </c>
      <c r="B818" t="s">
        <v>8104</v>
      </c>
    </row>
    <row r="819" spans="1:2" x14ac:dyDescent="0.25">
      <c r="A819" t="s">
        <v>845</v>
      </c>
      <c r="B819" t="s">
        <v>8105</v>
      </c>
    </row>
    <row r="820" spans="1:2" x14ac:dyDescent="0.25">
      <c r="A820" t="s">
        <v>846</v>
      </c>
      <c r="B820" t="s">
        <v>8106</v>
      </c>
    </row>
    <row r="821" spans="1:2" x14ac:dyDescent="0.25">
      <c r="A821" t="s">
        <v>847</v>
      </c>
      <c r="B821" t="s">
        <v>8107</v>
      </c>
    </row>
    <row r="822" spans="1:2" x14ac:dyDescent="0.25">
      <c r="A822" t="s">
        <v>848</v>
      </c>
      <c r="B822" t="s">
        <v>8108</v>
      </c>
    </row>
    <row r="823" spans="1:2" x14ac:dyDescent="0.25">
      <c r="A823" t="s">
        <v>849</v>
      </c>
      <c r="B823" t="s">
        <v>8109</v>
      </c>
    </row>
    <row r="824" spans="1:2" x14ac:dyDescent="0.25">
      <c r="A824" t="s">
        <v>850</v>
      </c>
      <c r="B824" t="s">
        <v>8110</v>
      </c>
    </row>
    <row r="825" spans="1:2" x14ac:dyDescent="0.25">
      <c r="A825" t="s">
        <v>851</v>
      </c>
      <c r="B825" t="s">
        <v>8111</v>
      </c>
    </row>
    <row r="826" spans="1:2" x14ac:dyDescent="0.25">
      <c r="A826" t="s">
        <v>852</v>
      </c>
      <c r="B826" t="s">
        <v>8112</v>
      </c>
    </row>
    <row r="827" spans="1:2" x14ac:dyDescent="0.25">
      <c r="A827" t="s">
        <v>853</v>
      </c>
      <c r="B827" t="s">
        <v>8113</v>
      </c>
    </row>
    <row r="828" spans="1:2" x14ac:dyDescent="0.25">
      <c r="A828" t="s">
        <v>854</v>
      </c>
      <c r="B828" t="s">
        <v>8114</v>
      </c>
    </row>
    <row r="829" spans="1:2" x14ac:dyDescent="0.25">
      <c r="A829" t="s">
        <v>855</v>
      </c>
      <c r="B829" t="s">
        <v>8115</v>
      </c>
    </row>
    <row r="830" spans="1:2" x14ac:dyDescent="0.25">
      <c r="A830" t="s">
        <v>856</v>
      </c>
      <c r="B830" t="s">
        <v>8116</v>
      </c>
    </row>
    <row r="831" spans="1:2" x14ac:dyDescent="0.25">
      <c r="A831" t="s">
        <v>857</v>
      </c>
      <c r="B831" t="s">
        <v>8117</v>
      </c>
    </row>
    <row r="832" spans="1:2" x14ac:dyDescent="0.25">
      <c r="A832" t="s">
        <v>858</v>
      </c>
      <c r="B832" t="s">
        <v>8118</v>
      </c>
    </row>
    <row r="833" spans="1:2" x14ac:dyDescent="0.25">
      <c r="A833" t="s">
        <v>859</v>
      </c>
      <c r="B833" t="s">
        <v>8119</v>
      </c>
    </row>
    <row r="834" spans="1:2" x14ac:dyDescent="0.25">
      <c r="A834" t="s">
        <v>860</v>
      </c>
      <c r="B834" t="s">
        <v>8120</v>
      </c>
    </row>
    <row r="835" spans="1:2" x14ac:dyDescent="0.25">
      <c r="A835" t="s">
        <v>861</v>
      </c>
      <c r="B835" t="s">
        <v>8121</v>
      </c>
    </row>
    <row r="836" spans="1:2" x14ac:dyDescent="0.25">
      <c r="A836" t="s">
        <v>862</v>
      </c>
      <c r="B836" t="s">
        <v>8122</v>
      </c>
    </row>
    <row r="837" spans="1:2" x14ac:dyDescent="0.25">
      <c r="A837" t="s">
        <v>863</v>
      </c>
      <c r="B837" t="s">
        <v>8123</v>
      </c>
    </row>
    <row r="838" spans="1:2" x14ac:dyDescent="0.25">
      <c r="A838" t="s">
        <v>864</v>
      </c>
      <c r="B838" t="s">
        <v>8124</v>
      </c>
    </row>
    <row r="839" spans="1:2" x14ac:dyDescent="0.25">
      <c r="A839" t="s">
        <v>865</v>
      </c>
      <c r="B839" t="s">
        <v>8125</v>
      </c>
    </row>
    <row r="840" spans="1:2" x14ac:dyDescent="0.25">
      <c r="A840" t="s">
        <v>866</v>
      </c>
      <c r="B840" t="s">
        <v>8126</v>
      </c>
    </row>
    <row r="841" spans="1:2" x14ac:dyDescent="0.25">
      <c r="A841" t="s">
        <v>867</v>
      </c>
      <c r="B841" t="s">
        <v>8127</v>
      </c>
    </row>
    <row r="842" spans="1:2" x14ac:dyDescent="0.25">
      <c r="A842" t="s">
        <v>868</v>
      </c>
      <c r="B842" t="s">
        <v>8128</v>
      </c>
    </row>
    <row r="843" spans="1:2" x14ac:dyDescent="0.25">
      <c r="A843" t="s">
        <v>869</v>
      </c>
      <c r="B843" t="s">
        <v>8129</v>
      </c>
    </row>
    <row r="844" spans="1:2" x14ac:dyDescent="0.25">
      <c r="A844" t="s">
        <v>870</v>
      </c>
      <c r="B844" t="s">
        <v>8130</v>
      </c>
    </row>
    <row r="845" spans="1:2" x14ac:dyDescent="0.25">
      <c r="A845" t="s">
        <v>871</v>
      </c>
      <c r="B845" t="s">
        <v>8131</v>
      </c>
    </row>
    <row r="846" spans="1:2" x14ac:dyDescent="0.25">
      <c r="A846" t="s">
        <v>872</v>
      </c>
      <c r="B846" t="s">
        <v>8132</v>
      </c>
    </row>
    <row r="847" spans="1:2" x14ac:dyDescent="0.25">
      <c r="A847" t="s">
        <v>873</v>
      </c>
      <c r="B847" t="s">
        <v>8133</v>
      </c>
    </row>
    <row r="848" spans="1:2" x14ac:dyDescent="0.25">
      <c r="A848" t="s">
        <v>874</v>
      </c>
      <c r="B848" t="s">
        <v>8134</v>
      </c>
    </row>
    <row r="849" spans="1:2" x14ac:dyDescent="0.25">
      <c r="A849" t="s">
        <v>875</v>
      </c>
      <c r="B849" t="s">
        <v>8135</v>
      </c>
    </row>
    <row r="850" spans="1:2" x14ac:dyDescent="0.25">
      <c r="A850" t="s">
        <v>876</v>
      </c>
      <c r="B850" t="s">
        <v>8136</v>
      </c>
    </row>
    <row r="851" spans="1:2" x14ac:dyDescent="0.25">
      <c r="A851" t="s">
        <v>877</v>
      </c>
      <c r="B851" t="s">
        <v>8137</v>
      </c>
    </row>
    <row r="852" spans="1:2" x14ac:dyDescent="0.25">
      <c r="A852" t="s">
        <v>878</v>
      </c>
      <c r="B852" t="s">
        <v>8138</v>
      </c>
    </row>
    <row r="853" spans="1:2" x14ac:dyDescent="0.25">
      <c r="A853" t="s">
        <v>879</v>
      </c>
      <c r="B853" t="s">
        <v>8139</v>
      </c>
    </row>
    <row r="854" spans="1:2" x14ac:dyDescent="0.25">
      <c r="A854" t="s">
        <v>880</v>
      </c>
      <c r="B854" t="s">
        <v>8140</v>
      </c>
    </row>
    <row r="855" spans="1:2" x14ac:dyDescent="0.25">
      <c r="A855" t="s">
        <v>881</v>
      </c>
      <c r="B855" t="s">
        <v>8141</v>
      </c>
    </row>
    <row r="856" spans="1:2" x14ac:dyDescent="0.25">
      <c r="A856" t="s">
        <v>882</v>
      </c>
      <c r="B856" t="s">
        <v>8142</v>
      </c>
    </row>
    <row r="857" spans="1:2" x14ac:dyDescent="0.25">
      <c r="A857" t="s">
        <v>883</v>
      </c>
      <c r="B857" t="s">
        <v>8143</v>
      </c>
    </row>
    <row r="858" spans="1:2" x14ac:dyDescent="0.25">
      <c r="A858" t="s">
        <v>884</v>
      </c>
      <c r="B858" t="s">
        <v>8144</v>
      </c>
    </row>
    <row r="859" spans="1:2" x14ac:dyDescent="0.25">
      <c r="A859" t="s">
        <v>885</v>
      </c>
      <c r="B859" t="s">
        <v>8144</v>
      </c>
    </row>
    <row r="860" spans="1:2" x14ac:dyDescent="0.25">
      <c r="A860" t="s">
        <v>886</v>
      </c>
      <c r="B860" t="s">
        <v>8145</v>
      </c>
    </row>
    <row r="861" spans="1:2" x14ac:dyDescent="0.25">
      <c r="A861" t="s">
        <v>887</v>
      </c>
      <c r="B861" t="s">
        <v>8146</v>
      </c>
    </row>
    <row r="862" spans="1:2" x14ac:dyDescent="0.25">
      <c r="A862" t="s">
        <v>888</v>
      </c>
      <c r="B862" t="s">
        <v>8147</v>
      </c>
    </row>
    <row r="863" spans="1:2" x14ac:dyDescent="0.25">
      <c r="A863" t="s">
        <v>889</v>
      </c>
      <c r="B863" t="s">
        <v>8148</v>
      </c>
    </row>
    <row r="864" spans="1:2" x14ac:dyDescent="0.25">
      <c r="A864" t="s">
        <v>890</v>
      </c>
      <c r="B864" t="s">
        <v>8149</v>
      </c>
    </row>
    <row r="865" spans="1:2" x14ac:dyDescent="0.25">
      <c r="A865" t="s">
        <v>891</v>
      </c>
      <c r="B865" t="s">
        <v>8150</v>
      </c>
    </row>
    <row r="866" spans="1:2" x14ac:dyDescent="0.25">
      <c r="A866" t="s">
        <v>892</v>
      </c>
      <c r="B866" t="s">
        <v>8151</v>
      </c>
    </row>
    <row r="867" spans="1:2" x14ac:dyDescent="0.25">
      <c r="A867" t="s">
        <v>893</v>
      </c>
      <c r="B867" t="s">
        <v>8152</v>
      </c>
    </row>
    <row r="868" spans="1:2" x14ac:dyDescent="0.25">
      <c r="A868" t="s">
        <v>894</v>
      </c>
      <c r="B868" t="s">
        <v>8153</v>
      </c>
    </row>
    <row r="869" spans="1:2" x14ac:dyDescent="0.25">
      <c r="A869" t="s">
        <v>895</v>
      </c>
      <c r="B869" t="s">
        <v>8154</v>
      </c>
    </row>
    <row r="870" spans="1:2" x14ac:dyDescent="0.25">
      <c r="A870" t="s">
        <v>896</v>
      </c>
      <c r="B870" t="s">
        <v>8155</v>
      </c>
    </row>
    <row r="871" spans="1:2" x14ac:dyDescent="0.25">
      <c r="A871" t="s">
        <v>897</v>
      </c>
      <c r="B871" t="s">
        <v>8156</v>
      </c>
    </row>
    <row r="872" spans="1:2" x14ac:dyDescent="0.25">
      <c r="A872" t="s">
        <v>898</v>
      </c>
      <c r="B872" t="s">
        <v>8157</v>
      </c>
    </row>
    <row r="873" spans="1:2" x14ac:dyDescent="0.25">
      <c r="A873" t="s">
        <v>899</v>
      </c>
      <c r="B873" t="s">
        <v>8158</v>
      </c>
    </row>
    <row r="874" spans="1:2" x14ac:dyDescent="0.25">
      <c r="A874" t="s">
        <v>900</v>
      </c>
      <c r="B874" t="s">
        <v>8159</v>
      </c>
    </row>
    <row r="875" spans="1:2" x14ac:dyDescent="0.25">
      <c r="A875" t="s">
        <v>901</v>
      </c>
      <c r="B875" t="s">
        <v>8160</v>
      </c>
    </row>
    <row r="876" spans="1:2" x14ac:dyDescent="0.25">
      <c r="A876" t="s">
        <v>902</v>
      </c>
      <c r="B876" t="s">
        <v>8161</v>
      </c>
    </row>
    <row r="877" spans="1:2" x14ac:dyDescent="0.25">
      <c r="A877" t="s">
        <v>903</v>
      </c>
      <c r="B877" t="s">
        <v>8162</v>
      </c>
    </row>
    <row r="878" spans="1:2" x14ac:dyDescent="0.25">
      <c r="A878" t="s">
        <v>904</v>
      </c>
      <c r="B878" t="s">
        <v>8163</v>
      </c>
    </row>
    <row r="879" spans="1:2" x14ac:dyDescent="0.25">
      <c r="A879" t="s">
        <v>905</v>
      </c>
      <c r="B879" t="s">
        <v>8164</v>
      </c>
    </row>
    <row r="880" spans="1:2" x14ac:dyDescent="0.25">
      <c r="A880" t="s">
        <v>906</v>
      </c>
      <c r="B880" t="s">
        <v>8165</v>
      </c>
    </row>
    <row r="881" spans="1:2" x14ac:dyDescent="0.25">
      <c r="A881" t="s">
        <v>907</v>
      </c>
      <c r="B881" t="s">
        <v>8166</v>
      </c>
    </row>
    <row r="882" spans="1:2" x14ac:dyDescent="0.25">
      <c r="A882" t="s">
        <v>908</v>
      </c>
      <c r="B882" t="s">
        <v>8167</v>
      </c>
    </row>
    <row r="883" spans="1:2" x14ac:dyDescent="0.25">
      <c r="A883" t="s">
        <v>909</v>
      </c>
      <c r="B883" t="s">
        <v>8168</v>
      </c>
    </row>
    <row r="884" spans="1:2" x14ac:dyDescent="0.25">
      <c r="A884" t="s">
        <v>910</v>
      </c>
      <c r="B884" t="s">
        <v>8169</v>
      </c>
    </row>
    <row r="885" spans="1:2" x14ac:dyDescent="0.25">
      <c r="A885" t="s">
        <v>911</v>
      </c>
      <c r="B885" t="s">
        <v>8170</v>
      </c>
    </row>
    <row r="886" spans="1:2" x14ac:dyDescent="0.25">
      <c r="A886" t="s">
        <v>912</v>
      </c>
      <c r="B886" t="s">
        <v>8171</v>
      </c>
    </row>
    <row r="887" spans="1:2" x14ac:dyDescent="0.25">
      <c r="A887" t="s">
        <v>913</v>
      </c>
      <c r="B887" t="s">
        <v>8172</v>
      </c>
    </row>
    <row r="888" spans="1:2" x14ac:dyDescent="0.25">
      <c r="A888" t="s">
        <v>914</v>
      </c>
      <c r="B888" t="s">
        <v>8173</v>
      </c>
    </row>
    <row r="889" spans="1:2" x14ac:dyDescent="0.25">
      <c r="A889" t="s">
        <v>915</v>
      </c>
      <c r="B889" t="s">
        <v>8174</v>
      </c>
    </row>
    <row r="890" spans="1:2" x14ac:dyDescent="0.25">
      <c r="A890" t="s">
        <v>916</v>
      </c>
      <c r="B890" t="s">
        <v>8175</v>
      </c>
    </row>
    <row r="891" spans="1:2" x14ac:dyDescent="0.25">
      <c r="A891" t="s">
        <v>917</v>
      </c>
      <c r="B891" t="s">
        <v>8176</v>
      </c>
    </row>
    <row r="892" spans="1:2" x14ac:dyDescent="0.25">
      <c r="A892" t="s">
        <v>918</v>
      </c>
      <c r="B892" t="s">
        <v>8177</v>
      </c>
    </row>
    <row r="893" spans="1:2" x14ac:dyDescent="0.25">
      <c r="A893" t="s">
        <v>919</v>
      </c>
      <c r="B893" t="s">
        <v>8178</v>
      </c>
    </row>
    <row r="894" spans="1:2" x14ac:dyDescent="0.25">
      <c r="A894" t="s">
        <v>920</v>
      </c>
      <c r="B894" t="s">
        <v>8179</v>
      </c>
    </row>
    <row r="895" spans="1:2" x14ac:dyDescent="0.25">
      <c r="A895" t="s">
        <v>921</v>
      </c>
      <c r="B895" t="s">
        <v>8180</v>
      </c>
    </row>
    <row r="896" spans="1:2" x14ac:dyDescent="0.25">
      <c r="A896" t="s">
        <v>922</v>
      </c>
      <c r="B896" t="s">
        <v>8181</v>
      </c>
    </row>
    <row r="897" spans="1:2" x14ac:dyDescent="0.25">
      <c r="A897" t="s">
        <v>923</v>
      </c>
      <c r="B897" t="s">
        <v>8182</v>
      </c>
    </row>
    <row r="898" spans="1:2" x14ac:dyDescent="0.25">
      <c r="A898" t="s">
        <v>924</v>
      </c>
      <c r="B898" t="s">
        <v>8183</v>
      </c>
    </row>
    <row r="899" spans="1:2" x14ac:dyDescent="0.25">
      <c r="A899" t="s">
        <v>925</v>
      </c>
      <c r="B899" t="s">
        <v>8184</v>
      </c>
    </row>
    <row r="900" spans="1:2" x14ac:dyDescent="0.25">
      <c r="A900" t="s">
        <v>926</v>
      </c>
      <c r="B900" t="s">
        <v>8185</v>
      </c>
    </row>
    <row r="901" spans="1:2" x14ac:dyDescent="0.25">
      <c r="A901" t="s">
        <v>927</v>
      </c>
      <c r="B901" t="s">
        <v>8186</v>
      </c>
    </row>
    <row r="902" spans="1:2" x14ac:dyDescent="0.25">
      <c r="A902" t="s">
        <v>928</v>
      </c>
      <c r="B902" t="s">
        <v>8187</v>
      </c>
    </row>
    <row r="903" spans="1:2" x14ac:dyDescent="0.25">
      <c r="A903" t="s">
        <v>929</v>
      </c>
      <c r="B903" t="s">
        <v>8188</v>
      </c>
    </row>
    <row r="904" spans="1:2" x14ac:dyDescent="0.25">
      <c r="A904" t="s">
        <v>930</v>
      </c>
      <c r="B904" t="s">
        <v>8189</v>
      </c>
    </row>
    <row r="905" spans="1:2" x14ac:dyDescent="0.25">
      <c r="A905" t="s">
        <v>931</v>
      </c>
      <c r="B905" t="s">
        <v>8190</v>
      </c>
    </row>
    <row r="906" spans="1:2" x14ac:dyDescent="0.25">
      <c r="A906" t="s">
        <v>932</v>
      </c>
      <c r="B906" t="s">
        <v>8191</v>
      </c>
    </row>
    <row r="907" spans="1:2" x14ac:dyDescent="0.25">
      <c r="A907" t="s">
        <v>933</v>
      </c>
      <c r="B907" t="s">
        <v>8192</v>
      </c>
    </row>
    <row r="908" spans="1:2" x14ac:dyDescent="0.25">
      <c r="A908" t="s">
        <v>934</v>
      </c>
      <c r="B908" t="s">
        <v>8193</v>
      </c>
    </row>
    <row r="909" spans="1:2" x14ac:dyDescent="0.25">
      <c r="A909" t="s">
        <v>935</v>
      </c>
      <c r="B909" t="s">
        <v>8194</v>
      </c>
    </row>
    <row r="910" spans="1:2" x14ac:dyDescent="0.25">
      <c r="A910" t="s">
        <v>936</v>
      </c>
      <c r="B910" t="s">
        <v>8195</v>
      </c>
    </row>
    <row r="911" spans="1:2" x14ac:dyDescent="0.25">
      <c r="A911" t="s">
        <v>937</v>
      </c>
      <c r="B911" t="s">
        <v>8196</v>
      </c>
    </row>
    <row r="912" spans="1:2" x14ac:dyDescent="0.25">
      <c r="A912" t="s">
        <v>938</v>
      </c>
      <c r="B912" t="s">
        <v>8197</v>
      </c>
    </row>
    <row r="913" spans="1:2" x14ac:dyDescent="0.25">
      <c r="A913" t="s">
        <v>939</v>
      </c>
      <c r="B913" t="s">
        <v>8198</v>
      </c>
    </row>
    <row r="914" spans="1:2" x14ac:dyDescent="0.25">
      <c r="A914" t="s">
        <v>940</v>
      </c>
      <c r="B914" t="s">
        <v>8199</v>
      </c>
    </row>
    <row r="915" spans="1:2" x14ac:dyDescent="0.25">
      <c r="A915" t="s">
        <v>941</v>
      </c>
      <c r="B915" t="s">
        <v>8200</v>
      </c>
    </row>
    <row r="916" spans="1:2" x14ac:dyDescent="0.25">
      <c r="A916" t="s">
        <v>942</v>
      </c>
      <c r="B916" t="s">
        <v>8201</v>
      </c>
    </row>
    <row r="917" spans="1:2" x14ac:dyDescent="0.25">
      <c r="A917" t="s">
        <v>943</v>
      </c>
      <c r="B917" t="s">
        <v>8202</v>
      </c>
    </row>
    <row r="918" spans="1:2" x14ac:dyDescent="0.25">
      <c r="A918" t="s">
        <v>944</v>
      </c>
      <c r="B918" t="s">
        <v>8203</v>
      </c>
    </row>
    <row r="919" spans="1:2" x14ac:dyDescent="0.25">
      <c r="A919" t="s">
        <v>945</v>
      </c>
      <c r="B919" t="s">
        <v>8204</v>
      </c>
    </row>
    <row r="920" spans="1:2" x14ac:dyDescent="0.25">
      <c r="A920" t="s">
        <v>946</v>
      </c>
      <c r="B920" t="s">
        <v>8205</v>
      </c>
    </row>
    <row r="921" spans="1:2" x14ac:dyDescent="0.25">
      <c r="A921" t="s">
        <v>947</v>
      </c>
      <c r="B921" t="s">
        <v>8206</v>
      </c>
    </row>
    <row r="922" spans="1:2" x14ac:dyDescent="0.25">
      <c r="A922" t="s">
        <v>948</v>
      </c>
      <c r="B922" t="s">
        <v>8207</v>
      </c>
    </row>
    <row r="923" spans="1:2" x14ac:dyDescent="0.25">
      <c r="A923" t="s">
        <v>949</v>
      </c>
      <c r="B923" t="s">
        <v>8208</v>
      </c>
    </row>
    <row r="924" spans="1:2" x14ac:dyDescent="0.25">
      <c r="A924" t="s">
        <v>950</v>
      </c>
      <c r="B924" t="s">
        <v>8209</v>
      </c>
    </row>
    <row r="925" spans="1:2" x14ac:dyDescent="0.25">
      <c r="A925" t="s">
        <v>951</v>
      </c>
      <c r="B925" t="s">
        <v>8210</v>
      </c>
    </row>
    <row r="926" spans="1:2" x14ac:dyDescent="0.25">
      <c r="A926" t="s">
        <v>952</v>
      </c>
      <c r="B926" t="s">
        <v>8211</v>
      </c>
    </row>
    <row r="927" spans="1:2" x14ac:dyDescent="0.25">
      <c r="A927" t="s">
        <v>953</v>
      </c>
      <c r="B927" t="s">
        <v>8212</v>
      </c>
    </row>
    <row r="928" spans="1:2" x14ac:dyDescent="0.25">
      <c r="A928" t="s">
        <v>954</v>
      </c>
      <c r="B928" t="s">
        <v>8213</v>
      </c>
    </row>
    <row r="929" spans="1:2" x14ac:dyDescent="0.25">
      <c r="A929" t="s">
        <v>955</v>
      </c>
      <c r="B929" t="s">
        <v>8214</v>
      </c>
    </row>
    <row r="930" spans="1:2" x14ac:dyDescent="0.25">
      <c r="A930" t="s">
        <v>956</v>
      </c>
      <c r="B930" t="s">
        <v>8215</v>
      </c>
    </row>
    <row r="931" spans="1:2" x14ac:dyDescent="0.25">
      <c r="A931" t="s">
        <v>957</v>
      </c>
      <c r="B931" t="s">
        <v>8216</v>
      </c>
    </row>
    <row r="932" spans="1:2" x14ac:dyDescent="0.25">
      <c r="A932" t="s">
        <v>958</v>
      </c>
      <c r="B932" t="s">
        <v>8217</v>
      </c>
    </row>
    <row r="933" spans="1:2" x14ac:dyDescent="0.25">
      <c r="A933" t="s">
        <v>959</v>
      </c>
      <c r="B933" t="s">
        <v>8218</v>
      </c>
    </row>
    <row r="934" spans="1:2" x14ac:dyDescent="0.25">
      <c r="A934" t="s">
        <v>960</v>
      </c>
      <c r="B934" t="s">
        <v>8219</v>
      </c>
    </row>
    <row r="935" spans="1:2" x14ac:dyDescent="0.25">
      <c r="A935" t="s">
        <v>961</v>
      </c>
      <c r="B935" t="s">
        <v>8220</v>
      </c>
    </row>
    <row r="936" spans="1:2" x14ac:dyDescent="0.25">
      <c r="A936" t="s">
        <v>962</v>
      </c>
      <c r="B936" t="s">
        <v>8221</v>
      </c>
    </row>
    <row r="937" spans="1:2" x14ac:dyDescent="0.25">
      <c r="A937" t="s">
        <v>963</v>
      </c>
      <c r="B937" t="s">
        <v>8222</v>
      </c>
    </row>
    <row r="938" spans="1:2" x14ac:dyDescent="0.25">
      <c r="A938" t="s">
        <v>964</v>
      </c>
      <c r="B938" t="s">
        <v>8223</v>
      </c>
    </row>
    <row r="939" spans="1:2" x14ac:dyDescent="0.25">
      <c r="A939" t="s">
        <v>965</v>
      </c>
      <c r="B939" t="s">
        <v>8224</v>
      </c>
    </row>
    <row r="940" spans="1:2" x14ac:dyDescent="0.25">
      <c r="A940" t="s">
        <v>966</v>
      </c>
      <c r="B940" t="s">
        <v>8225</v>
      </c>
    </row>
    <row r="941" spans="1:2" x14ac:dyDescent="0.25">
      <c r="A941" t="s">
        <v>967</v>
      </c>
      <c r="B941" t="s">
        <v>8226</v>
      </c>
    </row>
    <row r="942" spans="1:2" x14ac:dyDescent="0.25">
      <c r="A942" t="s">
        <v>968</v>
      </c>
      <c r="B942" t="s">
        <v>8227</v>
      </c>
    </row>
    <row r="943" spans="1:2" x14ac:dyDescent="0.25">
      <c r="A943" t="s">
        <v>969</v>
      </c>
      <c r="B943" t="s">
        <v>8228</v>
      </c>
    </row>
    <row r="944" spans="1:2" x14ac:dyDescent="0.25">
      <c r="A944" t="s">
        <v>970</v>
      </c>
      <c r="B944" t="s">
        <v>8229</v>
      </c>
    </row>
    <row r="945" spans="1:2" x14ac:dyDescent="0.25">
      <c r="A945" t="s">
        <v>971</v>
      </c>
      <c r="B945" t="s">
        <v>8230</v>
      </c>
    </row>
    <row r="946" spans="1:2" x14ac:dyDescent="0.25">
      <c r="A946" t="s">
        <v>972</v>
      </c>
      <c r="B946" t="s">
        <v>8231</v>
      </c>
    </row>
    <row r="947" spans="1:2" x14ac:dyDescent="0.25">
      <c r="A947" t="s">
        <v>973</v>
      </c>
      <c r="B947" t="s">
        <v>8232</v>
      </c>
    </row>
    <row r="948" spans="1:2" x14ac:dyDescent="0.25">
      <c r="A948" t="s">
        <v>974</v>
      </c>
      <c r="B948" t="s">
        <v>8233</v>
      </c>
    </row>
    <row r="949" spans="1:2" x14ac:dyDescent="0.25">
      <c r="A949" t="s">
        <v>975</v>
      </c>
      <c r="B949" t="s">
        <v>8234</v>
      </c>
    </row>
    <row r="950" spans="1:2" x14ac:dyDescent="0.25">
      <c r="A950" t="s">
        <v>976</v>
      </c>
      <c r="B950" t="s">
        <v>8235</v>
      </c>
    </row>
    <row r="951" spans="1:2" x14ac:dyDescent="0.25">
      <c r="A951" t="s">
        <v>977</v>
      </c>
      <c r="B951" t="s">
        <v>8236</v>
      </c>
    </row>
    <row r="952" spans="1:2" x14ac:dyDescent="0.25">
      <c r="A952" t="s">
        <v>978</v>
      </c>
      <c r="B952" t="s">
        <v>8237</v>
      </c>
    </row>
    <row r="953" spans="1:2" x14ac:dyDescent="0.25">
      <c r="A953" t="s">
        <v>979</v>
      </c>
      <c r="B953" t="s">
        <v>8238</v>
      </c>
    </row>
    <row r="954" spans="1:2" x14ac:dyDescent="0.25">
      <c r="A954" t="s">
        <v>980</v>
      </c>
      <c r="B954" t="s">
        <v>8239</v>
      </c>
    </row>
    <row r="955" spans="1:2" x14ac:dyDescent="0.25">
      <c r="A955" t="s">
        <v>981</v>
      </c>
      <c r="B955" t="s">
        <v>8240</v>
      </c>
    </row>
    <row r="956" spans="1:2" x14ac:dyDescent="0.25">
      <c r="A956" t="s">
        <v>982</v>
      </c>
      <c r="B956" t="s">
        <v>8241</v>
      </c>
    </row>
    <row r="957" spans="1:2" x14ac:dyDescent="0.25">
      <c r="A957" t="s">
        <v>983</v>
      </c>
      <c r="B957" t="s">
        <v>8242</v>
      </c>
    </row>
    <row r="958" spans="1:2" x14ac:dyDescent="0.25">
      <c r="A958" t="s">
        <v>984</v>
      </c>
      <c r="B958" t="s">
        <v>8243</v>
      </c>
    </row>
    <row r="959" spans="1:2" x14ac:dyDescent="0.25">
      <c r="A959" t="s">
        <v>985</v>
      </c>
      <c r="B959" t="s">
        <v>8244</v>
      </c>
    </row>
    <row r="960" spans="1:2" x14ac:dyDescent="0.25">
      <c r="A960" t="s">
        <v>986</v>
      </c>
      <c r="B960" t="s">
        <v>8245</v>
      </c>
    </row>
    <row r="961" spans="1:2" x14ac:dyDescent="0.25">
      <c r="A961" t="s">
        <v>987</v>
      </c>
      <c r="B961" t="s">
        <v>8246</v>
      </c>
    </row>
    <row r="962" spans="1:2" x14ac:dyDescent="0.25">
      <c r="A962" t="s">
        <v>988</v>
      </c>
      <c r="B962" t="s">
        <v>8247</v>
      </c>
    </row>
    <row r="963" spans="1:2" x14ac:dyDescent="0.25">
      <c r="A963" t="s">
        <v>989</v>
      </c>
      <c r="B963" t="s">
        <v>8248</v>
      </c>
    </row>
    <row r="964" spans="1:2" x14ac:dyDescent="0.25">
      <c r="A964" t="s">
        <v>990</v>
      </c>
      <c r="B964" t="s">
        <v>8249</v>
      </c>
    </row>
    <row r="965" spans="1:2" x14ac:dyDescent="0.25">
      <c r="A965" t="s">
        <v>991</v>
      </c>
      <c r="B965" t="s">
        <v>8250</v>
      </c>
    </row>
    <row r="966" spans="1:2" x14ac:dyDescent="0.25">
      <c r="A966" t="s">
        <v>992</v>
      </c>
      <c r="B966" t="s">
        <v>8251</v>
      </c>
    </row>
    <row r="967" spans="1:2" x14ac:dyDescent="0.25">
      <c r="A967" t="s">
        <v>993</v>
      </c>
      <c r="B967" t="s">
        <v>8252</v>
      </c>
    </row>
    <row r="968" spans="1:2" x14ac:dyDescent="0.25">
      <c r="A968" t="s">
        <v>994</v>
      </c>
      <c r="B968" t="s">
        <v>8253</v>
      </c>
    </row>
    <row r="969" spans="1:2" x14ac:dyDescent="0.25">
      <c r="A969" t="s">
        <v>995</v>
      </c>
      <c r="B969" t="s">
        <v>8254</v>
      </c>
    </row>
    <row r="970" spans="1:2" x14ac:dyDescent="0.25">
      <c r="A970" t="s">
        <v>996</v>
      </c>
      <c r="B970" t="s">
        <v>8255</v>
      </c>
    </row>
    <row r="971" spans="1:2" x14ac:dyDescent="0.25">
      <c r="A971" t="s">
        <v>997</v>
      </c>
      <c r="B971" t="s">
        <v>8256</v>
      </c>
    </row>
    <row r="972" spans="1:2" x14ac:dyDescent="0.25">
      <c r="A972" t="s">
        <v>998</v>
      </c>
      <c r="B972" t="s">
        <v>8257</v>
      </c>
    </row>
    <row r="973" spans="1:2" x14ac:dyDescent="0.25">
      <c r="A973" t="s">
        <v>999</v>
      </c>
      <c r="B973" t="s">
        <v>8258</v>
      </c>
    </row>
    <row r="974" spans="1:2" x14ac:dyDescent="0.25">
      <c r="A974" t="s">
        <v>1000</v>
      </c>
      <c r="B974" t="s">
        <v>8259</v>
      </c>
    </row>
    <row r="975" spans="1:2" x14ac:dyDescent="0.25">
      <c r="A975" t="s">
        <v>1001</v>
      </c>
      <c r="B975" t="s">
        <v>8260</v>
      </c>
    </row>
    <row r="976" spans="1:2" x14ac:dyDescent="0.25">
      <c r="A976" t="s">
        <v>1002</v>
      </c>
      <c r="B976" t="s">
        <v>8261</v>
      </c>
    </row>
    <row r="977" spans="1:2" x14ac:dyDescent="0.25">
      <c r="A977" t="s">
        <v>1003</v>
      </c>
      <c r="B977" t="s">
        <v>8262</v>
      </c>
    </row>
    <row r="978" spans="1:2" x14ac:dyDescent="0.25">
      <c r="A978" t="s">
        <v>1004</v>
      </c>
      <c r="B978" t="s">
        <v>8263</v>
      </c>
    </row>
    <row r="979" spans="1:2" x14ac:dyDescent="0.25">
      <c r="A979" t="s">
        <v>1005</v>
      </c>
      <c r="B979" t="s">
        <v>8264</v>
      </c>
    </row>
    <row r="980" spans="1:2" x14ac:dyDescent="0.25">
      <c r="A980" t="s">
        <v>1006</v>
      </c>
      <c r="B980" t="s">
        <v>8265</v>
      </c>
    </row>
    <row r="981" spans="1:2" x14ac:dyDescent="0.25">
      <c r="A981" t="s">
        <v>1007</v>
      </c>
      <c r="B981" t="s">
        <v>8266</v>
      </c>
    </row>
    <row r="982" spans="1:2" x14ac:dyDescent="0.25">
      <c r="A982" t="s">
        <v>1008</v>
      </c>
      <c r="B982" t="s">
        <v>8267</v>
      </c>
    </row>
    <row r="983" spans="1:2" x14ac:dyDescent="0.25">
      <c r="A983" t="s">
        <v>1009</v>
      </c>
      <c r="B983" t="s">
        <v>8268</v>
      </c>
    </row>
    <row r="984" spans="1:2" x14ac:dyDescent="0.25">
      <c r="A984" t="s">
        <v>1010</v>
      </c>
      <c r="B984" t="s">
        <v>8269</v>
      </c>
    </row>
    <row r="985" spans="1:2" x14ac:dyDescent="0.25">
      <c r="A985" t="s">
        <v>1011</v>
      </c>
      <c r="B985" t="s">
        <v>8270</v>
      </c>
    </row>
    <row r="986" spans="1:2" x14ac:dyDescent="0.25">
      <c r="A986" t="s">
        <v>1012</v>
      </c>
      <c r="B986" t="s">
        <v>8271</v>
      </c>
    </row>
    <row r="987" spans="1:2" x14ac:dyDescent="0.25">
      <c r="A987" t="s">
        <v>1013</v>
      </c>
      <c r="B987" t="s">
        <v>8272</v>
      </c>
    </row>
    <row r="988" spans="1:2" x14ac:dyDescent="0.25">
      <c r="A988" t="s">
        <v>1014</v>
      </c>
      <c r="B988" t="s">
        <v>8273</v>
      </c>
    </row>
    <row r="989" spans="1:2" x14ac:dyDescent="0.25">
      <c r="A989" t="s">
        <v>1015</v>
      </c>
      <c r="B989" t="s">
        <v>8274</v>
      </c>
    </row>
    <row r="990" spans="1:2" x14ac:dyDescent="0.25">
      <c r="A990" t="s">
        <v>1016</v>
      </c>
      <c r="B990" t="s">
        <v>8275</v>
      </c>
    </row>
    <row r="991" spans="1:2" x14ac:dyDescent="0.25">
      <c r="A991" t="s">
        <v>1017</v>
      </c>
      <c r="B991" t="s">
        <v>8276</v>
      </c>
    </row>
    <row r="992" spans="1:2" x14ac:dyDescent="0.25">
      <c r="A992" t="s">
        <v>1018</v>
      </c>
      <c r="B992" t="s">
        <v>8277</v>
      </c>
    </row>
    <row r="993" spans="1:2" x14ac:dyDescent="0.25">
      <c r="A993" t="s">
        <v>1019</v>
      </c>
      <c r="B993" t="s">
        <v>8278</v>
      </c>
    </row>
    <row r="994" spans="1:2" x14ac:dyDescent="0.25">
      <c r="A994" t="s">
        <v>1020</v>
      </c>
      <c r="B994" t="s">
        <v>8279</v>
      </c>
    </row>
    <row r="995" spans="1:2" x14ac:dyDescent="0.25">
      <c r="A995" t="s">
        <v>1021</v>
      </c>
      <c r="B995" t="s">
        <v>8280</v>
      </c>
    </row>
    <row r="996" spans="1:2" x14ac:dyDescent="0.25">
      <c r="A996" t="s">
        <v>1022</v>
      </c>
      <c r="B996" t="s">
        <v>8281</v>
      </c>
    </row>
    <row r="997" spans="1:2" x14ac:dyDescent="0.25">
      <c r="A997" t="s">
        <v>1023</v>
      </c>
      <c r="B997" t="s">
        <v>8282</v>
      </c>
    </row>
    <row r="998" spans="1:2" x14ac:dyDescent="0.25">
      <c r="A998" t="s">
        <v>1024</v>
      </c>
      <c r="B998" t="s">
        <v>8283</v>
      </c>
    </row>
    <row r="999" spans="1:2" x14ac:dyDescent="0.25">
      <c r="A999" t="s">
        <v>1025</v>
      </c>
      <c r="B999" t="s">
        <v>8284</v>
      </c>
    </row>
    <row r="1000" spans="1:2" x14ac:dyDescent="0.25">
      <c r="A1000" t="s">
        <v>1026</v>
      </c>
      <c r="B1000" t="s">
        <v>8285</v>
      </c>
    </row>
    <row r="1001" spans="1:2" x14ac:dyDescent="0.25">
      <c r="A1001" t="s">
        <v>1027</v>
      </c>
      <c r="B1001" t="s">
        <v>8286</v>
      </c>
    </row>
    <row r="1002" spans="1:2" x14ac:dyDescent="0.25">
      <c r="A1002" t="s">
        <v>1028</v>
      </c>
      <c r="B1002" t="s">
        <v>8287</v>
      </c>
    </row>
    <row r="1003" spans="1:2" x14ac:dyDescent="0.25">
      <c r="A1003" t="s">
        <v>1029</v>
      </c>
      <c r="B1003" t="s">
        <v>8288</v>
      </c>
    </row>
    <row r="1004" spans="1:2" x14ac:dyDescent="0.25">
      <c r="A1004" t="s">
        <v>1030</v>
      </c>
      <c r="B1004" t="s">
        <v>8289</v>
      </c>
    </row>
    <row r="1005" spans="1:2" x14ac:dyDescent="0.25">
      <c r="A1005" t="s">
        <v>1031</v>
      </c>
      <c r="B1005" t="s">
        <v>8290</v>
      </c>
    </row>
    <row r="1006" spans="1:2" x14ac:dyDescent="0.25">
      <c r="A1006" t="s">
        <v>1032</v>
      </c>
      <c r="B1006" t="s">
        <v>8291</v>
      </c>
    </row>
    <row r="1007" spans="1:2" x14ac:dyDescent="0.25">
      <c r="A1007" t="s">
        <v>1033</v>
      </c>
      <c r="B1007" t="s">
        <v>8292</v>
      </c>
    </row>
    <row r="1008" spans="1:2" x14ac:dyDescent="0.25">
      <c r="A1008" t="s">
        <v>1034</v>
      </c>
      <c r="B1008" t="s">
        <v>8293</v>
      </c>
    </row>
    <row r="1009" spans="1:2" x14ac:dyDescent="0.25">
      <c r="A1009" t="s">
        <v>1035</v>
      </c>
      <c r="B1009" t="s">
        <v>8294</v>
      </c>
    </row>
    <row r="1010" spans="1:2" x14ac:dyDescent="0.25">
      <c r="A1010" t="s">
        <v>1036</v>
      </c>
      <c r="B1010" t="s">
        <v>8295</v>
      </c>
    </row>
    <row r="1011" spans="1:2" x14ac:dyDescent="0.25">
      <c r="A1011" t="s">
        <v>1037</v>
      </c>
      <c r="B1011" t="s">
        <v>8296</v>
      </c>
    </row>
    <row r="1012" spans="1:2" x14ac:dyDescent="0.25">
      <c r="A1012" t="s">
        <v>1038</v>
      </c>
      <c r="B1012" t="s">
        <v>8297</v>
      </c>
    </row>
    <row r="1013" spans="1:2" x14ac:dyDescent="0.25">
      <c r="A1013" t="s">
        <v>1039</v>
      </c>
      <c r="B1013" t="s">
        <v>8298</v>
      </c>
    </row>
    <row r="1014" spans="1:2" x14ac:dyDescent="0.25">
      <c r="A1014" t="s">
        <v>1040</v>
      </c>
      <c r="B1014" t="s">
        <v>8299</v>
      </c>
    </row>
    <row r="1015" spans="1:2" x14ac:dyDescent="0.25">
      <c r="A1015" t="s">
        <v>1041</v>
      </c>
      <c r="B1015" t="s">
        <v>8300</v>
      </c>
    </row>
    <row r="1016" spans="1:2" x14ac:dyDescent="0.25">
      <c r="A1016" t="s">
        <v>1042</v>
      </c>
      <c r="B1016" t="s">
        <v>8301</v>
      </c>
    </row>
    <row r="1017" spans="1:2" x14ac:dyDescent="0.25">
      <c r="A1017" t="s">
        <v>1043</v>
      </c>
      <c r="B1017" t="s">
        <v>8302</v>
      </c>
    </row>
    <row r="1018" spans="1:2" x14ac:dyDescent="0.25">
      <c r="A1018" t="s">
        <v>1044</v>
      </c>
      <c r="B1018" t="s">
        <v>8303</v>
      </c>
    </row>
    <row r="1019" spans="1:2" x14ac:dyDescent="0.25">
      <c r="A1019" t="s">
        <v>1045</v>
      </c>
      <c r="B1019" t="s">
        <v>8304</v>
      </c>
    </row>
    <row r="1020" spans="1:2" x14ac:dyDescent="0.25">
      <c r="A1020" t="s">
        <v>1046</v>
      </c>
      <c r="B1020" t="s">
        <v>8305</v>
      </c>
    </row>
    <row r="1021" spans="1:2" x14ac:dyDescent="0.25">
      <c r="A1021" t="s">
        <v>1047</v>
      </c>
      <c r="B1021" t="s">
        <v>8306</v>
      </c>
    </row>
    <row r="1022" spans="1:2" x14ac:dyDescent="0.25">
      <c r="A1022" t="s">
        <v>1048</v>
      </c>
      <c r="B1022" t="s">
        <v>8307</v>
      </c>
    </row>
    <row r="1023" spans="1:2" x14ac:dyDescent="0.25">
      <c r="A1023" t="s">
        <v>1049</v>
      </c>
      <c r="B1023" t="s">
        <v>8308</v>
      </c>
    </row>
    <row r="1024" spans="1:2" x14ac:dyDescent="0.25">
      <c r="A1024" t="s">
        <v>1050</v>
      </c>
      <c r="B1024" t="s">
        <v>8309</v>
      </c>
    </row>
    <row r="1025" spans="1:2" x14ac:dyDescent="0.25">
      <c r="A1025" t="s">
        <v>1051</v>
      </c>
      <c r="B1025" t="s">
        <v>8310</v>
      </c>
    </row>
    <row r="1026" spans="1:2" x14ac:dyDescent="0.25">
      <c r="A1026" t="s">
        <v>1052</v>
      </c>
      <c r="B1026" t="s">
        <v>8311</v>
      </c>
    </row>
    <row r="1027" spans="1:2" x14ac:dyDescent="0.25">
      <c r="A1027" t="s">
        <v>1053</v>
      </c>
      <c r="B1027" t="s">
        <v>8312</v>
      </c>
    </row>
    <row r="1028" spans="1:2" x14ac:dyDescent="0.25">
      <c r="A1028" t="s">
        <v>1054</v>
      </c>
      <c r="B1028" t="s">
        <v>8313</v>
      </c>
    </row>
    <row r="1029" spans="1:2" x14ac:dyDescent="0.25">
      <c r="A1029" t="s">
        <v>1055</v>
      </c>
      <c r="B1029" t="s">
        <v>8314</v>
      </c>
    </row>
    <row r="1030" spans="1:2" x14ac:dyDescent="0.25">
      <c r="A1030" t="s">
        <v>1056</v>
      </c>
      <c r="B1030" t="s">
        <v>8315</v>
      </c>
    </row>
    <row r="1031" spans="1:2" x14ac:dyDescent="0.25">
      <c r="A1031" t="s">
        <v>1057</v>
      </c>
      <c r="B1031" t="s">
        <v>8316</v>
      </c>
    </row>
    <row r="1032" spans="1:2" x14ac:dyDescent="0.25">
      <c r="A1032" t="s">
        <v>1058</v>
      </c>
      <c r="B1032" t="s">
        <v>8317</v>
      </c>
    </row>
    <row r="1033" spans="1:2" x14ac:dyDescent="0.25">
      <c r="A1033" t="s">
        <v>1059</v>
      </c>
      <c r="B1033" t="s">
        <v>8318</v>
      </c>
    </row>
    <row r="1034" spans="1:2" x14ac:dyDescent="0.25">
      <c r="A1034" t="s">
        <v>1060</v>
      </c>
      <c r="B1034" t="s">
        <v>8319</v>
      </c>
    </row>
    <row r="1035" spans="1:2" x14ac:dyDescent="0.25">
      <c r="A1035" t="s">
        <v>1061</v>
      </c>
      <c r="B1035" t="s">
        <v>8320</v>
      </c>
    </row>
    <row r="1036" spans="1:2" x14ac:dyDescent="0.25">
      <c r="A1036" t="s">
        <v>1062</v>
      </c>
      <c r="B1036" t="s">
        <v>8321</v>
      </c>
    </row>
    <row r="1037" spans="1:2" x14ac:dyDescent="0.25">
      <c r="A1037" t="s">
        <v>1063</v>
      </c>
      <c r="B1037" t="s">
        <v>8322</v>
      </c>
    </row>
    <row r="1038" spans="1:2" x14ac:dyDescent="0.25">
      <c r="A1038" t="s">
        <v>1064</v>
      </c>
      <c r="B1038" t="s">
        <v>8323</v>
      </c>
    </row>
    <row r="1039" spans="1:2" x14ac:dyDescent="0.25">
      <c r="A1039" t="s">
        <v>1065</v>
      </c>
      <c r="B1039" t="s">
        <v>8324</v>
      </c>
    </row>
    <row r="1040" spans="1:2" x14ac:dyDescent="0.25">
      <c r="A1040" t="s">
        <v>1066</v>
      </c>
      <c r="B1040" t="s">
        <v>8325</v>
      </c>
    </row>
    <row r="1041" spans="1:2" x14ac:dyDescent="0.25">
      <c r="A1041" t="s">
        <v>1067</v>
      </c>
      <c r="B1041" t="s">
        <v>8326</v>
      </c>
    </row>
    <row r="1042" spans="1:2" x14ac:dyDescent="0.25">
      <c r="A1042" t="s">
        <v>1068</v>
      </c>
      <c r="B1042" t="s">
        <v>8327</v>
      </c>
    </row>
    <row r="1043" spans="1:2" x14ac:dyDescent="0.25">
      <c r="A1043" t="s">
        <v>1069</v>
      </c>
      <c r="B1043" t="s">
        <v>8328</v>
      </c>
    </row>
    <row r="1044" spans="1:2" x14ac:dyDescent="0.25">
      <c r="A1044" t="s">
        <v>1070</v>
      </c>
      <c r="B1044" t="s">
        <v>8329</v>
      </c>
    </row>
    <row r="1045" spans="1:2" x14ac:dyDescent="0.25">
      <c r="A1045" t="s">
        <v>1071</v>
      </c>
      <c r="B1045" t="s">
        <v>8330</v>
      </c>
    </row>
    <row r="1046" spans="1:2" x14ac:dyDescent="0.25">
      <c r="A1046" t="s">
        <v>1072</v>
      </c>
      <c r="B1046" t="s">
        <v>8331</v>
      </c>
    </row>
    <row r="1047" spans="1:2" x14ac:dyDescent="0.25">
      <c r="A1047" t="s">
        <v>1073</v>
      </c>
      <c r="B1047" t="s">
        <v>8332</v>
      </c>
    </row>
    <row r="1048" spans="1:2" x14ac:dyDescent="0.25">
      <c r="A1048" t="s">
        <v>1074</v>
      </c>
      <c r="B1048" t="s">
        <v>8333</v>
      </c>
    </row>
    <row r="1049" spans="1:2" x14ac:dyDescent="0.25">
      <c r="A1049" t="s">
        <v>1075</v>
      </c>
      <c r="B1049" t="s">
        <v>8334</v>
      </c>
    </row>
    <row r="1050" spans="1:2" x14ac:dyDescent="0.25">
      <c r="A1050" t="s">
        <v>1076</v>
      </c>
      <c r="B1050" t="s">
        <v>8335</v>
      </c>
    </row>
    <row r="1051" spans="1:2" x14ac:dyDescent="0.25">
      <c r="A1051" t="s">
        <v>1077</v>
      </c>
      <c r="B1051" t="s">
        <v>8336</v>
      </c>
    </row>
    <row r="1052" spans="1:2" x14ac:dyDescent="0.25">
      <c r="A1052" t="s">
        <v>1078</v>
      </c>
      <c r="B1052" t="s">
        <v>8337</v>
      </c>
    </row>
    <row r="1053" spans="1:2" x14ac:dyDescent="0.25">
      <c r="A1053" t="s">
        <v>1079</v>
      </c>
      <c r="B1053" t="s">
        <v>8338</v>
      </c>
    </row>
    <row r="1054" spans="1:2" x14ac:dyDescent="0.25">
      <c r="A1054" t="s">
        <v>1080</v>
      </c>
      <c r="B1054" t="s">
        <v>8339</v>
      </c>
    </row>
    <row r="1055" spans="1:2" x14ac:dyDescent="0.25">
      <c r="A1055" t="s">
        <v>1081</v>
      </c>
      <c r="B1055" t="s">
        <v>8340</v>
      </c>
    </row>
    <row r="1056" spans="1:2" x14ac:dyDescent="0.25">
      <c r="A1056" t="s">
        <v>1082</v>
      </c>
      <c r="B1056" t="s">
        <v>8341</v>
      </c>
    </row>
    <row r="1057" spans="1:2" x14ac:dyDescent="0.25">
      <c r="A1057" t="s">
        <v>1083</v>
      </c>
      <c r="B1057" t="s">
        <v>8342</v>
      </c>
    </row>
    <row r="1058" spans="1:2" x14ac:dyDescent="0.25">
      <c r="A1058" t="s">
        <v>1084</v>
      </c>
      <c r="B1058" t="s">
        <v>8343</v>
      </c>
    </row>
    <row r="1059" spans="1:2" x14ac:dyDescent="0.25">
      <c r="A1059" t="s">
        <v>1085</v>
      </c>
      <c r="B1059" t="s">
        <v>8344</v>
      </c>
    </row>
    <row r="1060" spans="1:2" x14ac:dyDescent="0.25">
      <c r="A1060" t="s">
        <v>1086</v>
      </c>
      <c r="B1060" t="s">
        <v>8345</v>
      </c>
    </row>
    <row r="1061" spans="1:2" x14ac:dyDescent="0.25">
      <c r="A1061" t="s">
        <v>1087</v>
      </c>
      <c r="B1061" t="s">
        <v>8346</v>
      </c>
    </row>
    <row r="1062" spans="1:2" x14ac:dyDescent="0.25">
      <c r="A1062" t="s">
        <v>1088</v>
      </c>
      <c r="B1062" t="s">
        <v>8347</v>
      </c>
    </row>
    <row r="1063" spans="1:2" x14ac:dyDescent="0.25">
      <c r="A1063" t="s">
        <v>1089</v>
      </c>
      <c r="B1063" t="s">
        <v>8348</v>
      </c>
    </row>
    <row r="1064" spans="1:2" x14ac:dyDescent="0.25">
      <c r="A1064" t="s">
        <v>1090</v>
      </c>
      <c r="B1064" t="s">
        <v>8349</v>
      </c>
    </row>
    <row r="1065" spans="1:2" x14ac:dyDescent="0.25">
      <c r="A1065" t="s">
        <v>1091</v>
      </c>
      <c r="B1065" t="s">
        <v>8350</v>
      </c>
    </row>
    <row r="1066" spans="1:2" x14ac:dyDescent="0.25">
      <c r="A1066" t="s">
        <v>1092</v>
      </c>
      <c r="B1066" t="s">
        <v>8351</v>
      </c>
    </row>
    <row r="1067" spans="1:2" x14ac:dyDescent="0.25">
      <c r="A1067" t="s">
        <v>1093</v>
      </c>
      <c r="B1067" t="s">
        <v>8352</v>
      </c>
    </row>
    <row r="1068" spans="1:2" x14ac:dyDescent="0.25">
      <c r="A1068" t="s">
        <v>1094</v>
      </c>
      <c r="B1068" t="s">
        <v>8353</v>
      </c>
    </row>
    <row r="1069" spans="1:2" x14ac:dyDescent="0.25">
      <c r="A1069" t="s">
        <v>1095</v>
      </c>
      <c r="B1069" t="s">
        <v>8354</v>
      </c>
    </row>
    <row r="1070" spans="1:2" x14ac:dyDescent="0.25">
      <c r="A1070" t="s">
        <v>1096</v>
      </c>
      <c r="B1070" t="s">
        <v>8355</v>
      </c>
    </row>
    <row r="1071" spans="1:2" x14ac:dyDescent="0.25">
      <c r="A1071" t="s">
        <v>1097</v>
      </c>
      <c r="B1071" t="s">
        <v>8356</v>
      </c>
    </row>
    <row r="1072" spans="1:2" x14ac:dyDescent="0.25">
      <c r="A1072" t="s">
        <v>1098</v>
      </c>
      <c r="B1072" t="s">
        <v>8357</v>
      </c>
    </row>
    <row r="1073" spans="1:2" x14ac:dyDescent="0.25">
      <c r="A1073" t="s">
        <v>1099</v>
      </c>
      <c r="B1073" t="s">
        <v>8358</v>
      </c>
    </row>
    <row r="1074" spans="1:2" x14ac:dyDescent="0.25">
      <c r="A1074" t="s">
        <v>1100</v>
      </c>
      <c r="B1074" t="s">
        <v>8359</v>
      </c>
    </row>
    <row r="1075" spans="1:2" x14ac:dyDescent="0.25">
      <c r="A1075" t="s">
        <v>1101</v>
      </c>
      <c r="B1075" t="s">
        <v>8360</v>
      </c>
    </row>
    <row r="1076" spans="1:2" x14ac:dyDescent="0.25">
      <c r="A1076" t="s">
        <v>1102</v>
      </c>
      <c r="B1076" t="s">
        <v>8361</v>
      </c>
    </row>
    <row r="1077" spans="1:2" x14ac:dyDescent="0.25">
      <c r="A1077" t="s">
        <v>1103</v>
      </c>
      <c r="B1077" t="s">
        <v>8362</v>
      </c>
    </row>
    <row r="1078" spans="1:2" x14ac:dyDescent="0.25">
      <c r="A1078" t="s">
        <v>1104</v>
      </c>
      <c r="B1078" t="s">
        <v>8363</v>
      </c>
    </row>
    <row r="1079" spans="1:2" x14ac:dyDescent="0.25">
      <c r="A1079" t="s">
        <v>1105</v>
      </c>
      <c r="B1079" t="s">
        <v>8364</v>
      </c>
    </row>
    <row r="1080" spans="1:2" x14ac:dyDescent="0.25">
      <c r="A1080" t="s">
        <v>1106</v>
      </c>
      <c r="B1080" t="s">
        <v>8364</v>
      </c>
    </row>
    <row r="1081" spans="1:2" x14ac:dyDescent="0.25">
      <c r="A1081" t="s">
        <v>1107</v>
      </c>
      <c r="B1081" t="s">
        <v>8365</v>
      </c>
    </row>
    <row r="1082" spans="1:2" x14ac:dyDescent="0.25">
      <c r="A1082" t="s">
        <v>1108</v>
      </c>
      <c r="B1082" t="s">
        <v>8366</v>
      </c>
    </row>
    <row r="1083" spans="1:2" x14ac:dyDescent="0.25">
      <c r="A1083" t="s">
        <v>1109</v>
      </c>
      <c r="B1083" t="s">
        <v>8367</v>
      </c>
    </row>
    <row r="1084" spans="1:2" x14ac:dyDescent="0.25">
      <c r="A1084" t="s">
        <v>1110</v>
      </c>
      <c r="B1084" t="s">
        <v>8368</v>
      </c>
    </row>
    <row r="1085" spans="1:2" x14ac:dyDescent="0.25">
      <c r="A1085" t="s">
        <v>1111</v>
      </c>
      <c r="B1085" t="s">
        <v>8369</v>
      </c>
    </row>
    <row r="1086" spans="1:2" x14ac:dyDescent="0.25">
      <c r="A1086" t="s">
        <v>1112</v>
      </c>
      <c r="B1086" t="s">
        <v>8370</v>
      </c>
    </row>
    <row r="1087" spans="1:2" x14ac:dyDescent="0.25">
      <c r="A1087" t="s">
        <v>1113</v>
      </c>
      <c r="B1087" t="s">
        <v>8371</v>
      </c>
    </row>
    <row r="1088" spans="1:2" x14ac:dyDescent="0.25">
      <c r="A1088" t="s">
        <v>1114</v>
      </c>
      <c r="B1088" t="s">
        <v>8372</v>
      </c>
    </row>
    <row r="1089" spans="1:2" x14ac:dyDescent="0.25">
      <c r="A1089" t="s">
        <v>1115</v>
      </c>
      <c r="B1089" t="s">
        <v>8373</v>
      </c>
    </row>
    <row r="1090" spans="1:2" x14ac:dyDescent="0.25">
      <c r="A1090" t="s">
        <v>1116</v>
      </c>
      <c r="B1090" t="s">
        <v>8374</v>
      </c>
    </row>
    <row r="1091" spans="1:2" x14ac:dyDescent="0.25">
      <c r="A1091" t="s">
        <v>1117</v>
      </c>
      <c r="B1091" t="s">
        <v>8375</v>
      </c>
    </row>
    <row r="1092" spans="1:2" x14ac:dyDescent="0.25">
      <c r="A1092" t="s">
        <v>1118</v>
      </c>
      <c r="B1092" t="s">
        <v>8376</v>
      </c>
    </row>
    <row r="1093" spans="1:2" x14ac:dyDescent="0.25">
      <c r="A1093" t="s">
        <v>1119</v>
      </c>
      <c r="B1093" t="s">
        <v>8377</v>
      </c>
    </row>
    <row r="1094" spans="1:2" x14ac:dyDescent="0.25">
      <c r="A1094" t="s">
        <v>1120</v>
      </c>
      <c r="B1094" t="s">
        <v>8378</v>
      </c>
    </row>
    <row r="1095" spans="1:2" x14ac:dyDescent="0.25">
      <c r="A1095" t="s">
        <v>1121</v>
      </c>
      <c r="B1095" t="s">
        <v>8379</v>
      </c>
    </row>
    <row r="1096" spans="1:2" x14ac:dyDescent="0.25">
      <c r="A1096" t="s">
        <v>1122</v>
      </c>
      <c r="B1096" t="s">
        <v>8380</v>
      </c>
    </row>
    <row r="1097" spans="1:2" x14ac:dyDescent="0.25">
      <c r="A1097" t="s">
        <v>1123</v>
      </c>
      <c r="B1097" t="s">
        <v>8381</v>
      </c>
    </row>
    <row r="1098" spans="1:2" x14ac:dyDescent="0.25">
      <c r="A1098" t="s">
        <v>1124</v>
      </c>
      <c r="B1098" t="s">
        <v>8382</v>
      </c>
    </row>
    <row r="1099" spans="1:2" x14ac:dyDescent="0.25">
      <c r="A1099" t="s">
        <v>1125</v>
      </c>
      <c r="B1099" t="s">
        <v>8383</v>
      </c>
    </row>
    <row r="1100" spans="1:2" x14ac:dyDescent="0.25">
      <c r="A1100" t="s">
        <v>1126</v>
      </c>
      <c r="B1100" t="s">
        <v>8384</v>
      </c>
    </row>
    <row r="1101" spans="1:2" x14ac:dyDescent="0.25">
      <c r="A1101" t="s">
        <v>1127</v>
      </c>
      <c r="B1101" t="s">
        <v>8385</v>
      </c>
    </row>
    <row r="1102" spans="1:2" x14ac:dyDescent="0.25">
      <c r="A1102" t="s">
        <v>1128</v>
      </c>
      <c r="B1102" t="s">
        <v>8386</v>
      </c>
    </row>
    <row r="1103" spans="1:2" x14ac:dyDescent="0.25">
      <c r="A1103" t="s">
        <v>1129</v>
      </c>
      <c r="B1103" t="s">
        <v>8387</v>
      </c>
    </row>
    <row r="1104" spans="1:2" x14ac:dyDescent="0.25">
      <c r="A1104" t="s">
        <v>1130</v>
      </c>
      <c r="B1104" t="s">
        <v>8388</v>
      </c>
    </row>
    <row r="1105" spans="1:2" x14ac:dyDescent="0.25">
      <c r="A1105" t="s">
        <v>1131</v>
      </c>
      <c r="B1105" t="s">
        <v>8389</v>
      </c>
    </row>
    <row r="1106" spans="1:2" x14ac:dyDescent="0.25">
      <c r="A1106" t="s">
        <v>1132</v>
      </c>
      <c r="B1106" t="s">
        <v>8390</v>
      </c>
    </row>
    <row r="1107" spans="1:2" x14ac:dyDescent="0.25">
      <c r="A1107" t="s">
        <v>1133</v>
      </c>
      <c r="B1107" t="s">
        <v>8391</v>
      </c>
    </row>
    <row r="1108" spans="1:2" x14ac:dyDescent="0.25">
      <c r="A1108" t="s">
        <v>1134</v>
      </c>
      <c r="B1108" t="s">
        <v>8392</v>
      </c>
    </row>
    <row r="1109" spans="1:2" x14ac:dyDescent="0.25">
      <c r="A1109" t="s">
        <v>1135</v>
      </c>
      <c r="B1109" t="s">
        <v>8393</v>
      </c>
    </row>
    <row r="1110" spans="1:2" x14ac:dyDescent="0.25">
      <c r="A1110" t="s">
        <v>1136</v>
      </c>
      <c r="B1110" t="s">
        <v>8394</v>
      </c>
    </row>
    <row r="1111" spans="1:2" x14ac:dyDescent="0.25">
      <c r="A1111" t="s">
        <v>1137</v>
      </c>
      <c r="B1111" t="s">
        <v>8395</v>
      </c>
    </row>
    <row r="1112" spans="1:2" x14ac:dyDescent="0.25">
      <c r="A1112" t="s">
        <v>1138</v>
      </c>
      <c r="B1112" t="s">
        <v>8396</v>
      </c>
    </row>
    <row r="1113" spans="1:2" x14ac:dyDescent="0.25">
      <c r="A1113" t="s">
        <v>1139</v>
      </c>
      <c r="B1113" t="s">
        <v>8397</v>
      </c>
    </row>
    <row r="1114" spans="1:2" x14ac:dyDescent="0.25">
      <c r="A1114" t="s">
        <v>1140</v>
      </c>
      <c r="B1114" t="s">
        <v>8398</v>
      </c>
    </row>
    <row r="1115" spans="1:2" x14ac:dyDescent="0.25">
      <c r="A1115" t="s">
        <v>1141</v>
      </c>
      <c r="B1115" t="s">
        <v>8399</v>
      </c>
    </row>
    <row r="1116" spans="1:2" x14ac:dyDescent="0.25">
      <c r="A1116" t="s">
        <v>1142</v>
      </c>
      <c r="B1116" t="s">
        <v>8400</v>
      </c>
    </row>
    <row r="1117" spans="1:2" x14ac:dyDescent="0.25">
      <c r="A1117" t="s">
        <v>1143</v>
      </c>
      <c r="B1117" t="s">
        <v>8401</v>
      </c>
    </row>
    <row r="1118" spans="1:2" x14ac:dyDescent="0.25">
      <c r="A1118" t="s">
        <v>1144</v>
      </c>
      <c r="B1118" t="s">
        <v>8402</v>
      </c>
    </row>
    <row r="1119" spans="1:2" x14ac:dyDescent="0.25">
      <c r="A1119" t="s">
        <v>1145</v>
      </c>
      <c r="B1119" t="s">
        <v>8403</v>
      </c>
    </row>
    <row r="1120" spans="1:2" x14ac:dyDescent="0.25">
      <c r="A1120" t="s">
        <v>1146</v>
      </c>
      <c r="B1120" t="s">
        <v>8404</v>
      </c>
    </row>
    <row r="1121" spans="1:2" x14ac:dyDescent="0.25">
      <c r="A1121" t="s">
        <v>1147</v>
      </c>
      <c r="B1121" t="s">
        <v>8405</v>
      </c>
    </row>
    <row r="1122" spans="1:2" x14ac:dyDescent="0.25">
      <c r="A1122" t="s">
        <v>1148</v>
      </c>
      <c r="B1122" t="s">
        <v>8406</v>
      </c>
    </row>
    <row r="1123" spans="1:2" x14ac:dyDescent="0.25">
      <c r="A1123" t="s">
        <v>1149</v>
      </c>
      <c r="B1123" t="s">
        <v>8407</v>
      </c>
    </row>
    <row r="1124" spans="1:2" x14ac:dyDescent="0.25">
      <c r="A1124" t="s">
        <v>1150</v>
      </c>
      <c r="B1124" t="s">
        <v>8408</v>
      </c>
    </row>
    <row r="1125" spans="1:2" x14ac:dyDescent="0.25">
      <c r="A1125" t="s">
        <v>1151</v>
      </c>
      <c r="B1125" t="s">
        <v>8409</v>
      </c>
    </row>
    <row r="1126" spans="1:2" x14ac:dyDescent="0.25">
      <c r="A1126" t="s">
        <v>1152</v>
      </c>
      <c r="B1126" t="s">
        <v>8410</v>
      </c>
    </row>
    <row r="1127" spans="1:2" x14ac:dyDescent="0.25">
      <c r="A1127" t="s">
        <v>1153</v>
      </c>
      <c r="B1127" t="s">
        <v>8411</v>
      </c>
    </row>
    <row r="1128" spans="1:2" x14ac:dyDescent="0.25">
      <c r="A1128" t="s">
        <v>1154</v>
      </c>
      <c r="B1128" t="s">
        <v>8412</v>
      </c>
    </row>
    <row r="1129" spans="1:2" x14ac:dyDescent="0.25">
      <c r="A1129" t="s">
        <v>1155</v>
      </c>
      <c r="B1129" t="s">
        <v>8413</v>
      </c>
    </row>
    <row r="1130" spans="1:2" x14ac:dyDescent="0.25">
      <c r="A1130" t="s">
        <v>1156</v>
      </c>
      <c r="B1130" t="s">
        <v>8414</v>
      </c>
    </row>
    <row r="1131" spans="1:2" x14ac:dyDescent="0.25">
      <c r="A1131" t="s">
        <v>1157</v>
      </c>
      <c r="B1131" t="s">
        <v>8415</v>
      </c>
    </row>
    <row r="1132" spans="1:2" x14ac:dyDescent="0.25">
      <c r="A1132" t="s">
        <v>1158</v>
      </c>
      <c r="B1132" t="s">
        <v>8416</v>
      </c>
    </row>
    <row r="1133" spans="1:2" x14ac:dyDescent="0.25">
      <c r="A1133" t="s">
        <v>1159</v>
      </c>
      <c r="B1133" t="s">
        <v>8417</v>
      </c>
    </row>
    <row r="1134" spans="1:2" x14ac:dyDescent="0.25">
      <c r="A1134" t="s">
        <v>1160</v>
      </c>
      <c r="B1134" t="s">
        <v>8418</v>
      </c>
    </row>
    <row r="1135" spans="1:2" x14ac:dyDescent="0.25">
      <c r="A1135" t="s">
        <v>1161</v>
      </c>
      <c r="B1135" t="s">
        <v>8419</v>
      </c>
    </row>
    <row r="1136" spans="1:2" x14ac:dyDescent="0.25">
      <c r="A1136" t="s">
        <v>1162</v>
      </c>
      <c r="B1136" t="s">
        <v>8420</v>
      </c>
    </row>
    <row r="1137" spans="1:2" x14ac:dyDescent="0.25">
      <c r="A1137" t="s">
        <v>1163</v>
      </c>
      <c r="B1137" t="s">
        <v>8421</v>
      </c>
    </row>
    <row r="1138" spans="1:2" x14ac:dyDescent="0.25">
      <c r="A1138" t="s">
        <v>1164</v>
      </c>
      <c r="B1138" t="s">
        <v>8422</v>
      </c>
    </row>
    <row r="1139" spans="1:2" x14ac:dyDescent="0.25">
      <c r="A1139" t="s">
        <v>1165</v>
      </c>
      <c r="B1139" t="s">
        <v>8423</v>
      </c>
    </row>
    <row r="1140" spans="1:2" x14ac:dyDescent="0.25">
      <c r="A1140" t="s">
        <v>1166</v>
      </c>
      <c r="B1140" t="s">
        <v>8424</v>
      </c>
    </row>
    <row r="1141" spans="1:2" x14ac:dyDescent="0.25">
      <c r="A1141" t="s">
        <v>1167</v>
      </c>
      <c r="B1141" t="s">
        <v>8425</v>
      </c>
    </row>
    <row r="1142" spans="1:2" x14ac:dyDescent="0.25">
      <c r="A1142" t="s">
        <v>1168</v>
      </c>
      <c r="B1142" t="s">
        <v>8426</v>
      </c>
    </row>
    <row r="1143" spans="1:2" x14ac:dyDescent="0.25">
      <c r="A1143" t="s">
        <v>1169</v>
      </c>
      <c r="B1143" t="s">
        <v>8427</v>
      </c>
    </row>
    <row r="1144" spans="1:2" x14ac:dyDescent="0.25">
      <c r="A1144" t="s">
        <v>1170</v>
      </c>
      <c r="B1144" t="s">
        <v>8428</v>
      </c>
    </row>
    <row r="1145" spans="1:2" x14ac:dyDescent="0.25">
      <c r="A1145" t="s">
        <v>1171</v>
      </c>
      <c r="B1145" t="s">
        <v>8429</v>
      </c>
    </row>
    <row r="1146" spans="1:2" x14ac:dyDescent="0.25">
      <c r="A1146" t="s">
        <v>1172</v>
      </c>
      <c r="B1146" t="s">
        <v>8430</v>
      </c>
    </row>
    <row r="1147" spans="1:2" x14ac:dyDescent="0.25">
      <c r="A1147" t="s">
        <v>1173</v>
      </c>
      <c r="B1147" t="s">
        <v>8431</v>
      </c>
    </row>
    <row r="1148" spans="1:2" x14ac:dyDescent="0.25">
      <c r="A1148" t="s">
        <v>1174</v>
      </c>
      <c r="B1148" t="s">
        <v>8432</v>
      </c>
    </row>
    <row r="1149" spans="1:2" x14ac:dyDescent="0.25">
      <c r="A1149" t="s">
        <v>1175</v>
      </c>
      <c r="B1149" t="s">
        <v>8433</v>
      </c>
    </row>
    <row r="1150" spans="1:2" x14ac:dyDescent="0.25">
      <c r="A1150" t="s">
        <v>1176</v>
      </c>
      <c r="B1150" t="s">
        <v>8434</v>
      </c>
    </row>
    <row r="1151" spans="1:2" x14ac:dyDescent="0.25">
      <c r="A1151" t="s">
        <v>1177</v>
      </c>
      <c r="B1151" t="s">
        <v>8435</v>
      </c>
    </row>
    <row r="1152" spans="1:2" x14ac:dyDescent="0.25">
      <c r="A1152" t="s">
        <v>1178</v>
      </c>
      <c r="B1152" t="s">
        <v>8436</v>
      </c>
    </row>
    <row r="1153" spans="1:2" x14ac:dyDescent="0.25">
      <c r="A1153" t="s">
        <v>1179</v>
      </c>
      <c r="B1153" t="s">
        <v>8437</v>
      </c>
    </row>
    <row r="1154" spans="1:2" x14ac:dyDescent="0.25">
      <c r="A1154" t="s">
        <v>1180</v>
      </c>
      <c r="B1154" t="s">
        <v>8438</v>
      </c>
    </row>
    <row r="1155" spans="1:2" x14ac:dyDescent="0.25">
      <c r="A1155" t="s">
        <v>1181</v>
      </c>
      <c r="B1155" t="s">
        <v>8439</v>
      </c>
    </row>
    <row r="1156" spans="1:2" x14ac:dyDescent="0.25">
      <c r="A1156" t="s">
        <v>1182</v>
      </c>
      <c r="B1156" t="s">
        <v>8440</v>
      </c>
    </row>
    <row r="1157" spans="1:2" x14ac:dyDescent="0.25">
      <c r="A1157" t="s">
        <v>1183</v>
      </c>
      <c r="B1157" t="s">
        <v>8441</v>
      </c>
    </row>
    <row r="1158" spans="1:2" x14ac:dyDescent="0.25">
      <c r="A1158" t="s">
        <v>1184</v>
      </c>
      <c r="B1158" t="s">
        <v>8442</v>
      </c>
    </row>
    <row r="1159" spans="1:2" x14ac:dyDescent="0.25">
      <c r="A1159" t="s">
        <v>1185</v>
      </c>
      <c r="B1159" t="s">
        <v>8443</v>
      </c>
    </row>
    <row r="1160" spans="1:2" x14ac:dyDescent="0.25">
      <c r="A1160" t="s">
        <v>1186</v>
      </c>
      <c r="B1160" t="s">
        <v>8444</v>
      </c>
    </row>
    <row r="1161" spans="1:2" x14ac:dyDescent="0.25">
      <c r="A1161" t="s">
        <v>1187</v>
      </c>
      <c r="B1161" t="s">
        <v>8445</v>
      </c>
    </row>
    <row r="1162" spans="1:2" x14ac:dyDescent="0.25">
      <c r="A1162" t="s">
        <v>1188</v>
      </c>
      <c r="B1162" t="s">
        <v>8446</v>
      </c>
    </row>
    <row r="1163" spans="1:2" x14ac:dyDescent="0.25">
      <c r="A1163" t="s">
        <v>1189</v>
      </c>
      <c r="B1163" t="s">
        <v>8447</v>
      </c>
    </row>
    <row r="1164" spans="1:2" x14ac:dyDescent="0.25">
      <c r="A1164" t="s">
        <v>1190</v>
      </c>
      <c r="B1164" t="s">
        <v>8448</v>
      </c>
    </row>
    <row r="1165" spans="1:2" x14ac:dyDescent="0.25">
      <c r="A1165" t="s">
        <v>1191</v>
      </c>
      <c r="B1165" t="s">
        <v>8449</v>
      </c>
    </row>
    <row r="1166" spans="1:2" x14ac:dyDescent="0.25">
      <c r="A1166" t="s">
        <v>1192</v>
      </c>
      <c r="B1166" t="s">
        <v>8450</v>
      </c>
    </row>
    <row r="1167" spans="1:2" x14ac:dyDescent="0.25">
      <c r="A1167" t="s">
        <v>1193</v>
      </c>
      <c r="B1167" t="s">
        <v>8451</v>
      </c>
    </row>
    <row r="1168" spans="1:2" x14ac:dyDescent="0.25">
      <c r="A1168" t="s">
        <v>1194</v>
      </c>
      <c r="B1168" t="s">
        <v>8452</v>
      </c>
    </row>
    <row r="1169" spans="1:2" x14ac:dyDescent="0.25">
      <c r="A1169" t="s">
        <v>1195</v>
      </c>
      <c r="B1169" t="s">
        <v>8453</v>
      </c>
    </row>
    <row r="1170" spans="1:2" x14ac:dyDescent="0.25">
      <c r="A1170" t="s">
        <v>1196</v>
      </c>
      <c r="B1170" t="s">
        <v>8454</v>
      </c>
    </row>
    <row r="1171" spans="1:2" x14ac:dyDescent="0.25">
      <c r="A1171" t="s">
        <v>1197</v>
      </c>
      <c r="B1171" t="s">
        <v>8455</v>
      </c>
    </row>
    <row r="1172" spans="1:2" x14ac:dyDescent="0.25">
      <c r="A1172" t="s">
        <v>1198</v>
      </c>
      <c r="B1172" t="s">
        <v>8456</v>
      </c>
    </row>
    <row r="1173" spans="1:2" x14ac:dyDescent="0.25">
      <c r="A1173" t="s">
        <v>1199</v>
      </c>
      <c r="B1173" t="s">
        <v>8457</v>
      </c>
    </row>
    <row r="1174" spans="1:2" x14ac:dyDescent="0.25">
      <c r="A1174" t="s">
        <v>1200</v>
      </c>
      <c r="B1174" t="s">
        <v>8458</v>
      </c>
    </row>
    <row r="1175" spans="1:2" x14ac:dyDescent="0.25">
      <c r="A1175" t="s">
        <v>1201</v>
      </c>
      <c r="B1175" t="s">
        <v>8459</v>
      </c>
    </row>
    <row r="1176" spans="1:2" x14ac:dyDescent="0.25">
      <c r="A1176" t="s">
        <v>1202</v>
      </c>
      <c r="B1176" t="s">
        <v>8460</v>
      </c>
    </row>
    <row r="1177" spans="1:2" x14ac:dyDescent="0.25">
      <c r="A1177" t="s">
        <v>1203</v>
      </c>
      <c r="B1177" t="s">
        <v>8461</v>
      </c>
    </row>
    <row r="1178" spans="1:2" x14ac:dyDescent="0.25">
      <c r="A1178" t="s">
        <v>1204</v>
      </c>
      <c r="B1178" t="s">
        <v>8462</v>
      </c>
    </row>
    <row r="1179" spans="1:2" x14ac:dyDescent="0.25">
      <c r="A1179" t="s">
        <v>1205</v>
      </c>
      <c r="B1179" t="s">
        <v>8463</v>
      </c>
    </row>
    <row r="1180" spans="1:2" x14ac:dyDescent="0.25">
      <c r="A1180" t="s">
        <v>1206</v>
      </c>
      <c r="B1180" t="s">
        <v>8464</v>
      </c>
    </row>
    <row r="1181" spans="1:2" x14ac:dyDescent="0.25">
      <c r="A1181" t="s">
        <v>1207</v>
      </c>
      <c r="B1181" t="s">
        <v>8465</v>
      </c>
    </row>
    <row r="1182" spans="1:2" x14ac:dyDescent="0.25">
      <c r="A1182" t="s">
        <v>1208</v>
      </c>
      <c r="B1182" t="s">
        <v>8466</v>
      </c>
    </row>
    <row r="1183" spans="1:2" x14ac:dyDescent="0.25">
      <c r="A1183" t="s">
        <v>1209</v>
      </c>
      <c r="B1183" t="s">
        <v>8467</v>
      </c>
    </row>
    <row r="1184" spans="1:2" x14ac:dyDescent="0.25">
      <c r="A1184" t="s">
        <v>1210</v>
      </c>
      <c r="B1184" t="s">
        <v>8468</v>
      </c>
    </row>
    <row r="1185" spans="1:2" x14ac:dyDescent="0.25">
      <c r="A1185" t="s">
        <v>1211</v>
      </c>
      <c r="B1185" t="s">
        <v>8469</v>
      </c>
    </row>
    <row r="1186" spans="1:2" x14ac:dyDescent="0.25">
      <c r="A1186" t="s">
        <v>1212</v>
      </c>
      <c r="B1186" t="s">
        <v>8470</v>
      </c>
    </row>
    <row r="1187" spans="1:2" x14ac:dyDescent="0.25">
      <c r="A1187" t="s">
        <v>1213</v>
      </c>
      <c r="B1187" t="s">
        <v>8471</v>
      </c>
    </row>
    <row r="1188" spans="1:2" x14ac:dyDescent="0.25">
      <c r="A1188" t="s">
        <v>1214</v>
      </c>
      <c r="B1188" t="s">
        <v>8472</v>
      </c>
    </row>
    <row r="1189" spans="1:2" x14ac:dyDescent="0.25">
      <c r="A1189" t="s">
        <v>1215</v>
      </c>
      <c r="B1189" t="s">
        <v>8473</v>
      </c>
    </row>
    <row r="1190" spans="1:2" x14ac:dyDescent="0.25">
      <c r="A1190" t="s">
        <v>1216</v>
      </c>
      <c r="B1190" t="s">
        <v>8474</v>
      </c>
    </row>
    <row r="1191" spans="1:2" x14ac:dyDescent="0.25">
      <c r="A1191" t="s">
        <v>1217</v>
      </c>
      <c r="B1191" t="s">
        <v>8475</v>
      </c>
    </row>
    <row r="1192" spans="1:2" x14ac:dyDescent="0.25">
      <c r="A1192" t="s">
        <v>1218</v>
      </c>
      <c r="B1192" t="s">
        <v>8476</v>
      </c>
    </row>
    <row r="1193" spans="1:2" x14ac:dyDescent="0.25">
      <c r="A1193" t="s">
        <v>1219</v>
      </c>
      <c r="B1193" t="s">
        <v>8477</v>
      </c>
    </row>
    <row r="1194" spans="1:2" x14ac:dyDescent="0.25">
      <c r="A1194" t="s">
        <v>1220</v>
      </c>
      <c r="B1194" t="s">
        <v>8478</v>
      </c>
    </row>
    <row r="1195" spans="1:2" x14ac:dyDescent="0.25">
      <c r="A1195" t="s">
        <v>1221</v>
      </c>
      <c r="B1195" t="s">
        <v>8479</v>
      </c>
    </row>
    <row r="1196" spans="1:2" x14ac:dyDescent="0.25">
      <c r="A1196" t="s">
        <v>1222</v>
      </c>
      <c r="B1196" t="s">
        <v>8480</v>
      </c>
    </row>
    <row r="1197" spans="1:2" x14ac:dyDescent="0.25">
      <c r="A1197" t="s">
        <v>1223</v>
      </c>
      <c r="B1197" t="s">
        <v>8481</v>
      </c>
    </row>
    <row r="1198" spans="1:2" x14ac:dyDescent="0.25">
      <c r="A1198" t="s">
        <v>1224</v>
      </c>
      <c r="B1198" t="s">
        <v>8482</v>
      </c>
    </row>
    <row r="1199" spans="1:2" x14ac:dyDescent="0.25">
      <c r="A1199" t="s">
        <v>1225</v>
      </c>
      <c r="B1199" t="s">
        <v>8483</v>
      </c>
    </row>
    <row r="1200" spans="1:2" x14ac:dyDescent="0.25">
      <c r="A1200" t="s">
        <v>1226</v>
      </c>
      <c r="B1200" t="s">
        <v>8484</v>
      </c>
    </row>
    <row r="1201" spans="1:2" x14ac:dyDescent="0.25">
      <c r="A1201" t="s">
        <v>1227</v>
      </c>
      <c r="B1201" t="s">
        <v>8485</v>
      </c>
    </row>
    <row r="1202" spans="1:2" x14ac:dyDescent="0.25">
      <c r="A1202" t="s">
        <v>1228</v>
      </c>
      <c r="B1202" t="s">
        <v>8486</v>
      </c>
    </row>
    <row r="1203" spans="1:2" x14ac:dyDescent="0.25">
      <c r="A1203" t="s">
        <v>1229</v>
      </c>
      <c r="B1203" t="s">
        <v>8487</v>
      </c>
    </row>
    <row r="1204" spans="1:2" x14ac:dyDescent="0.25">
      <c r="A1204" t="s">
        <v>1230</v>
      </c>
      <c r="B1204" t="s">
        <v>8488</v>
      </c>
    </row>
    <row r="1205" spans="1:2" x14ac:dyDescent="0.25">
      <c r="A1205" t="s">
        <v>1231</v>
      </c>
      <c r="B1205" t="s">
        <v>8489</v>
      </c>
    </row>
    <row r="1206" spans="1:2" x14ac:dyDescent="0.25">
      <c r="A1206" t="s">
        <v>1232</v>
      </c>
      <c r="B1206" t="s">
        <v>8490</v>
      </c>
    </row>
    <row r="1207" spans="1:2" x14ac:dyDescent="0.25">
      <c r="A1207" t="s">
        <v>1233</v>
      </c>
      <c r="B1207" t="s">
        <v>8491</v>
      </c>
    </row>
    <row r="1208" spans="1:2" x14ac:dyDescent="0.25">
      <c r="A1208" t="s">
        <v>1234</v>
      </c>
      <c r="B1208" t="s">
        <v>8492</v>
      </c>
    </row>
    <row r="1209" spans="1:2" x14ac:dyDescent="0.25">
      <c r="A1209" t="s">
        <v>1235</v>
      </c>
      <c r="B1209" t="s">
        <v>8493</v>
      </c>
    </row>
    <row r="1210" spans="1:2" x14ac:dyDescent="0.25">
      <c r="A1210" t="s">
        <v>1236</v>
      </c>
      <c r="B1210" t="s">
        <v>8494</v>
      </c>
    </row>
    <row r="1211" spans="1:2" x14ac:dyDescent="0.25">
      <c r="A1211" t="s">
        <v>1237</v>
      </c>
      <c r="B1211" t="s">
        <v>8495</v>
      </c>
    </row>
    <row r="1212" spans="1:2" x14ac:dyDescent="0.25">
      <c r="A1212" t="s">
        <v>1238</v>
      </c>
      <c r="B1212" t="s">
        <v>8496</v>
      </c>
    </row>
    <row r="1213" spans="1:2" x14ac:dyDescent="0.25">
      <c r="A1213" t="s">
        <v>1239</v>
      </c>
      <c r="B1213" t="s">
        <v>8497</v>
      </c>
    </row>
    <row r="1214" spans="1:2" x14ac:dyDescent="0.25">
      <c r="A1214" t="s">
        <v>1240</v>
      </c>
      <c r="B1214" t="s">
        <v>8498</v>
      </c>
    </row>
    <row r="1215" spans="1:2" x14ac:dyDescent="0.25">
      <c r="A1215" t="s">
        <v>1241</v>
      </c>
      <c r="B1215" t="s">
        <v>8499</v>
      </c>
    </row>
    <row r="1216" spans="1:2" x14ac:dyDescent="0.25">
      <c r="A1216" t="s">
        <v>1242</v>
      </c>
      <c r="B1216" t="s">
        <v>8500</v>
      </c>
    </row>
    <row r="1217" spans="1:2" x14ac:dyDescent="0.25">
      <c r="A1217" t="s">
        <v>1243</v>
      </c>
      <c r="B1217" t="s">
        <v>8501</v>
      </c>
    </row>
    <row r="1218" spans="1:2" x14ac:dyDescent="0.25">
      <c r="A1218" t="s">
        <v>1244</v>
      </c>
      <c r="B1218" t="s">
        <v>8502</v>
      </c>
    </row>
    <row r="1219" spans="1:2" x14ac:dyDescent="0.25">
      <c r="A1219" t="s">
        <v>1245</v>
      </c>
      <c r="B1219" t="s">
        <v>8503</v>
      </c>
    </row>
    <row r="1220" spans="1:2" x14ac:dyDescent="0.25">
      <c r="A1220" t="s">
        <v>1246</v>
      </c>
      <c r="B1220" t="s">
        <v>8504</v>
      </c>
    </row>
    <row r="1221" spans="1:2" x14ac:dyDescent="0.25">
      <c r="A1221" t="s">
        <v>1247</v>
      </c>
      <c r="B1221" t="s">
        <v>8505</v>
      </c>
    </row>
    <row r="1222" spans="1:2" x14ac:dyDescent="0.25">
      <c r="A1222" t="s">
        <v>1248</v>
      </c>
      <c r="B1222" t="s">
        <v>8506</v>
      </c>
    </row>
    <row r="1223" spans="1:2" x14ac:dyDescent="0.25">
      <c r="A1223" t="s">
        <v>1249</v>
      </c>
      <c r="B1223" t="s">
        <v>8507</v>
      </c>
    </row>
    <row r="1224" spans="1:2" x14ac:dyDescent="0.25">
      <c r="A1224" t="s">
        <v>1250</v>
      </c>
      <c r="B1224" t="s">
        <v>8508</v>
      </c>
    </row>
    <row r="1225" spans="1:2" x14ac:dyDescent="0.25">
      <c r="A1225" t="s">
        <v>1251</v>
      </c>
      <c r="B1225" t="s">
        <v>8509</v>
      </c>
    </row>
    <row r="1226" spans="1:2" x14ac:dyDescent="0.25">
      <c r="A1226" t="s">
        <v>1252</v>
      </c>
      <c r="B1226" t="s">
        <v>8510</v>
      </c>
    </row>
    <row r="1227" spans="1:2" x14ac:dyDescent="0.25">
      <c r="A1227" t="s">
        <v>1253</v>
      </c>
      <c r="B1227" t="s">
        <v>8511</v>
      </c>
    </row>
    <row r="1228" spans="1:2" x14ac:dyDescent="0.25">
      <c r="A1228" t="s">
        <v>1254</v>
      </c>
      <c r="B1228" t="s">
        <v>8512</v>
      </c>
    </row>
    <row r="1229" spans="1:2" x14ac:dyDescent="0.25">
      <c r="A1229" t="s">
        <v>1255</v>
      </c>
      <c r="B1229" t="s">
        <v>8513</v>
      </c>
    </row>
    <row r="1230" spans="1:2" x14ac:dyDescent="0.25">
      <c r="A1230" t="s">
        <v>1256</v>
      </c>
      <c r="B1230" t="s">
        <v>8514</v>
      </c>
    </row>
    <row r="1231" spans="1:2" x14ac:dyDescent="0.25">
      <c r="A1231" t="s">
        <v>1257</v>
      </c>
      <c r="B1231" t="s">
        <v>8515</v>
      </c>
    </row>
    <row r="1232" spans="1:2" x14ac:dyDescent="0.25">
      <c r="A1232" t="s">
        <v>1258</v>
      </c>
      <c r="B1232" t="s">
        <v>8516</v>
      </c>
    </row>
    <row r="1233" spans="1:2" x14ac:dyDescent="0.25">
      <c r="A1233" t="s">
        <v>1259</v>
      </c>
      <c r="B1233" t="s">
        <v>8517</v>
      </c>
    </row>
    <row r="1234" spans="1:2" x14ac:dyDescent="0.25">
      <c r="A1234" t="s">
        <v>1260</v>
      </c>
      <c r="B1234" t="s">
        <v>8518</v>
      </c>
    </row>
    <row r="1235" spans="1:2" x14ac:dyDescent="0.25">
      <c r="A1235" t="s">
        <v>1261</v>
      </c>
      <c r="B1235" t="s">
        <v>8519</v>
      </c>
    </row>
    <row r="1236" spans="1:2" x14ac:dyDescent="0.25">
      <c r="A1236" t="s">
        <v>1262</v>
      </c>
      <c r="B1236" t="s">
        <v>8520</v>
      </c>
    </row>
    <row r="1237" spans="1:2" x14ac:dyDescent="0.25">
      <c r="A1237" t="s">
        <v>1263</v>
      </c>
      <c r="B1237" t="s">
        <v>8521</v>
      </c>
    </row>
    <row r="1238" spans="1:2" x14ac:dyDescent="0.25">
      <c r="A1238" t="s">
        <v>1264</v>
      </c>
      <c r="B1238" t="s">
        <v>8522</v>
      </c>
    </row>
    <row r="1239" spans="1:2" x14ac:dyDescent="0.25">
      <c r="A1239" t="s">
        <v>1265</v>
      </c>
      <c r="B1239" t="s">
        <v>8523</v>
      </c>
    </row>
    <row r="1240" spans="1:2" x14ac:dyDescent="0.25">
      <c r="A1240" t="s">
        <v>1266</v>
      </c>
      <c r="B1240" t="s">
        <v>8524</v>
      </c>
    </row>
    <row r="1241" spans="1:2" x14ac:dyDescent="0.25">
      <c r="A1241" t="s">
        <v>1267</v>
      </c>
      <c r="B1241" t="s">
        <v>8525</v>
      </c>
    </row>
    <row r="1242" spans="1:2" x14ac:dyDescent="0.25">
      <c r="A1242" t="s">
        <v>1268</v>
      </c>
      <c r="B1242" t="s">
        <v>8526</v>
      </c>
    </row>
    <row r="1243" spans="1:2" x14ac:dyDescent="0.25">
      <c r="A1243" t="s">
        <v>1269</v>
      </c>
      <c r="B1243" t="s">
        <v>8527</v>
      </c>
    </row>
    <row r="1244" spans="1:2" x14ac:dyDescent="0.25">
      <c r="A1244" t="s">
        <v>1270</v>
      </c>
      <c r="B1244" t="s">
        <v>8528</v>
      </c>
    </row>
    <row r="1245" spans="1:2" x14ac:dyDescent="0.25">
      <c r="A1245" t="s">
        <v>1271</v>
      </c>
      <c r="B1245" t="s">
        <v>8529</v>
      </c>
    </row>
    <row r="1246" spans="1:2" x14ac:dyDescent="0.25">
      <c r="A1246" t="s">
        <v>1272</v>
      </c>
      <c r="B1246" t="s">
        <v>8530</v>
      </c>
    </row>
    <row r="1247" spans="1:2" x14ac:dyDescent="0.25">
      <c r="A1247" t="s">
        <v>1273</v>
      </c>
      <c r="B1247" t="s">
        <v>8531</v>
      </c>
    </row>
    <row r="1248" spans="1:2" x14ac:dyDescent="0.25">
      <c r="A1248" t="s">
        <v>1274</v>
      </c>
      <c r="B1248" t="s">
        <v>8532</v>
      </c>
    </row>
    <row r="1249" spans="1:2" x14ac:dyDescent="0.25">
      <c r="A1249" t="s">
        <v>1275</v>
      </c>
      <c r="B1249" t="s">
        <v>8533</v>
      </c>
    </row>
    <row r="1250" spans="1:2" x14ac:dyDescent="0.25">
      <c r="A1250" t="s">
        <v>1276</v>
      </c>
      <c r="B1250" t="s">
        <v>8534</v>
      </c>
    </row>
    <row r="1251" spans="1:2" x14ac:dyDescent="0.25">
      <c r="A1251" t="s">
        <v>1277</v>
      </c>
      <c r="B1251" t="s">
        <v>8535</v>
      </c>
    </row>
    <row r="1252" spans="1:2" x14ac:dyDescent="0.25">
      <c r="A1252" t="s">
        <v>1278</v>
      </c>
      <c r="B1252" t="s">
        <v>8536</v>
      </c>
    </row>
    <row r="1253" spans="1:2" x14ac:dyDescent="0.25">
      <c r="A1253" t="s">
        <v>1279</v>
      </c>
      <c r="B1253" t="s">
        <v>8537</v>
      </c>
    </row>
    <row r="1254" spans="1:2" x14ac:dyDescent="0.25">
      <c r="A1254" t="s">
        <v>1280</v>
      </c>
      <c r="B1254" t="s">
        <v>8538</v>
      </c>
    </row>
    <row r="1255" spans="1:2" x14ac:dyDescent="0.25">
      <c r="A1255" t="s">
        <v>1281</v>
      </c>
      <c r="B1255" t="s">
        <v>8539</v>
      </c>
    </row>
    <row r="1256" spans="1:2" x14ac:dyDescent="0.25">
      <c r="A1256" t="s">
        <v>1282</v>
      </c>
      <c r="B1256" t="s">
        <v>8540</v>
      </c>
    </row>
    <row r="1257" spans="1:2" x14ac:dyDescent="0.25">
      <c r="A1257" t="s">
        <v>1283</v>
      </c>
      <c r="B1257" t="s">
        <v>8541</v>
      </c>
    </row>
    <row r="1258" spans="1:2" x14ac:dyDescent="0.25">
      <c r="A1258" t="s">
        <v>1284</v>
      </c>
      <c r="B1258" t="s">
        <v>8542</v>
      </c>
    </row>
    <row r="1259" spans="1:2" x14ac:dyDescent="0.25">
      <c r="A1259" t="s">
        <v>1285</v>
      </c>
      <c r="B1259" t="s">
        <v>8543</v>
      </c>
    </row>
    <row r="1260" spans="1:2" x14ac:dyDescent="0.25">
      <c r="A1260" t="s">
        <v>1286</v>
      </c>
      <c r="B1260" t="s">
        <v>8544</v>
      </c>
    </row>
    <row r="1261" spans="1:2" x14ac:dyDescent="0.25">
      <c r="A1261" t="s">
        <v>1287</v>
      </c>
      <c r="B1261" t="s">
        <v>8545</v>
      </c>
    </row>
    <row r="1262" spans="1:2" x14ac:dyDescent="0.25">
      <c r="A1262" t="s">
        <v>1288</v>
      </c>
      <c r="B1262" t="s">
        <v>8546</v>
      </c>
    </row>
    <row r="1263" spans="1:2" x14ac:dyDescent="0.25">
      <c r="A1263" t="s">
        <v>1289</v>
      </c>
      <c r="B1263" t="s">
        <v>8547</v>
      </c>
    </row>
    <row r="1264" spans="1:2" x14ac:dyDescent="0.25">
      <c r="A1264" t="s">
        <v>1290</v>
      </c>
      <c r="B1264" t="s">
        <v>8548</v>
      </c>
    </row>
    <row r="1265" spans="1:2" x14ac:dyDescent="0.25">
      <c r="A1265" t="s">
        <v>1291</v>
      </c>
      <c r="B1265" t="s">
        <v>8549</v>
      </c>
    </row>
    <row r="1266" spans="1:2" x14ac:dyDescent="0.25">
      <c r="A1266" t="s">
        <v>1292</v>
      </c>
      <c r="B1266" t="s">
        <v>8550</v>
      </c>
    </row>
    <row r="1267" spans="1:2" x14ac:dyDescent="0.25">
      <c r="A1267" t="s">
        <v>1293</v>
      </c>
      <c r="B1267" t="s">
        <v>8551</v>
      </c>
    </row>
    <row r="1268" spans="1:2" x14ac:dyDescent="0.25">
      <c r="A1268" t="s">
        <v>1294</v>
      </c>
      <c r="B1268" t="s">
        <v>8552</v>
      </c>
    </row>
    <row r="1269" spans="1:2" x14ac:dyDescent="0.25">
      <c r="A1269" t="s">
        <v>1295</v>
      </c>
      <c r="B1269" t="s">
        <v>8553</v>
      </c>
    </row>
    <row r="1270" spans="1:2" x14ac:dyDescent="0.25">
      <c r="A1270" t="s">
        <v>1296</v>
      </c>
      <c r="B1270" t="s">
        <v>8554</v>
      </c>
    </row>
    <row r="1271" spans="1:2" x14ac:dyDescent="0.25">
      <c r="A1271" t="s">
        <v>1297</v>
      </c>
      <c r="B1271" t="s">
        <v>8555</v>
      </c>
    </row>
    <row r="1272" spans="1:2" x14ac:dyDescent="0.25">
      <c r="A1272" t="s">
        <v>1298</v>
      </c>
      <c r="B1272" t="s">
        <v>8556</v>
      </c>
    </row>
    <row r="1273" spans="1:2" x14ac:dyDescent="0.25">
      <c r="A1273" t="s">
        <v>1299</v>
      </c>
      <c r="B1273" t="s">
        <v>8557</v>
      </c>
    </row>
    <row r="1274" spans="1:2" x14ac:dyDescent="0.25">
      <c r="A1274" t="s">
        <v>1300</v>
      </c>
      <c r="B1274" t="s">
        <v>8558</v>
      </c>
    </row>
    <row r="1275" spans="1:2" x14ac:dyDescent="0.25">
      <c r="A1275" t="s">
        <v>1301</v>
      </c>
      <c r="B1275" t="s">
        <v>8559</v>
      </c>
    </row>
    <row r="1276" spans="1:2" x14ac:dyDescent="0.25">
      <c r="A1276" t="s">
        <v>1302</v>
      </c>
      <c r="B1276" t="s">
        <v>8560</v>
      </c>
    </row>
    <row r="1277" spans="1:2" x14ac:dyDescent="0.25">
      <c r="A1277" t="s">
        <v>1303</v>
      </c>
      <c r="B1277" t="s">
        <v>8561</v>
      </c>
    </row>
    <row r="1278" spans="1:2" x14ac:dyDescent="0.25">
      <c r="A1278" t="s">
        <v>1304</v>
      </c>
      <c r="B1278" t="s">
        <v>8562</v>
      </c>
    </row>
    <row r="1279" spans="1:2" x14ac:dyDescent="0.25">
      <c r="A1279" t="s">
        <v>1305</v>
      </c>
      <c r="B1279" t="s">
        <v>8563</v>
      </c>
    </row>
    <row r="1280" spans="1:2" x14ac:dyDescent="0.25">
      <c r="A1280" t="s">
        <v>1306</v>
      </c>
      <c r="B1280" t="s">
        <v>8564</v>
      </c>
    </row>
    <row r="1281" spans="1:2" x14ac:dyDescent="0.25">
      <c r="A1281" t="s">
        <v>1307</v>
      </c>
      <c r="B1281" t="s">
        <v>8565</v>
      </c>
    </row>
    <row r="1282" spans="1:2" x14ac:dyDescent="0.25">
      <c r="A1282" t="s">
        <v>1308</v>
      </c>
      <c r="B1282" t="s">
        <v>8566</v>
      </c>
    </row>
    <row r="1283" spans="1:2" x14ac:dyDescent="0.25">
      <c r="A1283" t="s">
        <v>1309</v>
      </c>
      <c r="B1283" t="s">
        <v>8567</v>
      </c>
    </row>
    <row r="1284" spans="1:2" x14ac:dyDescent="0.25">
      <c r="A1284" t="s">
        <v>1310</v>
      </c>
      <c r="B1284" t="s">
        <v>8568</v>
      </c>
    </row>
    <row r="1285" spans="1:2" x14ac:dyDescent="0.25">
      <c r="A1285" t="s">
        <v>1311</v>
      </c>
      <c r="B1285" t="s">
        <v>8569</v>
      </c>
    </row>
    <row r="1286" spans="1:2" x14ac:dyDescent="0.25">
      <c r="A1286" t="s">
        <v>1312</v>
      </c>
      <c r="B1286" t="s">
        <v>8570</v>
      </c>
    </row>
    <row r="1287" spans="1:2" x14ac:dyDescent="0.25">
      <c r="A1287" t="s">
        <v>1313</v>
      </c>
      <c r="B1287" t="s">
        <v>8571</v>
      </c>
    </row>
    <row r="1288" spans="1:2" x14ac:dyDescent="0.25">
      <c r="A1288" t="s">
        <v>1314</v>
      </c>
      <c r="B1288" t="s">
        <v>8572</v>
      </c>
    </row>
    <row r="1289" spans="1:2" x14ac:dyDescent="0.25">
      <c r="A1289" t="s">
        <v>1315</v>
      </c>
      <c r="B1289" t="s">
        <v>8573</v>
      </c>
    </row>
    <row r="1290" spans="1:2" x14ac:dyDescent="0.25">
      <c r="A1290" t="s">
        <v>1316</v>
      </c>
      <c r="B1290" t="s">
        <v>8574</v>
      </c>
    </row>
    <row r="1291" spans="1:2" x14ac:dyDescent="0.25">
      <c r="A1291" t="s">
        <v>1317</v>
      </c>
      <c r="B1291" t="s">
        <v>8575</v>
      </c>
    </row>
    <row r="1292" spans="1:2" x14ac:dyDescent="0.25">
      <c r="A1292" t="s">
        <v>1318</v>
      </c>
      <c r="B1292" t="s">
        <v>8576</v>
      </c>
    </row>
    <row r="1293" spans="1:2" x14ac:dyDescent="0.25">
      <c r="A1293" t="s">
        <v>1319</v>
      </c>
      <c r="B1293" t="s">
        <v>8577</v>
      </c>
    </row>
    <row r="1294" spans="1:2" x14ac:dyDescent="0.25">
      <c r="A1294" t="s">
        <v>1320</v>
      </c>
      <c r="B1294" t="s">
        <v>8578</v>
      </c>
    </row>
    <row r="1295" spans="1:2" x14ac:dyDescent="0.25">
      <c r="A1295" t="s">
        <v>1321</v>
      </c>
      <c r="B1295" t="s">
        <v>8579</v>
      </c>
    </row>
    <row r="1296" spans="1:2" x14ac:dyDescent="0.25">
      <c r="A1296" t="s">
        <v>1322</v>
      </c>
      <c r="B1296" t="s">
        <v>8580</v>
      </c>
    </row>
    <row r="1297" spans="1:2" x14ac:dyDescent="0.25">
      <c r="A1297" t="s">
        <v>1323</v>
      </c>
      <c r="B1297" t="s">
        <v>8581</v>
      </c>
    </row>
    <row r="1298" spans="1:2" x14ac:dyDescent="0.25">
      <c r="A1298" t="s">
        <v>1324</v>
      </c>
      <c r="B1298" t="s">
        <v>8582</v>
      </c>
    </row>
    <row r="1299" spans="1:2" x14ac:dyDescent="0.25">
      <c r="A1299" t="s">
        <v>1325</v>
      </c>
      <c r="B1299" t="s">
        <v>8583</v>
      </c>
    </row>
    <row r="1300" spans="1:2" x14ac:dyDescent="0.25">
      <c r="A1300" t="s">
        <v>1326</v>
      </c>
      <c r="B1300" t="s">
        <v>8584</v>
      </c>
    </row>
    <row r="1301" spans="1:2" x14ac:dyDescent="0.25">
      <c r="A1301" t="s">
        <v>1327</v>
      </c>
      <c r="B1301" t="s">
        <v>8585</v>
      </c>
    </row>
    <row r="1302" spans="1:2" x14ac:dyDescent="0.25">
      <c r="A1302" t="s">
        <v>1328</v>
      </c>
      <c r="B1302" t="s">
        <v>8586</v>
      </c>
    </row>
    <row r="1303" spans="1:2" x14ac:dyDescent="0.25">
      <c r="A1303" t="s">
        <v>1329</v>
      </c>
      <c r="B1303" t="s">
        <v>8587</v>
      </c>
    </row>
    <row r="1304" spans="1:2" x14ac:dyDescent="0.25">
      <c r="A1304" t="s">
        <v>1330</v>
      </c>
      <c r="B1304" t="s">
        <v>8588</v>
      </c>
    </row>
    <row r="1305" spans="1:2" x14ac:dyDescent="0.25">
      <c r="A1305" t="s">
        <v>1331</v>
      </c>
      <c r="B1305" t="s">
        <v>8589</v>
      </c>
    </row>
    <row r="1306" spans="1:2" x14ac:dyDescent="0.25">
      <c r="A1306" t="s">
        <v>1332</v>
      </c>
      <c r="B1306" t="s">
        <v>8590</v>
      </c>
    </row>
    <row r="1307" spans="1:2" x14ac:dyDescent="0.25">
      <c r="A1307" t="s">
        <v>1333</v>
      </c>
      <c r="B1307" t="s">
        <v>8591</v>
      </c>
    </row>
    <row r="1308" spans="1:2" x14ac:dyDescent="0.25">
      <c r="A1308" t="s">
        <v>1334</v>
      </c>
      <c r="B1308" t="s">
        <v>8592</v>
      </c>
    </row>
    <row r="1309" spans="1:2" x14ac:dyDescent="0.25">
      <c r="A1309" t="s">
        <v>1335</v>
      </c>
      <c r="B1309" t="s">
        <v>8593</v>
      </c>
    </row>
    <row r="1310" spans="1:2" x14ac:dyDescent="0.25">
      <c r="A1310" t="s">
        <v>1336</v>
      </c>
      <c r="B1310" t="s">
        <v>8594</v>
      </c>
    </row>
    <row r="1311" spans="1:2" x14ac:dyDescent="0.25">
      <c r="A1311" t="s">
        <v>1337</v>
      </c>
      <c r="B1311" t="s">
        <v>8595</v>
      </c>
    </row>
    <row r="1312" spans="1:2" x14ac:dyDescent="0.25">
      <c r="A1312" t="s">
        <v>1338</v>
      </c>
      <c r="B1312" t="s">
        <v>8596</v>
      </c>
    </row>
    <row r="1313" spans="1:2" x14ac:dyDescent="0.25">
      <c r="A1313" t="s">
        <v>1339</v>
      </c>
      <c r="B1313" t="s">
        <v>8597</v>
      </c>
    </row>
    <row r="1314" spans="1:2" x14ac:dyDescent="0.25">
      <c r="A1314" t="s">
        <v>1340</v>
      </c>
      <c r="B1314" t="s">
        <v>8598</v>
      </c>
    </row>
    <row r="1315" spans="1:2" x14ac:dyDescent="0.25">
      <c r="A1315" t="s">
        <v>1341</v>
      </c>
      <c r="B1315" t="s">
        <v>8599</v>
      </c>
    </row>
    <row r="1316" spans="1:2" x14ac:dyDescent="0.25">
      <c r="A1316" t="s">
        <v>1342</v>
      </c>
      <c r="B1316" t="s">
        <v>8600</v>
      </c>
    </row>
    <row r="1317" spans="1:2" x14ac:dyDescent="0.25">
      <c r="A1317" t="s">
        <v>1343</v>
      </c>
      <c r="B1317" t="s">
        <v>8601</v>
      </c>
    </row>
    <row r="1318" spans="1:2" x14ac:dyDescent="0.25">
      <c r="A1318" t="s">
        <v>1344</v>
      </c>
      <c r="B1318" t="s">
        <v>8602</v>
      </c>
    </row>
    <row r="1319" spans="1:2" x14ac:dyDescent="0.25">
      <c r="A1319" t="s">
        <v>1345</v>
      </c>
      <c r="B1319" t="s">
        <v>8603</v>
      </c>
    </row>
    <row r="1320" spans="1:2" x14ac:dyDescent="0.25">
      <c r="A1320" t="s">
        <v>1346</v>
      </c>
      <c r="B1320" t="s">
        <v>8604</v>
      </c>
    </row>
    <row r="1321" spans="1:2" x14ac:dyDescent="0.25">
      <c r="A1321" t="s">
        <v>1347</v>
      </c>
      <c r="B1321" t="s">
        <v>8605</v>
      </c>
    </row>
    <row r="1322" spans="1:2" x14ac:dyDescent="0.25">
      <c r="A1322" t="s">
        <v>1348</v>
      </c>
      <c r="B1322" t="s">
        <v>8606</v>
      </c>
    </row>
    <row r="1323" spans="1:2" x14ac:dyDescent="0.25">
      <c r="A1323" t="s">
        <v>1349</v>
      </c>
      <c r="B1323" t="s">
        <v>8607</v>
      </c>
    </row>
    <row r="1324" spans="1:2" x14ac:dyDescent="0.25">
      <c r="A1324" t="s">
        <v>1350</v>
      </c>
      <c r="B1324" t="s">
        <v>8608</v>
      </c>
    </row>
    <row r="1325" spans="1:2" x14ac:dyDescent="0.25">
      <c r="A1325" t="s">
        <v>1351</v>
      </c>
      <c r="B1325" t="s">
        <v>8609</v>
      </c>
    </row>
    <row r="1326" spans="1:2" x14ac:dyDescent="0.25">
      <c r="A1326" t="s">
        <v>1352</v>
      </c>
      <c r="B1326" t="s">
        <v>8610</v>
      </c>
    </row>
    <row r="1327" spans="1:2" x14ac:dyDescent="0.25">
      <c r="A1327" t="s">
        <v>1353</v>
      </c>
      <c r="B1327" t="s">
        <v>8611</v>
      </c>
    </row>
    <row r="1328" spans="1:2" x14ac:dyDescent="0.25">
      <c r="A1328" t="s">
        <v>1354</v>
      </c>
      <c r="B1328" t="s">
        <v>8612</v>
      </c>
    </row>
    <row r="1329" spans="1:2" x14ac:dyDescent="0.25">
      <c r="A1329" t="s">
        <v>1355</v>
      </c>
      <c r="B1329" t="s">
        <v>8613</v>
      </c>
    </row>
    <row r="1330" spans="1:2" x14ac:dyDescent="0.25">
      <c r="A1330" t="s">
        <v>1356</v>
      </c>
      <c r="B1330" t="s">
        <v>8614</v>
      </c>
    </row>
    <row r="1331" spans="1:2" x14ac:dyDescent="0.25">
      <c r="A1331" t="s">
        <v>1357</v>
      </c>
      <c r="B1331" t="s">
        <v>8615</v>
      </c>
    </row>
    <row r="1332" spans="1:2" x14ac:dyDescent="0.25">
      <c r="A1332" t="s">
        <v>1358</v>
      </c>
      <c r="B1332" t="s">
        <v>8616</v>
      </c>
    </row>
    <row r="1333" spans="1:2" x14ac:dyDescent="0.25">
      <c r="A1333" t="s">
        <v>1359</v>
      </c>
      <c r="B1333" t="s">
        <v>8617</v>
      </c>
    </row>
    <row r="1334" spans="1:2" x14ac:dyDescent="0.25">
      <c r="A1334" t="s">
        <v>1360</v>
      </c>
      <c r="B1334" t="s">
        <v>8618</v>
      </c>
    </row>
    <row r="1335" spans="1:2" x14ac:dyDescent="0.25">
      <c r="A1335" t="s">
        <v>1361</v>
      </c>
      <c r="B1335" t="s">
        <v>8619</v>
      </c>
    </row>
    <row r="1336" spans="1:2" x14ac:dyDescent="0.25">
      <c r="A1336" t="s">
        <v>1362</v>
      </c>
      <c r="B1336" t="s">
        <v>8620</v>
      </c>
    </row>
    <row r="1337" spans="1:2" x14ac:dyDescent="0.25">
      <c r="A1337" t="s">
        <v>1363</v>
      </c>
      <c r="B1337" t="s">
        <v>8621</v>
      </c>
    </row>
    <row r="1338" spans="1:2" x14ac:dyDescent="0.25">
      <c r="A1338" t="s">
        <v>1364</v>
      </c>
      <c r="B1338" t="s">
        <v>8622</v>
      </c>
    </row>
    <row r="1339" spans="1:2" x14ac:dyDescent="0.25">
      <c r="A1339" t="s">
        <v>1365</v>
      </c>
      <c r="B1339" t="s">
        <v>8623</v>
      </c>
    </row>
    <row r="1340" spans="1:2" x14ac:dyDescent="0.25">
      <c r="A1340" t="s">
        <v>1366</v>
      </c>
      <c r="B1340" t="s">
        <v>8624</v>
      </c>
    </row>
    <row r="1341" spans="1:2" x14ac:dyDescent="0.25">
      <c r="A1341" t="s">
        <v>1367</v>
      </c>
      <c r="B1341" t="s">
        <v>8625</v>
      </c>
    </row>
    <row r="1342" spans="1:2" x14ac:dyDescent="0.25">
      <c r="A1342" t="s">
        <v>1368</v>
      </c>
      <c r="B1342" t="s">
        <v>8626</v>
      </c>
    </row>
    <row r="1343" spans="1:2" x14ac:dyDescent="0.25">
      <c r="A1343" t="s">
        <v>1369</v>
      </c>
      <c r="B1343" t="s">
        <v>8627</v>
      </c>
    </row>
    <row r="1344" spans="1:2" x14ac:dyDescent="0.25">
      <c r="A1344" t="s">
        <v>1370</v>
      </c>
      <c r="B1344" t="s">
        <v>8628</v>
      </c>
    </row>
    <row r="1345" spans="1:2" x14ac:dyDescent="0.25">
      <c r="A1345" t="s">
        <v>1371</v>
      </c>
      <c r="B1345" t="s">
        <v>8629</v>
      </c>
    </row>
    <row r="1346" spans="1:2" x14ac:dyDescent="0.25">
      <c r="A1346" t="s">
        <v>1372</v>
      </c>
      <c r="B1346" t="s">
        <v>8630</v>
      </c>
    </row>
    <row r="1347" spans="1:2" x14ac:dyDescent="0.25">
      <c r="A1347" t="s">
        <v>1373</v>
      </c>
      <c r="B1347" t="s">
        <v>8631</v>
      </c>
    </row>
    <row r="1348" spans="1:2" x14ac:dyDescent="0.25">
      <c r="A1348" t="s">
        <v>1374</v>
      </c>
      <c r="B1348" t="s">
        <v>8632</v>
      </c>
    </row>
    <row r="1349" spans="1:2" x14ac:dyDescent="0.25">
      <c r="A1349" t="s">
        <v>1375</v>
      </c>
      <c r="B1349" t="s">
        <v>8633</v>
      </c>
    </row>
    <row r="1350" spans="1:2" x14ac:dyDescent="0.25">
      <c r="A1350" t="s">
        <v>1376</v>
      </c>
      <c r="B1350" t="s">
        <v>8634</v>
      </c>
    </row>
    <row r="1351" spans="1:2" x14ac:dyDescent="0.25">
      <c r="A1351" t="s">
        <v>1377</v>
      </c>
      <c r="B1351" t="s">
        <v>8635</v>
      </c>
    </row>
    <row r="1352" spans="1:2" x14ac:dyDescent="0.25">
      <c r="A1352" t="s">
        <v>1378</v>
      </c>
      <c r="B1352" t="s">
        <v>8636</v>
      </c>
    </row>
    <row r="1353" spans="1:2" x14ac:dyDescent="0.25">
      <c r="A1353" t="s">
        <v>1379</v>
      </c>
      <c r="B1353" t="s">
        <v>8637</v>
      </c>
    </row>
    <row r="1354" spans="1:2" x14ac:dyDescent="0.25">
      <c r="A1354" t="s">
        <v>1380</v>
      </c>
      <c r="B1354" t="s">
        <v>8638</v>
      </c>
    </row>
    <row r="1355" spans="1:2" x14ac:dyDescent="0.25">
      <c r="A1355" t="s">
        <v>1381</v>
      </c>
      <c r="B1355" t="s">
        <v>8639</v>
      </c>
    </row>
    <row r="1356" spans="1:2" x14ac:dyDescent="0.25">
      <c r="A1356" t="s">
        <v>1382</v>
      </c>
      <c r="B1356" t="s">
        <v>8640</v>
      </c>
    </row>
    <row r="1357" spans="1:2" x14ac:dyDescent="0.25">
      <c r="A1357" t="s">
        <v>1383</v>
      </c>
      <c r="B1357" t="s">
        <v>8641</v>
      </c>
    </row>
    <row r="1358" spans="1:2" x14ac:dyDescent="0.25">
      <c r="A1358" t="s">
        <v>1384</v>
      </c>
      <c r="B1358" t="s">
        <v>8642</v>
      </c>
    </row>
    <row r="1359" spans="1:2" x14ac:dyDescent="0.25">
      <c r="A1359" t="s">
        <v>1385</v>
      </c>
      <c r="B1359" t="s">
        <v>8643</v>
      </c>
    </row>
    <row r="1360" spans="1:2" x14ac:dyDescent="0.25">
      <c r="A1360" t="s">
        <v>1386</v>
      </c>
      <c r="B1360" t="s">
        <v>8644</v>
      </c>
    </row>
    <row r="1361" spans="1:2" x14ac:dyDescent="0.25">
      <c r="A1361" t="s">
        <v>1387</v>
      </c>
      <c r="B1361" t="s">
        <v>8645</v>
      </c>
    </row>
    <row r="1362" spans="1:2" x14ac:dyDescent="0.25">
      <c r="A1362" t="s">
        <v>1388</v>
      </c>
      <c r="B1362" t="s">
        <v>8646</v>
      </c>
    </row>
    <row r="1363" spans="1:2" x14ac:dyDescent="0.25">
      <c r="A1363" t="s">
        <v>1389</v>
      </c>
      <c r="B1363" t="s">
        <v>8647</v>
      </c>
    </row>
    <row r="1364" spans="1:2" x14ac:dyDescent="0.25">
      <c r="A1364" t="s">
        <v>1390</v>
      </c>
      <c r="B1364" t="s">
        <v>8648</v>
      </c>
    </row>
    <row r="1365" spans="1:2" x14ac:dyDescent="0.25">
      <c r="A1365" t="s">
        <v>1391</v>
      </c>
      <c r="B1365" t="s">
        <v>8649</v>
      </c>
    </row>
    <row r="1366" spans="1:2" x14ac:dyDescent="0.25">
      <c r="A1366" t="s">
        <v>1392</v>
      </c>
      <c r="B1366" t="s">
        <v>8650</v>
      </c>
    </row>
    <row r="1367" spans="1:2" x14ac:dyDescent="0.25">
      <c r="A1367" t="s">
        <v>1393</v>
      </c>
      <c r="B1367" t="s">
        <v>8651</v>
      </c>
    </row>
    <row r="1368" spans="1:2" x14ac:dyDescent="0.25">
      <c r="A1368" t="s">
        <v>1394</v>
      </c>
      <c r="B1368" t="s">
        <v>8652</v>
      </c>
    </row>
    <row r="1369" spans="1:2" x14ac:dyDescent="0.25">
      <c r="A1369" t="s">
        <v>1395</v>
      </c>
      <c r="B1369" t="s">
        <v>8653</v>
      </c>
    </row>
    <row r="1370" spans="1:2" x14ac:dyDescent="0.25">
      <c r="A1370" t="s">
        <v>1396</v>
      </c>
      <c r="B1370" t="s">
        <v>8654</v>
      </c>
    </row>
    <row r="1371" spans="1:2" x14ac:dyDescent="0.25">
      <c r="A1371" t="s">
        <v>1397</v>
      </c>
      <c r="B1371" t="s">
        <v>8655</v>
      </c>
    </row>
    <row r="1372" spans="1:2" x14ac:dyDescent="0.25">
      <c r="A1372" t="s">
        <v>1398</v>
      </c>
      <c r="B1372" t="s">
        <v>8656</v>
      </c>
    </row>
    <row r="1373" spans="1:2" x14ac:dyDescent="0.25">
      <c r="A1373" t="s">
        <v>1399</v>
      </c>
      <c r="B1373" t="s">
        <v>8657</v>
      </c>
    </row>
    <row r="1374" spans="1:2" x14ac:dyDescent="0.25">
      <c r="A1374" t="s">
        <v>1400</v>
      </c>
      <c r="B1374" t="s">
        <v>8658</v>
      </c>
    </row>
    <row r="1375" spans="1:2" x14ac:dyDescent="0.25">
      <c r="A1375" t="s">
        <v>1401</v>
      </c>
      <c r="B1375" t="s">
        <v>8659</v>
      </c>
    </row>
    <row r="1376" spans="1:2" x14ac:dyDescent="0.25">
      <c r="A1376" t="s">
        <v>1402</v>
      </c>
      <c r="B1376" t="s">
        <v>8660</v>
      </c>
    </row>
    <row r="1377" spans="1:2" x14ac:dyDescent="0.25">
      <c r="A1377" t="s">
        <v>1403</v>
      </c>
      <c r="B1377" t="s">
        <v>8661</v>
      </c>
    </row>
    <row r="1378" spans="1:2" x14ac:dyDescent="0.25">
      <c r="A1378" t="s">
        <v>1404</v>
      </c>
      <c r="B1378" t="s">
        <v>8662</v>
      </c>
    </row>
    <row r="1379" spans="1:2" x14ac:dyDescent="0.25">
      <c r="A1379" t="s">
        <v>1405</v>
      </c>
      <c r="B1379" t="s">
        <v>8663</v>
      </c>
    </row>
    <row r="1380" spans="1:2" x14ac:dyDescent="0.25">
      <c r="A1380" t="s">
        <v>1406</v>
      </c>
      <c r="B1380" t="s">
        <v>8664</v>
      </c>
    </row>
    <row r="1381" spans="1:2" x14ac:dyDescent="0.25">
      <c r="A1381" t="s">
        <v>1407</v>
      </c>
      <c r="B1381" t="s">
        <v>8665</v>
      </c>
    </row>
    <row r="1382" spans="1:2" x14ac:dyDescent="0.25">
      <c r="A1382" t="s">
        <v>1408</v>
      </c>
      <c r="B1382" t="s">
        <v>8666</v>
      </c>
    </row>
    <row r="1383" spans="1:2" x14ac:dyDescent="0.25">
      <c r="A1383" t="s">
        <v>1409</v>
      </c>
      <c r="B1383" t="s">
        <v>8667</v>
      </c>
    </row>
    <row r="1384" spans="1:2" x14ac:dyDescent="0.25">
      <c r="A1384" t="s">
        <v>1410</v>
      </c>
      <c r="B1384" t="s">
        <v>8668</v>
      </c>
    </row>
    <row r="1385" spans="1:2" x14ac:dyDescent="0.25">
      <c r="A1385" t="s">
        <v>1411</v>
      </c>
      <c r="B1385" t="s">
        <v>8669</v>
      </c>
    </row>
    <row r="1386" spans="1:2" x14ac:dyDescent="0.25">
      <c r="A1386" t="s">
        <v>1412</v>
      </c>
      <c r="B1386" t="s">
        <v>8670</v>
      </c>
    </row>
    <row r="1387" spans="1:2" x14ac:dyDescent="0.25">
      <c r="A1387" t="s">
        <v>1413</v>
      </c>
      <c r="B1387" t="s">
        <v>8671</v>
      </c>
    </row>
    <row r="1388" spans="1:2" x14ac:dyDescent="0.25">
      <c r="A1388" t="s">
        <v>1414</v>
      </c>
      <c r="B1388" t="s">
        <v>8672</v>
      </c>
    </row>
    <row r="1389" spans="1:2" x14ac:dyDescent="0.25">
      <c r="A1389" t="s">
        <v>1415</v>
      </c>
      <c r="B1389" t="s">
        <v>8673</v>
      </c>
    </row>
    <row r="1390" spans="1:2" x14ac:dyDescent="0.25">
      <c r="A1390" t="s">
        <v>1416</v>
      </c>
      <c r="B1390" t="s">
        <v>8674</v>
      </c>
    </row>
    <row r="1391" spans="1:2" x14ac:dyDescent="0.25">
      <c r="A1391" t="s">
        <v>1417</v>
      </c>
      <c r="B1391" t="s">
        <v>8675</v>
      </c>
    </row>
    <row r="1392" spans="1:2" x14ac:dyDescent="0.25">
      <c r="A1392" t="s">
        <v>1418</v>
      </c>
      <c r="B1392" t="s">
        <v>8676</v>
      </c>
    </row>
    <row r="1393" spans="1:2" x14ac:dyDescent="0.25">
      <c r="A1393" t="s">
        <v>1419</v>
      </c>
      <c r="B1393" t="s">
        <v>8677</v>
      </c>
    </row>
    <row r="1394" spans="1:2" x14ac:dyDescent="0.25">
      <c r="A1394" t="s">
        <v>1420</v>
      </c>
      <c r="B1394" t="s">
        <v>8678</v>
      </c>
    </row>
    <row r="1395" spans="1:2" x14ac:dyDescent="0.25">
      <c r="A1395" t="s">
        <v>1421</v>
      </c>
      <c r="B1395" t="s">
        <v>8679</v>
      </c>
    </row>
    <row r="1396" spans="1:2" x14ac:dyDescent="0.25">
      <c r="A1396" t="s">
        <v>1422</v>
      </c>
      <c r="B1396" t="s">
        <v>8680</v>
      </c>
    </row>
    <row r="1397" spans="1:2" x14ac:dyDescent="0.25">
      <c r="A1397" t="s">
        <v>1423</v>
      </c>
      <c r="B1397" t="s">
        <v>8681</v>
      </c>
    </row>
    <row r="1398" spans="1:2" x14ac:dyDescent="0.25">
      <c r="A1398" t="s">
        <v>1424</v>
      </c>
      <c r="B1398" t="s">
        <v>8682</v>
      </c>
    </row>
    <row r="1399" spans="1:2" x14ac:dyDescent="0.25">
      <c r="A1399" t="s">
        <v>1425</v>
      </c>
      <c r="B1399" t="s">
        <v>8683</v>
      </c>
    </row>
    <row r="1400" spans="1:2" x14ac:dyDescent="0.25">
      <c r="A1400" t="s">
        <v>1426</v>
      </c>
      <c r="B1400" t="s">
        <v>8684</v>
      </c>
    </row>
    <row r="1401" spans="1:2" x14ac:dyDescent="0.25">
      <c r="A1401" t="s">
        <v>1427</v>
      </c>
      <c r="B1401" t="s">
        <v>8685</v>
      </c>
    </row>
    <row r="1402" spans="1:2" x14ac:dyDescent="0.25">
      <c r="A1402" t="s">
        <v>1428</v>
      </c>
      <c r="B1402" t="s">
        <v>8686</v>
      </c>
    </row>
    <row r="1403" spans="1:2" x14ac:dyDescent="0.25">
      <c r="A1403" t="s">
        <v>1429</v>
      </c>
      <c r="B1403" t="s">
        <v>8687</v>
      </c>
    </row>
    <row r="1404" spans="1:2" x14ac:dyDescent="0.25">
      <c r="A1404" t="s">
        <v>1430</v>
      </c>
      <c r="B1404" t="s">
        <v>8688</v>
      </c>
    </row>
    <row r="1405" spans="1:2" x14ac:dyDescent="0.25">
      <c r="A1405" t="s">
        <v>1431</v>
      </c>
      <c r="B1405" t="s">
        <v>8689</v>
      </c>
    </row>
    <row r="1406" spans="1:2" x14ac:dyDescent="0.25">
      <c r="A1406" t="s">
        <v>1432</v>
      </c>
      <c r="B1406" t="s">
        <v>8690</v>
      </c>
    </row>
    <row r="1407" spans="1:2" x14ac:dyDescent="0.25">
      <c r="A1407" t="s">
        <v>1433</v>
      </c>
      <c r="B1407" t="s">
        <v>8691</v>
      </c>
    </row>
    <row r="1408" spans="1:2" x14ac:dyDescent="0.25">
      <c r="A1408" t="s">
        <v>1434</v>
      </c>
      <c r="B1408" t="s">
        <v>8692</v>
      </c>
    </row>
    <row r="1409" spans="1:2" x14ac:dyDescent="0.25">
      <c r="A1409" t="s">
        <v>1435</v>
      </c>
      <c r="B1409" t="s">
        <v>8693</v>
      </c>
    </row>
    <row r="1410" spans="1:2" x14ac:dyDescent="0.25">
      <c r="A1410" t="s">
        <v>1436</v>
      </c>
      <c r="B1410" t="s">
        <v>8694</v>
      </c>
    </row>
    <row r="1411" spans="1:2" x14ac:dyDescent="0.25">
      <c r="A1411" t="s">
        <v>1437</v>
      </c>
      <c r="B1411" t="s">
        <v>8695</v>
      </c>
    </row>
    <row r="1412" spans="1:2" x14ac:dyDescent="0.25">
      <c r="A1412" t="s">
        <v>1438</v>
      </c>
      <c r="B1412" t="s">
        <v>8696</v>
      </c>
    </row>
    <row r="1413" spans="1:2" x14ac:dyDescent="0.25">
      <c r="A1413" t="s">
        <v>1439</v>
      </c>
      <c r="B1413" t="s">
        <v>8697</v>
      </c>
    </row>
    <row r="1414" spans="1:2" x14ac:dyDescent="0.25">
      <c r="A1414" t="s">
        <v>1440</v>
      </c>
      <c r="B1414" t="s">
        <v>8698</v>
      </c>
    </row>
    <row r="1415" spans="1:2" x14ac:dyDescent="0.25">
      <c r="A1415" t="s">
        <v>1441</v>
      </c>
      <c r="B1415" t="s">
        <v>8699</v>
      </c>
    </row>
    <row r="1416" spans="1:2" x14ac:dyDescent="0.25">
      <c r="A1416" t="s">
        <v>1442</v>
      </c>
      <c r="B1416" t="s">
        <v>8700</v>
      </c>
    </row>
    <row r="1417" spans="1:2" x14ac:dyDescent="0.25">
      <c r="A1417" t="s">
        <v>1443</v>
      </c>
      <c r="B1417" t="s">
        <v>8701</v>
      </c>
    </row>
    <row r="1418" spans="1:2" x14ac:dyDescent="0.25">
      <c r="A1418" t="s">
        <v>1444</v>
      </c>
      <c r="B1418" t="s">
        <v>8702</v>
      </c>
    </row>
    <row r="1419" spans="1:2" x14ac:dyDescent="0.25">
      <c r="A1419" t="s">
        <v>1445</v>
      </c>
      <c r="B1419" t="s">
        <v>8703</v>
      </c>
    </row>
    <row r="1420" spans="1:2" x14ac:dyDescent="0.25">
      <c r="A1420" t="s">
        <v>1446</v>
      </c>
      <c r="B1420" t="s">
        <v>8704</v>
      </c>
    </row>
    <row r="1421" spans="1:2" x14ac:dyDescent="0.25">
      <c r="A1421" t="s">
        <v>1447</v>
      </c>
      <c r="B1421" t="s">
        <v>8705</v>
      </c>
    </row>
    <row r="1422" spans="1:2" x14ac:dyDescent="0.25">
      <c r="A1422" t="s">
        <v>1448</v>
      </c>
      <c r="B1422" t="s">
        <v>8706</v>
      </c>
    </row>
    <row r="1423" spans="1:2" x14ac:dyDescent="0.25">
      <c r="A1423" t="s">
        <v>1449</v>
      </c>
      <c r="B1423" t="s">
        <v>8707</v>
      </c>
    </row>
    <row r="1424" spans="1:2" x14ac:dyDescent="0.25">
      <c r="A1424" t="s">
        <v>1450</v>
      </c>
      <c r="B1424" t="s">
        <v>8708</v>
      </c>
    </row>
    <row r="1425" spans="1:2" x14ac:dyDescent="0.25">
      <c r="A1425" t="s">
        <v>1451</v>
      </c>
      <c r="B1425" t="s">
        <v>8709</v>
      </c>
    </row>
    <row r="1426" spans="1:2" x14ac:dyDescent="0.25">
      <c r="A1426" t="s">
        <v>1452</v>
      </c>
      <c r="B1426" t="s">
        <v>8710</v>
      </c>
    </row>
    <row r="1427" spans="1:2" x14ac:dyDescent="0.25">
      <c r="A1427" t="s">
        <v>1453</v>
      </c>
      <c r="B1427" t="s">
        <v>8711</v>
      </c>
    </row>
    <row r="1428" spans="1:2" x14ac:dyDescent="0.25">
      <c r="A1428" t="s">
        <v>1454</v>
      </c>
      <c r="B1428" t="s">
        <v>8712</v>
      </c>
    </row>
    <row r="1429" spans="1:2" x14ac:dyDescent="0.25">
      <c r="A1429" t="s">
        <v>1455</v>
      </c>
      <c r="B1429" t="s">
        <v>8713</v>
      </c>
    </row>
    <row r="1430" spans="1:2" x14ac:dyDescent="0.25">
      <c r="A1430" t="s">
        <v>1456</v>
      </c>
      <c r="B1430" t="s">
        <v>8714</v>
      </c>
    </row>
    <row r="1431" spans="1:2" x14ac:dyDescent="0.25">
      <c r="A1431" t="s">
        <v>1457</v>
      </c>
      <c r="B1431" t="s">
        <v>8715</v>
      </c>
    </row>
    <row r="1432" spans="1:2" x14ac:dyDescent="0.25">
      <c r="A1432" t="s">
        <v>1458</v>
      </c>
      <c r="B1432" t="s">
        <v>8716</v>
      </c>
    </row>
    <row r="1433" spans="1:2" x14ac:dyDescent="0.25">
      <c r="A1433" t="s">
        <v>1459</v>
      </c>
      <c r="B1433" t="s">
        <v>8717</v>
      </c>
    </row>
    <row r="1434" spans="1:2" x14ac:dyDescent="0.25">
      <c r="A1434" t="s">
        <v>1460</v>
      </c>
      <c r="B1434" t="s">
        <v>8718</v>
      </c>
    </row>
    <row r="1435" spans="1:2" x14ac:dyDescent="0.25">
      <c r="A1435" t="s">
        <v>1461</v>
      </c>
      <c r="B1435" t="s">
        <v>8719</v>
      </c>
    </row>
    <row r="1436" spans="1:2" x14ac:dyDescent="0.25">
      <c r="A1436" t="s">
        <v>1462</v>
      </c>
      <c r="B1436" t="s">
        <v>8720</v>
      </c>
    </row>
    <row r="1437" spans="1:2" x14ac:dyDescent="0.25">
      <c r="A1437" t="s">
        <v>1463</v>
      </c>
      <c r="B1437" t="s">
        <v>8721</v>
      </c>
    </row>
    <row r="1438" spans="1:2" x14ac:dyDescent="0.25">
      <c r="A1438" t="s">
        <v>1464</v>
      </c>
      <c r="B1438" t="s">
        <v>8722</v>
      </c>
    </row>
    <row r="1439" spans="1:2" x14ac:dyDescent="0.25">
      <c r="A1439" t="s">
        <v>1465</v>
      </c>
      <c r="B1439" t="s">
        <v>8723</v>
      </c>
    </row>
    <row r="1440" spans="1:2" x14ac:dyDescent="0.25">
      <c r="A1440" t="s">
        <v>1466</v>
      </c>
      <c r="B1440" t="s">
        <v>8724</v>
      </c>
    </row>
    <row r="1441" spans="1:2" x14ac:dyDescent="0.25">
      <c r="A1441" t="s">
        <v>1467</v>
      </c>
      <c r="B1441" t="s">
        <v>8725</v>
      </c>
    </row>
    <row r="1442" spans="1:2" x14ac:dyDescent="0.25">
      <c r="A1442" t="s">
        <v>1468</v>
      </c>
      <c r="B1442" t="s">
        <v>8726</v>
      </c>
    </row>
    <row r="1443" spans="1:2" x14ac:dyDescent="0.25">
      <c r="A1443" t="s">
        <v>1469</v>
      </c>
      <c r="B1443" t="s">
        <v>8727</v>
      </c>
    </row>
    <row r="1444" spans="1:2" x14ac:dyDescent="0.25">
      <c r="A1444" t="s">
        <v>1470</v>
      </c>
      <c r="B1444" t="s">
        <v>8728</v>
      </c>
    </row>
    <row r="1445" spans="1:2" x14ac:dyDescent="0.25">
      <c r="A1445" t="s">
        <v>1471</v>
      </c>
      <c r="B1445" t="s">
        <v>8729</v>
      </c>
    </row>
    <row r="1446" spans="1:2" x14ac:dyDescent="0.25">
      <c r="A1446" t="s">
        <v>1472</v>
      </c>
      <c r="B1446" t="s">
        <v>8730</v>
      </c>
    </row>
    <row r="1447" spans="1:2" x14ac:dyDescent="0.25">
      <c r="A1447" t="s">
        <v>1473</v>
      </c>
      <c r="B1447" t="s">
        <v>8731</v>
      </c>
    </row>
    <row r="1448" spans="1:2" x14ac:dyDescent="0.25">
      <c r="A1448" t="s">
        <v>1474</v>
      </c>
      <c r="B1448" t="s">
        <v>8732</v>
      </c>
    </row>
    <row r="1449" spans="1:2" x14ac:dyDescent="0.25">
      <c r="A1449" t="s">
        <v>1475</v>
      </c>
      <c r="B1449" t="s">
        <v>8733</v>
      </c>
    </row>
    <row r="1450" spans="1:2" x14ac:dyDescent="0.25">
      <c r="A1450" t="s">
        <v>1476</v>
      </c>
      <c r="B1450" t="s">
        <v>8734</v>
      </c>
    </row>
    <row r="1451" spans="1:2" x14ac:dyDescent="0.25">
      <c r="A1451" t="s">
        <v>1477</v>
      </c>
      <c r="B1451" t="s">
        <v>8735</v>
      </c>
    </row>
    <row r="1452" spans="1:2" x14ac:dyDescent="0.25">
      <c r="A1452" t="s">
        <v>1478</v>
      </c>
      <c r="B1452" t="s">
        <v>8736</v>
      </c>
    </row>
    <row r="1453" spans="1:2" x14ac:dyDescent="0.25">
      <c r="A1453" t="s">
        <v>1479</v>
      </c>
      <c r="B1453" t="s">
        <v>8737</v>
      </c>
    </row>
    <row r="1454" spans="1:2" x14ac:dyDescent="0.25">
      <c r="A1454" t="s">
        <v>1480</v>
      </c>
      <c r="B1454" t="s">
        <v>8738</v>
      </c>
    </row>
    <row r="1455" spans="1:2" x14ac:dyDescent="0.25">
      <c r="A1455" t="s">
        <v>1481</v>
      </c>
      <c r="B1455" t="s">
        <v>8739</v>
      </c>
    </row>
    <row r="1456" spans="1:2" x14ac:dyDescent="0.25">
      <c r="A1456" t="s">
        <v>1482</v>
      </c>
      <c r="B1456" t="s">
        <v>8740</v>
      </c>
    </row>
    <row r="1457" spans="1:2" x14ac:dyDescent="0.25">
      <c r="A1457" t="s">
        <v>1483</v>
      </c>
      <c r="B1457" t="s">
        <v>8741</v>
      </c>
    </row>
    <row r="1458" spans="1:2" x14ac:dyDescent="0.25">
      <c r="A1458" t="s">
        <v>1484</v>
      </c>
      <c r="B1458" t="s">
        <v>8742</v>
      </c>
    </row>
    <row r="1459" spans="1:2" x14ac:dyDescent="0.25">
      <c r="A1459" t="s">
        <v>1485</v>
      </c>
      <c r="B1459" t="s">
        <v>8743</v>
      </c>
    </row>
    <row r="1460" spans="1:2" x14ac:dyDescent="0.25">
      <c r="A1460" t="s">
        <v>1486</v>
      </c>
      <c r="B1460" t="s">
        <v>8744</v>
      </c>
    </row>
    <row r="1461" spans="1:2" x14ac:dyDescent="0.25">
      <c r="A1461" t="s">
        <v>1487</v>
      </c>
      <c r="B1461" t="s">
        <v>8745</v>
      </c>
    </row>
    <row r="1462" spans="1:2" x14ac:dyDescent="0.25">
      <c r="A1462" t="s">
        <v>1488</v>
      </c>
      <c r="B1462" t="s">
        <v>8746</v>
      </c>
    </row>
    <row r="1463" spans="1:2" x14ac:dyDescent="0.25">
      <c r="A1463" t="s">
        <v>1489</v>
      </c>
      <c r="B1463" t="s">
        <v>8747</v>
      </c>
    </row>
    <row r="1464" spans="1:2" x14ac:dyDescent="0.25">
      <c r="A1464" t="s">
        <v>1490</v>
      </c>
      <c r="B1464" t="s">
        <v>8748</v>
      </c>
    </row>
    <row r="1465" spans="1:2" x14ac:dyDescent="0.25">
      <c r="A1465" t="s">
        <v>1491</v>
      </c>
      <c r="B1465" t="s">
        <v>8749</v>
      </c>
    </row>
    <row r="1466" spans="1:2" x14ac:dyDescent="0.25">
      <c r="A1466" t="s">
        <v>1492</v>
      </c>
      <c r="B1466" t="s">
        <v>8750</v>
      </c>
    </row>
    <row r="1467" spans="1:2" x14ac:dyDescent="0.25">
      <c r="A1467" t="s">
        <v>1493</v>
      </c>
      <c r="B1467" t="s">
        <v>8751</v>
      </c>
    </row>
    <row r="1468" spans="1:2" x14ac:dyDescent="0.25">
      <c r="A1468" t="s">
        <v>1494</v>
      </c>
      <c r="B1468" t="s">
        <v>8752</v>
      </c>
    </row>
    <row r="1469" spans="1:2" x14ac:dyDescent="0.25">
      <c r="A1469" t="s">
        <v>1495</v>
      </c>
      <c r="B1469" t="s">
        <v>8753</v>
      </c>
    </row>
    <row r="1470" spans="1:2" x14ac:dyDescent="0.25">
      <c r="A1470" t="s">
        <v>1496</v>
      </c>
      <c r="B1470" t="s">
        <v>8754</v>
      </c>
    </row>
    <row r="1471" spans="1:2" x14ac:dyDescent="0.25">
      <c r="A1471" t="s">
        <v>1497</v>
      </c>
      <c r="B1471" t="s">
        <v>8755</v>
      </c>
    </row>
    <row r="1472" spans="1:2" x14ac:dyDescent="0.25">
      <c r="A1472" t="s">
        <v>1498</v>
      </c>
      <c r="B1472" t="s">
        <v>8756</v>
      </c>
    </row>
    <row r="1473" spans="1:2" x14ac:dyDescent="0.25">
      <c r="A1473" t="s">
        <v>1499</v>
      </c>
      <c r="B1473" t="s">
        <v>8757</v>
      </c>
    </row>
    <row r="1474" spans="1:2" x14ac:dyDescent="0.25">
      <c r="A1474" t="s">
        <v>1500</v>
      </c>
      <c r="B1474" t="s">
        <v>8758</v>
      </c>
    </row>
    <row r="1475" spans="1:2" x14ac:dyDescent="0.25">
      <c r="A1475" t="s">
        <v>1501</v>
      </c>
      <c r="B1475" t="s">
        <v>8759</v>
      </c>
    </row>
    <row r="1476" spans="1:2" x14ac:dyDescent="0.25">
      <c r="A1476" t="s">
        <v>1502</v>
      </c>
      <c r="B1476" t="s">
        <v>8760</v>
      </c>
    </row>
    <row r="1477" spans="1:2" x14ac:dyDescent="0.25">
      <c r="A1477" t="s">
        <v>1503</v>
      </c>
      <c r="B1477" t="s">
        <v>8761</v>
      </c>
    </row>
    <row r="1478" spans="1:2" x14ac:dyDescent="0.25">
      <c r="A1478" t="s">
        <v>1504</v>
      </c>
      <c r="B1478" t="s">
        <v>8762</v>
      </c>
    </row>
    <row r="1479" spans="1:2" x14ac:dyDescent="0.25">
      <c r="A1479" t="s">
        <v>1505</v>
      </c>
      <c r="B1479" t="s">
        <v>8763</v>
      </c>
    </row>
    <row r="1480" spans="1:2" x14ac:dyDescent="0.25">
      <c r="A1480" t="s">
        <v>1506</v>
      </c>
      <c r="B1480" t="s">
        <v>8764</v>
      </c>
    </row>
    <row r="1481" spans="1:2" x14ac:dyDescent="0.25">
      <c r="A1481" t="s">
        <v>1507</v>
      </c>
      <c r="B1481" t="s">
        <v>8765</v>
      </c>
    </row>
    <row r="1482" spans="1:2" x14ac:dyDescent="0.25">
      <c r="A1482" t="s">
        <v>1508</v>
      </c>
      <c r="B1482" t="s">
        <v>8766</v>
      </c>
    </row>
    <row r="1483" spans="1:2" x14ac:dyDescent="0.25">
      <c r="A1483" t="s">
        <v>1509</v>
      </c>
      <c r="B1483" t="s">
        <v>8767</v>
      </c>
    </row>
    <row r="1484" spans="1:2" x14ac:dyDescent="0.25">
      <c r="A1484" t="s">
        <v>1510</v>
      </c>
      <c r="B1484" t="s">
        <v>8768</v>
      </c>
    </row>
    <row r="1485" spans="1:2" x14ac:dyDescent="0.25">
      <c r="A1485" t="s">
        <v>1511</v>
      </c>
      <c r="B1485" t="s">
        <v>8769</v>
      </c>
    </row>
    <row r="1486" spans="1:2" x14ac:dyDescent="0.25">
      <c r="A1486" t="s">
        <v>1512</v>
      </c>
      <c r="B1486" t="s">
        <v>8770</v>
      </c>
    </row>
    <row r="1487" spans="1:2" x14ac:dyDescent="0.25">
      <c r="A1487" t="s">
        <v>1513</v>
      </c>
      <c r="B1487" t="s">
        <v>8771</v>
      </c>
    </row>
    <row r="1488" spans="1:2" x14ac:dyDescent="0.25">
      <c r="A1488" t="s">
        <v>1514</v>
      </c>
      <c r="B1488" t="s">
        <v>8772</v>
      </c>
    </row>
    <row r="1489" spans="1:2" x14ac:dyDescent="0.25">
      <c r="A1489" t="s">
        <v>1515</v>
      </c>
      <c r="B1489" t="s">
        <v>8773</v>
      </c>
    </row>
    <row r="1490" spans="1:2" x14ac:dyDescent="0.25">
      <c r="A1490" t="s">
        <v>1516</v>
      </c>
      <c r="B1490" t="s">
        <v>8774</v>
      </c>
    </row>
    <row r="1491" spans="1:2" x14ac:dyDescent="0.25">
      <c r="A1491" t="s">
        <v>1517</v>
      </c>
      <c r="B1491" t="s">
        <v>8775</v>
      </c>
    </row>
    <row r="1492" spans="1:2" x14ac:dyDescent="0.25">
      <c r="A1492" t="s">
        <v>1518</v>
      </c>
      <c r="B1492" t="s">
        <v>8776</v>
      </c>
    </row>
    <row r="1493" spans="1:2" x14ac:dyDescent="0.25">
      <c r="A1493" t="s">
        <v>1519</v>
      </c>
      <c r="B1493" t="s">
        <v>8777</v>
      </c>
    </row>
    <row r="1494" spans="1:2" x14ac:dyDescent="0.25">
      <c r="A1494" t="s">
        <v>1520</v>
      </c>
      <c r="B1494" t="s">
        <v>8778</v>
      </c>
    </row>
    <row r="1495" spans="1:2" x14ac:dyDescent="0.25">
      <c r="A1495" t="s">
        <v>1521</v>
      </c>
      <c r="B1495" t="s">
        <v>8779</v>
      </c>
    </row>
    <row r="1496" spans="1:2" x14ac:dyDescent="0.25">
      <c r="A1496" t="s">
        <v>1522</v>
      </c>
      <c r="B1496" t="s">
        <v>8780</v>
      </c>
    </row>
    <row r="1497" spans="1:2" x14ac:dyDescent="0.25">
      <c r="A1497" t="s">
        <v>1523</v>
      </c>
      <c r="B1497" t="s">
        <v>8781</v>
      </c>
    </row>
    <row r="1498" spans="1:2" x14ac:dyDescent="0.25">
      <c r="A1498" t="s">
        <v>1524</v>
      </c>
      <c r="B1498" t="s">
        <v>8782</v>
      </c>
    </row>
    <row r="1499" spans="1:2" x14ac:dyDescent="0.25">
      <c r="A1499" t="s">
        <v>1525</v>
      </c>
      <c r="B1499" t="s">
        <v>8783</v>
      </c>
    </row>
    <row r="1500" spans="1:2" x14ac:dyDescent="0.25">
      <c r="A1500" t="s">
        <v>1526</v>
      </c>
      <c r="B1500" t="s">
        <v>8784</v>
      </c>
    </row>
    <row r="1501" spans="1:2" x14ac:dyDescent="0.25">
      <c r="A1501" t="s">
        <v>1527</v>
      </c>
      <c r="B1501" t="s">
        <v>8785</v>
      </c>
    </row>
    <row r="1502" spans="1:2" x14ac:dyDescent="0.25">
      <c r="A1502" t="s">
        <v>1528</v>
      </c>
      <c r="B1502" t="s">
        <v>8786</v>
      </c>
    </row>
    <row r="1503" spans="1:2" x14ac:dyDescent="0.25">
      <c r="A1503" t="s">
        <v>1529</v>
      </c>
      <c r="B1503" t="s">
        <v>8787</v>
      </c>
    </row>
    <row r="1504" spans="1:2" x14ac:dyDescent="0.25">
      <c r="A1504" t="s">
        <v>1530</v>
      </c>
      <c r="B1504" t="s">
        <v>8788</v>
      </c>
    </row>
    <row r="1505" spans="1:2" x14ac:dyDescent="0.25">
      <c r="A1505" t="s">
        <v>1531</v>
      </c>
      <c r="B1505" t="s">
        <v>8789</v>
      </c>
    </row>
    <row r="1506" spans="1:2" x14ac:dyDescent="0.25">
      <c r="A1506" t="s">
        <v>1532</v>
      </c>
      <c r="B1506" t="s">
        <v>8790</v>
      </c>
    </row>
    <row r="1507" spans="1:2" x14ac:dyDescent="0.25">
      <c r="A1507" t="s">
        <v>1533</v>
      </c>
      <c r="B1507" t="s">
        <v>8791</v>
      </c>
    </row>
    <row r="1508" spans="1:2" x14ac:dyDescent="0.25">
      <c r="A1508" t="s">
        <v>1534</v>
      </c>
      <c r="B1508" t="s">
        <v>8792</v>
      </c>
    </row>
    <row r="1509" spans="1:2" x14ac:dyDescent="0.25">
      <c r="A1509" t="s">
        <v>1535</v>
      </c>
      <c r="B1509" t="s">
        <v>8793</v>
      </c>
    </row>
    <row r="1510" spans="1:2" x14ac:dyDescent="0.25">
      <c r="A1510" t="s">
        <v>1536</v>
      </c>
      <c r="B1510" t="s">
        <v>8794</v>
      </c>
    </row>
    <row r="1511" spans="1:2" x14ac:dyDescent="0.25">
      <c r="A1511" t="s">
        <v>1537</v>
      </c>
      <c r="B1511" t="s">
        <v>8795</v>
      </c>
    </row>
    <row r="1512" spans="1:2" x14ac:dyDescent="0.25">
      <c r="A1512" t="s">
        <v>1538</v>
      </c>
      <c r="B1512" t="s">
        <v>8796</v>
      </c>
    </row>
    <row r="1513" spans="1:2" x14ac:dyDescent="0.25">
      <c r="A1513" t="s">
        <v>1539</v>
      </c>
      <c r="B1513" t="s">
        <v>8797</v>
      </c>
    </row>
    <row r="1514" spans="1:2" x14ac:dyDescent="0.25">
      <c r="A1514" t="s">
        <v>1540</v>
      </c>
      <c r="B1514" t="s">
        <v>8798</v>
      </c>
    </row>
    <row r="1515" spans="1:2" x14ac:dyDescent="0.25">
      <c r="A1515" t="s">
        <v>1541</v>
      </c>
      <c r="B1515" t="s">
        <v>8799</v>
      </c>
    </row>
    <row r="1516" spans="1:2" x14ac:dyDescent="0.25">
      <c r="A1516" t="s">
        <v>1542</v>
      </c>
      <c r="B1516" t="s">
        <v>8800</v>
      </c>
    </row>
    <row r="1517" spans="1:2" x14ac:dyDescent="0.25">
      <c r="A1517" t="s">
        <v>1543</v>
      </c>
      <c r="B1517" t="s">
        <v>8801</v>
      </c>
    </row>
    <row r="1518" spans="1:2" x14ac:dyDescent="0.25">
      <c r="A1518" t="s">
        <v>1544</v>
      </c>
      <c r="B1518" t="s">
        <v>8802</v>
      </c>
    </row>
    <row r="1519" spans="1:2" x14ac:dyDescent="0.25">
      <c r="A1519" t="s">
        <v>1545</v>
      </c>
      <c r="B1519" t="s">
        <v>8803</v>
      </c>
    </row>
    <row r="1520" spans="1:2" x14ac:dyDescent="0.25">
      <c r="A1520" t="s">
        <v>1546</v>
      </c>
      <c r="B1520" t="s">
        <v>8804</v>
      </c>
    </row>
    <row r="1521" spans="1:2" x14ac:dyDescent="0.25">
      <c r="A1521" t="s">
        <v>1547</v>
      </c>
      <c r="B1521" t="s">
        <v>8805</v>
      </c>
    </row>
    <row r="1522" spans="1:2" x14ac:dyDescent="0.25">
      <c r="A1522" t="s">
        <v>1548</v>
      </c>
      <c r="B1522" t="s">
        <v>8806</v>
      </c>
    </row>
    <row r="1523" spans="1:2" x14ac:dyDescent="0.25">
      <c r="A1523" t="s">
        <v>1549</v>
      </c>
      <c r="B1523" t="s">
        <v>8807</v>
      </c>
    </row>
    <row r="1524" spans="1:2" x14ac:dyDescent="0.25">
      <c r="A1524" t="s">
        <v>1550</v>
      </c>
      <c r="B1524" t="s">
        <v>8808</v>
      </c>
    </row>
    <row r="1525" spans="1:2" x14ac:dyDescent="0.25">
      <c r="A1525" t="s">
        <v>1551</v>
      </c>
      <c r="B1525" t="s">
        <v>8809</v>
      </c>
    </row>
    <row r="1526" spans="1:2" x14ac:dyDescent="0.25">
      <c r="A1526" t="s">
        <v>1552</v>
      </c>
      <c r="B1526" t="s">
        <v>8810</v>
      </c>
    </row>
    <row r="1527" spans="1:2" x14ac:dyDescent="0.25">
      <c r="A1527" t="s">
        <v>1553</v>
      </c>
      <c r="B1527" t="s">
        <v>8811</v>
      </c>
    </row>
    <row r="1528" spans="1:2" x14ac:dyDescent="0.25">
      <c r="A1528" t="s">
        <v>1554</v>
      </c>
      <c r="B1528" t="s">
        <v>8812</v>
      </c>
    </row>
    <row r="1529" spans="1:2" x14ac:dyDescent="0.25">
      <c r="A1529" t="s">
        <v>1555</v>
      </c>
      <c r="B1529" t="s">
        <v>8813</v>
      </c>
    </row>
    <row r="1530" spans="1:2" x14ac:dyDescent="0.25">
      <c r="A1530" t="s">
        <v>1556</v>
      </c>
      <c r="B1530" t="s">
        <v>8814</v>
      </c>
    </row>
    <row r="1531" spans="1:2" x14ac:dyDescent="0.25">
      <c r="A1531" t="s">
        <v>1557</v>
      </c>
      <c r="B1531" t="s">
        <v>8815</v>
      </c>
    </row>
    <row r="1532" spans="1:2" x14ac:dyDescent="0.25">
      <c r="A1532" t="s">
        <v>1558</v>
      </c>
      <c r="B1532" t="s">
        <v>8816</v>
      </c>
    </row>
    <row r="1533" spans="1:2" x14ac:dyDescent="0.25">
      <c r="A1533" t="s">
        <v>1559</v>
      </c>
      <c r="B1533" t="s">
        <v>8817</v>
      </c>
    </row>
    <row r="1534" spans="1:2" x14ac:dyDescent="0.25">
      <c r="A1534" t="s">
        <v>1560</v>
      </c>
      <c r="B1534" t="s">
        <v>8818</v>
      </c>
    </row>
    <row r="1535" spans="1:2" x14ac:dyDescent="0.25">
      <c r="A1535" t="s">
        <v>1561</v>
      </c>
      <c r="B1535" t="s">
        <v>8819</v>
      </c>
    </row>
    <row r="1536" spans="1:2" x14ac:dyDescent="0.25">
      <c r="A1536" t="s">
        <v>1562</v>
      </c>
      <c r="B1536" t="s">
        <v>8820</v>
      </c>
    </row>
    <row r="1537" spans="1:2" x14ac:dyDescent="0.25">
      <c r="A1537" t="s">
        <v>1563</v>
      </c>
      <c r="B1537" t="s">
        <v>8821</v>
      </c>
    </row>
    <row r="1538" spans="1:2" x14ac:dyDescent="0.25">
      <c r="A1538" t="s">
        <v>1564</v>
      </c>
      <c r="B1538" t="s">
        <v>8822</v>
      </c>
    </row>
    <row r="1539" spans="1:2" x14ac:dyDescent="0.25">
      <c r="A1539" t="s">
        <v>1565</v>
      </c>
      <c r="B1539" t="s">
        <v>8823</v>
      </c>
    </row>
    <row r="1540" spans="1:2" x14ac:dyDescent="0.25">
      <c r="A1540" t="s">
        <v>1566</v>
      </c>
      <c r="B1540" t="s">
        <v>8824</v>
      </c>
    </row>
    <row r="1541" spans="1:2" x14ac:dyDescent="0.25">
      <c r="A1541" t="s">
        <v>1567</v>
      </c>
      <c r="B1541" t="s">
        <v>8825</v>
      </c>
    </row>
    <row r="1542" spans="1:2" x14ac:dyDescent="0.25">
      <c r="A1542" t="s">
        <v>1568</v>
      </c>
      <c r="B1542" t="s">
        <v>8826</v>
      </c>
    </row>
    <row r="1543" spans="1:2" x14ac:dyDescent="0.25">
      <c r="A1543" t="s">
        <v>1569</v>
      </c>
      <c r="B1543" t="s">
        <v>8827</v>
      </c>
    </row>
    <row r="1544" spans="1:2" x14ac:dyDescent="0.25">
      <c r="A1544" t="s">
        <v>1570</v>
      </c>
      <c r="B1544" t="s">
        <v>8828</v>
      </c>
    </row>
    <row r="1545" spans="1:2" x14ac:dyDescent="0.25">
      <c r="A1545" t="s">
        <v>1571</v>
      </c>
      <c r="B1545" t="s">
        <v>8829</v>
      </c>
    </row>
    <row r="1546" spans="1:2" x14ac:dyDescent="0.25">
      <c r="A1546" t="s">
        <v>1572</v>
      </c>
      <c r="B1546" t="s">
        <v>8830</v>
      </c>
    </row>
    <row r="1547" spans="1:2" x14ac:dyDescent="0.25">
      <c r="A1547" t="s">
        <v>1573</v>
      </c>
      <c r="B1547" t="s">
        <v>8831</v>
      </c>
    </row>
    <row r="1548" spans="1:2" x14ac:dyDescent="0.25">
      <c r="A1548" t="s">
        <v>1574</v>
      </c>
      <c r="B1548" t="s">
        <v>8832</v>
      </c>
    </row>
    <row r="1549" spans="1:2" x14ac:dyDescent="0.25">
      <c r="A1549" t="s">
        <v>1575</v>
      </c>
      <c r="B1549" t="s">
        <v>8833</v>
      </c>
    </row>
    <row r="1550" spans="1:2" x14ac:dyDescent="0.25">
      <c r="A1550" t="s">
        <v>1576</v>
      </c>
      <c r="B1550" t="s">
        <v>8834</v>
      </c>
    </row>
    <row r="1551" spans="1:2" x14ac:dyDescent="0.25">
      <c r="A1551" t="s">
        <v>1577</v>
      </c>
      <c r="B1551" t="s">
        <v>8835</v>
      </c>
    </row>
    <row r="1552" spans="1:2" x14ac:dyDescent="0.25">
      <c r="A1552" t="s">
        <v>1578</v>
      </c>
      <c r="B1552" t="s">
        <v>8836</v>
      </c>
    </row>
    <row r="1553" spans="1:2" x14ac:dyDescent="0.25">
      <c r="A1553" t="s">
        <v>1579</v>
      </c>
      <c r="B1553" t="s">
        <v>8837</v>
      </c>
    </row>
    <row r="1554" spans="1:2" x14ac:dyDescent="0.25">
      <c r="A1554" t="s">
        <v>1580</v>
      </c>
      <c r="B1554" t="s">
        <v>8838</v>
      </c>
    </row>
    <row r="1555" spans="1:2" x14ac:dyDescent="0.25">
      <c r="A1555" t="s">
        <v>1581</v>
      </c>
      <c r="B1555" t="s">
        <v>8839</v>
      </c>
    </row>
    <row r="1556" spans="1:2" x14ac:dyDescent="0.25">
      <c r="A1556" t="s">
        <v>1582</v>
      </c>
      <c r="B1556" t="s">
        <v>8840</v>
      </c>
    </row>
    <row r="1557" spans="1:2" x14ac:dyDescent="0.25">
      <c r="A1557" t="s">
        <v>1583</v>
      </c>
      <c r="B1557" t="s">
        <v>8841</v>
      </c>
    </row>
    <row r="1558" spans="1:2" x14ac:dyDescent="0.25">
      <c r="A1558" t="s">
        <v>1584</v>
      </c>
      <c r="B1558" t="s">
        <v>8842</v>
      </c>
    </row>
    <row r="1559" spans="1:2" x14ac:dyDescent="0.25">
      <c r="A1559" t="s">
        <v>1585</v>
      </c>
      <c r="B1559" t="s">
        <v>8843</v>
      </c>
    </row>
    <row r="1560" spans="1:2" x14ac:dyDescent="0.25">
      <c r="A1560" t="s">
        <v>1586</v>
      </c>
      <c r="B1560" t="s">
        <v>8844</v>
      </c>
    </row>
    <row r="1561" spans="1:2" x14ac:dyDescent="0.25">
      <c r="A1561" t="s">
        <v>1587</v>
      </c>
      <c r="B1561" t="s">
        <v>8845</v>
      </c>
    </row>
    <row r="1562" spans="1:2" x14ac:dyDescent="0.25">
      <c r="A1562" t="s">
        <v>1588</v>
      </c>
      <c r="B1562" t="s">
        <v>8846</v>
      </c>
    </row>
    <row r="1563" spans="1:2" x14ac:dyDescent="0.25">
      <c r="A1563" t="s">
        <v>1589</v>
      </c>
      <c r="B1563" t="s">
        <v>8847</v>
      </c>
    </row>
    <row r="1564" spans="1:2" x14ac:dyDescent="0.25">
      <c r="A1564" t="s">
        <v>1590</v>
      </c>
      <c r="B1564" t="s">
        <v>8848</v>
      </c>
    </row>
    <row r="1565" spans="1:2" x14ac:dyDescent="0.25">
      <c r="A1565" t="s">
        <v>1591</v>
      </c>
      <c r="B1565" t="s">
        <v>8849</v>
      </c>
    </row>
    <row r="1566" spans="1:2" x14ac:dyDescent="0.25">
      <c r="A1566" t="s">
        <v>1592</v>
      </c>
      <c r="B1566" t="s">
        <v>8850</v>
      </c>
    </row>
    <row r="1567" spans="1:2" x14ac:dyDescent="0.25">
      <c r="A1567" t="s">
        <v>1593</v>
      </c>
      <c r="B1567" t="s">
        <v>8851</v>
      </c>
    </row>
    <row r="1568" spans="1:2" x14ac:dyDescent="0.25">
      <c r="A1568" t="s">
        <v>1594</v>
      </c>
      <c r="B1568" t="s">
        <v>8852</v>
      </c>
    </row>
    <row r="1569" spans="1:2" x14ac:dyDescent="0.25">
      <c r="A1569" t="s">
        <v>1595</v>
      </c>
      <c r="B1569" t="s">
        <v>8853</v>
      </c>
    </row>
    <row r="1570" spans="1:2" x14ac:dyDescent="0.25">
      <c r="A1570" t="s">
        <v>1596</v>
      </c>
      <c r="B1570" t="s">
        <v>8854</v>
      </c>
    </row>
    <row r="1571" spans="1:2" x14ac:dyDescent="0.25">
      <c r="A1571" t="s">
        <v>1597</v>
      </c>
      <c r="B1571" t="s">
        <v>8855</v>
      </c>
    </row>
    <row r="1572" spans="1:2" x14ac:dyDescent="0.25">
      <c r="A1572" t="s">
        <v>1598</v>
      </c>
      <c r="B1572" t="s">
        <v>8856</v>
      </c>
    </row>
    <row r="1573" spans="1:2" x14ac:dyDescent="0.25">
      <c r="A1573" t="s">
        <v>1599</v>
      </c>
      <c r="B1573" t="s">
        <v>8857</v>
      </c>
    </row>
    <row r="1574" spans="1:2" x14ac:dyDescent="0.25">
      <c r="A1574" t="s">
        <v>1600</v>
      </c>
      <c r="B1574" t="s">
        <v>8858</v>
      </c>
    </row>
    <row r="1575" spans="1:2" x14ac:dyDescent="0.25">
      <c r="A1575" t="s">
        <v>1601</v>
      </c>
      <c r="B1575" t="s">
        <v>8859</v>
      </c>
    </row>
    <row r="1576" spans="1:2" x14ac:dyDescent="0.25">
      <c r="A1576" t="s">
        <v>1602</v>
      </c>
      <c r="B1576" t="s">
        <v>8860</v>
      </c>
    </row>
    <row r="1577" spans="1:2" x14ac:dyDescent="0.25">
      <c r="A1577" t="s">
        <v>1603</v>
      </c>
      <c r="B1577" t="s">
        <v>8861</v>
      </c>
    </row>
    <row r="1578" spans="1:2" x14ac:dyDescent="0.25">
      <c r="A1578" t="s">
        <v>1604</v>
      </c>
      <c r="B1578" t="s">
        <v>8862</v>
      </c>
    </row>
    <row r="1579" spans="1:2" x14ac:dyDescent="0.25">
      <c r="A1579" t="s">
        <v>1605</v>
      </c>
      <c r="B1579" t="s">
        <v>8863</v>
      </c>
    </row>
    <row r="1580" spans="1:2" x14ac:dyDescent="0.25">
      <c r="A1580" t="s">
        <v>1606</v>
      </c>
      <c r="B1580" t="s">
        <v>8864</v>
      </c>
    </row>
    <row r="1581" spans="1:2" x14ac:dyDescent="0.25">
      <c r="A1581" t="s">
        <v>1607</v>
      </c>
      <c r="B1581" t="s">
        <v>8865</v>
      </c>
    </row>
    <row r="1582" spans="1:2" x14ac:dyDescent="0.25">
      <c r="A1582" t="s">
        <v>1608</v>
      </c>
      <c r="B1582" t="s">
        <v>8866</v>
      </c>
    </row>
    <row r="1583" spans="1:2" x14ac:dyDescent="0.25">
      <c r="A1583" t="s">
        <v>1609</v>
      </c>
      <c r="B1583" t="s">
        <v>8867</v>
      </c>
    </row>
    <row r="1584" spans="1:2" x14ac:dyDescent="0.25">
      <c r="A1584" t="s">
        <v>1610</v>
      </c>
      <c r="B1584" t="s">
        <v>8868</v>
      </c>
    </row>
    <row r="1585" spans="1:2" x14ac:dyDescent="0.25">
      <c r="A1585" t="s">
        <v>1611</v>
      </c>
      <c r="B1585" t="s">
        <v>8869</v>
      </c>
    </row>
    <row r="1586" spans="1:2" x14ac:dyDescent="0.25">
      <c r="A1586" t="s">
        <v>1612</v>
      </c>
      <c r="B1586" t="s">
        <v>8870</v>
      </c>
    </row>
    <row r="1587" spans="1:2" x14ac:dyDescent="0.25">
      <c r="A1587" t="s">
        <v>1613</v>
      </c>
      <c r="B1587" t="s">
        <v>8871</v>
      </c>
    </row>
    <row r="1588" spans="1:2" x14ac:dyDescent="0.25">
      <c r="A1588" t="s">
        <v>1614</v>
      </c>
      <c r="B1588" t="s">
        <v>8872</v>
      </c>
    </row>
    <row r="1589" spans="1:2" x14ac:dyDescent="0.25">
      <c r="A1589" t="s">
        <v>1615</v>
      </c>
      <c r="B1589" t="s">
        <v>8873</v>
      </c>
    </row>
    <row r="1590" spans="1:2" x14ac:dyDescent="0.25">
      <c r="A1590" t="s">
        <v>1616</v>
      </c>
      <c r="B1590" t="s">
        <v>8874</v>
      </c>
    </row>
    <row r="1591" spans="1:2" x14ac:dyDescent="0.25">
      <c r="A1591" t="s">
        <v>1617</v>
      </c>
      <c r="B1591" t="s">
        <v>8875</v>
      </c>
    </row>
    <row r="1592" spans="1:2" x14ac:dyDescent="0.25">
      <c r="A1592" t="s">
        <v>1618</v>
      </c>
      <c r="B1592" t="s">
        <v>8876</v>
      </c>
    </row>
    <row r="1593" spans="1:2" x14ac:dyDescent="0.25">
      <c r="A1593" t="s">
        <v>1619</v>
      </c>
      <c r="B1593" t="s">
        <v>8877</v>
      </c>
    </row>
    <row r="1594" spans="1:2" x14ac:dyDescent="0.25">
      <c r="A1594" t="s">
        <v>1620</v>
      </c>
      <c r="B1594" t="s">
        <v>8878</v>
      </c>
    </row>
    <row r="1595" spans="1:2" x14ac:dyDescent="0.25">
      <c r="A1595" t="s">
        <v>1621</v>
      </c>
      <c r="B1595" t="s">
        <v>8879</v>
      </c>
    </row>
    <row r="1596" spans="1:2" x14ac:dyDescent="0.25">
      <c r="A1596" t="s">
        <v>1622</v>
      </c>
      <c r="B1596" t="s">
        <v>8880</v>
      </c>
    </row>
    <row r="1597" spans="1:2" x14ac:dyDescent="0.25">
      <c r="A1597" t="s">
        <v>1623</v>
      </c>
      <c r="B1597" t="s">
        <v>8881</v>
      </c>
    </row>
    <row r="1598" spans="1:2" x14ac:dyDescent="0.25">
      <c r="A1598" t="s">
        <v>1624</v>
      </c>
      <c r="B1598" t="s">
        <v>8882</v>
      </c>
    </row>
    <row r="1599" spans="1:2" x14ac:dyDescent="0.25">
      <c r="A1599" t="s">
        <v>1625</v>
      </c>
      <c r="B1599" t="s">
        <v>8883</v>
      </c>
    </row>
    <row r="1600" spans="1:2" x14ac:dyDescent="0.25">
      <c r="A1600" t="s">
        <v>1626</v>
      </c>
      <c r="B1600" t="s">
        <v>8884</v>
      </c>
    </row>
    <row r="1601" spans="1:2" x14ac:dyDescent="0.25">
      <c r="A1601" t="s">
        <v>1627</v>
      </c>
      <c r="B1601" t="s">
        <v>8885</v>
      </c>
    </row>
    <row r="1602" spans="1:2" x14ac:dyDescent="0.25">
      <c r="A1602" t="s">
        <v>1628</v>
      </c>
      <c r="B1602" t="s">
        <v>8886</v>
      </c>
    </row>
    <row r="1603" spans="1:2" x14ac:dyDescent="0.25">
      <c r="A1603" t="s">
        <v>1629</v>
      </c>
      <c r="B1603" t="s">
        <v>8887</v>
      </c>
    </row>
    <row r="1604" spans="1:2" x14ac:dyDescent="0.25">
      <c r="A1604" t="s">
        <v>1630</v>
      </c>
      <c r="B1604" t="s">
        <v>8888</v>
      </c>
    </row>
    <row r="1605" spans="1:2" x14ac:dyDescent="0.25">
      <c r="A1605" t="s">
        <v>1631</v>
      </c>
      <c r="B1605" t="s">
        <v>8889</v>
      </c>
    </row>
    <row r="1606" spans="1:2" x14ac:dyDescent="0.25">
      <c r="A1606" t="s">
        <v>1632</v>
      </c>
      <c r="B1606" t="s">
        <v>8890</v>
      </c>
    </row>
    <row r="1607" spans="1:2" x14ac:dyDescent="0.25">
      <c r="A1607" t="s">
        <v>1633</v>
      </c>
      <c r="B1607" t="s">
        <v>8891</v>
      </c>
    </row>
    <row r="1608" spans="1:2" x14ac:dyDescent="0.25">
      <c r="A1608" t="s">
        <v>1634</v>
      </c>
      <c r="B1608" t="s">
        <v>8892</v>
      </c>
    </row>
    <row r="1609" spans="1:2" x14ac:dyDescent="0.25">
      <c r="A1609" t="s">
        <v>1635</v>
      </c>
      <c r="B1609" t="s">
        <v>8893</v>
      </c>
    </row>
    <row r="1610" spans="1:2" x14ac:dyDescent="0.25">
      <c r="A1610" t="s">
        <v>1636</v>
      </c>
      <c r="B1610" t="s">
        <v>8894</v>
      </c>
    </row>
    <row r="1611" spans="1:2" x14ac:dyDescent="0.25">
      <c r="A1611" t="s">
        <v>1637</v>
      </c>
      <c r="B1611" t="s">
        <v>8895</v>
      </c>
    </row>
    <row r="1612" spans="1:2" x14ac:dyDescent="0.25">
      <c r="A1612" t="s">
        <v>1638</v>
      </c>
      <c r="B1612" t="s">
        <v>8896</v>
      </c>
    </row>
    <row r="1613" spans="1:2" x14ac:dyDescent="0.25">
      <c r="A1613" t="s">
        <v>1639</v>
      </c>
      <c r="B1613" t="s">
        <v>8897</v>
      </c>
    </row>
    <row r="1614" spans="1:2" x14ac:dyDescent="0.25">
      <c r="A1614" t="s">
        <v>1640</v>
      </c>
      <c r="B1614" t="s">
        <v>8898</v>
      </c>
    </row>
    <row r="1615" spans="1:2" x14ac:dyDescent="0.25">
      <c r="A1615" t="s">
        <v>1641</v>
      </c>
      <c r="B1615" t="s">
        <v>8899</v>
      </c>
    </row>
    <row r="1616" spans="1:2" x14ac:dyDescent="0.25">
      <c r="A1616" t="s">
        <v>1642</v>
      </c>
      <c r="B1616" t="s">
        <v>8900</v>
      </c>
    </row>
    <row r="1617" spans="1:2" x14ac:dyDescent="0.25">
      <c r="A1617" t="s">
        <v>1643</v>
      </c>
      <c r="B1617" t="s">
        <v>8901</v>
      </c>
    </row>
    <row r="1618" spans="1:2" x14ac:dyDescent="0.25">
      <c r="A1618" t="s">
        <v>1644</v>
      </c>
      <c r="B1618" t="s">
        <v>8902</v>
      </c>
    </row>
    <row r="1619" spans="1:2" x14ac:dyDescent="0.25">
      <c r="A1619" t="s">
        <v>1645</v>
      </c>
      <c r="B1619" t="s">
        <v>8903</v>
      </c>
    </row>
    <row r="1620" spans="1:2" x14ac:dyDescent="0.25">
      <c r="A1620" t="s">
        <v>1646</v>
      </c>
      <c r="B1620" t="s">
        <v>8904</v>
      </c>
    </row>
    <row r="1621" spans="1:2" x14ac:dyDescent="0.25">
      <c r="A1621" t="s">
        <v>1647</v>
      </c>
      <c r="B1621" t="s">
        <v>8905</v>
      </c>
    </row>
    <row r="1622" spans="1:2" x14ac:dyDescent="0.25">
      <c r="A1622" t="s">
        <v>1648</v>
      </c>
      <c r="B1622" t="s">
        <v>8906</v>
      </c>
    </row>
    <row r="1623" spans="1:2" x14ac:dyDescent="0.25">
      <c r="A1623" t="s">
        <v>1649</v>
      </c>
      <c r="B1623" t="s">
        <v>8907</v>
      </c>
    </row>
    <row r="1624" spans="1:2" x14ac:dyDescent="0.25">
      <c r="A1624" t="s">
        <v>1650</v>
      </c>
      <c r="B1624" t="s">
        <v>8908</v>
      </c>
    </row>
    <row r="1625" spans="1:2" x14ac:dyDescent="0.25">
      <c r="A1625" t="s">
        <v>1651</v>
      </c>
      <c r="B1625" t="s">
        <v>8909</v>
      </c>
    </row>
    <row r="1626" spans="1:2" x14ac:dyDescent="0.25">
      <c r="A1626" t="s">
        <v>1652</v>
      </c>
      <c r="B1626" t="s">
        <v>8910</v>
      </c>
    </row>
    <row r="1627" spans="1:2" x14ac:dyDescent="0.25">
      <c r="A1627" t="s">
        <v>1653</v>
      </c>
      <c r="B1627" t="s">
        <v>8911</v>
      </c>
    </row>
    <row r="1628" spans="1:2" x14ac:dyDescent="0.25">
      <c r="A1628" t="s">
        <v>1654</v>
      </c>
      <c r="B1628" t="s">
        <v>8912</v>
      </c>
    </row>
    <row r="1629" spans="1:2" x14ac:dyDescent="0.25">
      <c r="A1629" t="s">
        <v>1655</v>
      </c>
      <c r="B1629" t="s">
        <v>8913</v>
      </c>
    </row>
    <row r="1630" spans="1:2" x14ac:dyDescent="0.25">
      <c r="A1630" t="s">
        <v>1656</v>
      </c>
      <c r="B1630" t="s">
        <v>8914</v>
      </c>
    </row>
    <row r="1631" spans="1:2" x14ac:dyDescent="0.25">
      <c r="A1631" t="s">
        <v>1657</v>
      </c>
      <c r="B1631" t="s">
        <v>8915</v>
      </c>
    </row>
    <row r="1632" spans="1:2" x14ac:dyDescent="0.25">
      <c r="A1632" t="s">
        <v>1658</v>
      </c>
      <c r="B1632" t="s">
        <v>8916</v>
      </c>
    </row>
    <row r="1633" spans="1:2" x14ac:dyDescent="0.25">
      <c r="A1633" t="s">
        <v>1659</v>
      </c>
      <c r="B1633" t="s">
        <v>8917</v>
      </c>
    </row>
    <row r="1634" spans="1:2" x14ac:dyDescent="0.25">
      <c r="A1634" t="s">
        <v>1660</v>
      </c>
      <c r="B1634" t="s">
        <v>8918</v>
      </c>
    </row>
    <row r="1635" spans="1:2" x14ac:dyDescent="0.25">
      <c r="A1635" t="s">
        <v>1661</v>
      </c>
      <c r="B1635" t="s">
        <v>8919</v>
      </c>
    </row>
    <row r="1636" spans="1:2" x14ac:dyDescent="0.25">
      <c r="A1636" t="s">
        <v>1662</v>
      </c>
      <c r="B1636" t="s">
        <v>8920</v>
      </c>
    </row>
    <row r="1637" spans="1:2" x14ac:dyDescent="0.25">
      <c r="A1637" t="s">
        <v>1663</v>
      </c>
      <c r="B1637" t="s">
        <v>8921</v>
      </c>
    </row>
    <row r="1638" spans="1:2" x14ac:dyDescent="0.25">
      <c r="A1638" t="s">
        <v>1664</v>
      </c>
      <c r="B1638" t="s">
        <v>8922</v>
      </c>
    </row>
    <row r="1639" spans="1:2" x14ac:dyDescent="0.25">
      <c r="A1639" t="s">
        <v>1665</v>
      </c>
      <c r="B1639" t="s">
        <v>8923</v>
      </c>
    </row>
    <row r="1640" spans="1:2" x14ac:dyDescent="0.25">
      <c r="A1640" t="s">
        <v>1666</v>
      </c>
      <c r="B1640" t="s">
        <v>8924</v>
      </c>
    </row>
    <row r="1641" spans="1:2" x14ac:dyDescent="0.25">
      <c r="A1641" t="s">
        <v>1667</v>
      </c>
      <c r="B1641" t="s">
        <v>8925</v>
      </c>
    </row>
    <row r="1642" spans="1:2" x14ac:dyDescent="0.25">
      <c r="A1642" t="s">
        <v>1668</v>
      </c>
      <c r="B1642" t="s">
        <v>8926</v>
      </c>
    </row>
    <row r="1643" spans="1:2" x14ac:dyDescent="0.25">
      <c r="A1643" t="s">
        <v>1669</v>
      </c>
      <c r="B1643" t="s">
        <v>8927</v>
      </c>
    </row>
    <row r="1644" spans="1:2" x14ac:dyDescent="0.25">
      <c r="A1644" t="s">
        <v>1670</v>
      </c>
      <c r="B1644" t="s">
        <v>8928</v>
      </c>
    </row>
    <row r="1645" spans="1:2" x14ac:dyDescent="0.25">
      <c r="A1645" t="s">
        <v>1671</v>
      </c>
      <c r="B1645" t="s">
        <v>8929</v>
      </c>
    </row>
    <row r="1646" spans="1:2" x14ac:dyDescent="0.25">
      <c r="A1646" t="s">
        <v>1672</v>
      </c>
      <c r="B1646" t="s">
        <v>8930</v>
      </c>
    </row>
    <row r="1647" spans="1:2" x14ac:dyDescent="0.25">
      <c r="A1647" t="s">
        <v>1673</v>
      </c>
      <c r="B1647" t="s">
        <v>8931</v>
      </c>
    </row>
    <row r="1648" spans="1:2" x14ac:dyDescent="0.25">
      <c r="A1648" t="s">
        <v>1674</v>
      </c>
      <c r="B1648" t="s">
        <v>8932</v>
      </c>
    </row>
    <row r="1649" spans="1:2" x14ac:dyDescent="0.25">
      <c r="A1649" t="s">
        <v>1675</v>
      </c>
      <c r="B1649" t="s">
        <v>8933</v>
      </c>
    </row>
    <row r="1650" spans="1:2" x14ac:dyDescent="0.25">
      <c r="A1650" t="s">
        <v>1676</v>
      </c>
      <c r="B1650" t="s">
        <v>8934</v>
      </c>
    </row>
    <row r="1651" spans="1:2" x14ac:dyDescent="0.25">
      <c r="A1651" t="s">
        <v>1677</v>
      </c>
      <c r="B1651" t="s">
        <v>8935</v>
      </c>
    </row>
    <row r="1652" spans="1:2" x14ac:dyDescent="0.25">
      <c r="A1652" t="s">
        <v>1678</v>
      </c>
      <c r="B1652" t="s">
        <v>8936</v>
      </c>
    </row>
    <row r="1653" spans="1:2" x14ac:dyDescent="0.25">
      <c r="A1653" t="s">
        <v>1679</v>
      </c>
      <c r="B1653" t="s">
        <v>8937</v>
      </c>
    </row>
    <row r="1654" spans="1:2" x14ac:dyDescent="0.25">
      <c r="A1654" t="s">
        <v>1680</v>
      </c>
      <c r="B1654" t="s">
        <v>8938</v>
      </c>
    </row>
    <row r="1655" spans="1:2" x14ac:dyDescent="0.25">
      <c r="A1655" t="s">
        <v>1681</v>
      </c>
      <c r="B1655" t="s">
        <v>8939</v>
      </c>
    </row>
    <row r="1656" spans="1:2" x14ac:dyDescent="0.25">
      <c r="A1656" t="s">
        <v>1682</v>
      </c>
      <c r="B1656" t="s">
        <v>8940</v>
      </c>
    </row>
    <row r="1657" spans="1:2" x14ac:dyDescent="0.25">
      <c r="A1657" t="s">
        <v>1683</v>
      </c>
      <c r="B1657" t="s">
        <v>8941</v>
      </c>
    </row>
    <row r="1658" spans="1:2" x14ac:dyDescent="0.25">
      <c r="A1658" t="s">
        <v>1684</v>
      </c>
      <c r="B1658" t="s">
        <v>8942</v>
      </c>
    </row>
    <row r="1659" spans="1:2" x14ac:dyDescent="0.25">
      <c r="A1659" t="s">
        <v>1685</v>
      </c>
      <c r="B1659" t="s">
        <v>8943</v>
      </c>
    </row>
    <row r="1660" spans="1:2" x14ac:dyDescent="0.25">
      <c r="A1660" t="s">
        <v>1686</v>
      </c>
      <c r="B1660" t="s">
        <v>8944</v>
      </c>
    </row>
    <row r="1661" spans="1:2" x14ac:dyDescent="0.25">
      <c r="A1661" t="s">
        <v>1687</v>
      </c>
      <c r="B1661" t="s">
        <v>8945</v>
      </c>
    </row>
    <row r="1662" spans="1:2" x14ac:dyDescent="0.25">
      <c r="A1662" t="s">
        <v>1688</v>
      </c>
      <c r="B1662" t="s">
        <v>8945</v>
      </c>
    </row>
    <row r="1663" spans="1:2" x14ac:dyDescent="0.25">
      <c r="A1663" t="s">
        <v>1689</v>
      </c>
      <c r="B1663" t="s">
        <v>8946</v>
      </c>
    </row>
    <row r="1664" spans="1:2" x14ac:dyDescent="0.25">
      <c r="A1664" t="s">
        <v>1690</v>
      </c>
      <c r="B1664" t="s">
        <v>8947</v>
      </c>
    </row>
    <row r="1665" spans="1:2" x14ac:dyDescent="0.25">
      <c r="A1665" t="s">
        <v>1691</v>
      </c>
      <c r="B1665" t="s">
        <v>8948</v>
      </c>
    </row>
    <row r="1666" spans="1:2" x14ac:dyDescent="0.25">
      <c r="A1666" t="s">
        <v>1692</v>
      </c>
      <c r="B1666" t="s">
        <v>8949</v>
      </c>
    </row>
    <row r="1667" spans="1:2" x14ac:dyDescent="0.25">
      <c r="A1667" t="s">
        <v>1693</v>
      </c>
      <c r="B1667" t="s">
        <v>8950</v>
      </c>
    </row>
    <row r="1668" spans="1:2" x14ac:dyDescent="0.25">
      <c r="A1668" t="s">
        <v>1694</v>
      </c>
      <c r="B1668" t="s">
        <v>8951</v>
      </c>
    </row>
    <row r="1669" spans="1:2" x14ac:dyDescent="0.25">
      <c r="A1669" t="s">
        <v>1695</v>
      </c>
      <c r="B1669" t="s">
        <v>8952</v>
      </c>
    </row>
    <row r="1670" spans="1:2" x14ac:dyDescent="0.25">
      <c r="A1670" t="s">
        <v>1696</v>
      </c>
      <c r="B1670" t="s">
        <v>8953</v>
      </c>
    </row>
    <row r="1671" spans="1:2" x14ac:dyDescent="0.25">
      <c r="A1671" t="s">
        <v>1697</v>
      </c>
      <c r="B1671" t="s">
        <v>8954</v>
      </c>
    </row>
    <row r="1672" spans="1:2" x14ac:dyDescent="0.25">
      <c r="A1672" t="s">
        <v>1698</v>
      </c>
      <c r="B1672" t="s">
        <v>8955</v>
      </c>
    </row>
    <row r="1673" spans="1:2" x14ac:dyDescent="0.25">
      <c r="A1673" t="s">
        <v>1699</v>
      </c>
      <c r="B1673" t="s">
        <v>8956</v>
      </c>
    </row>
    <row r="1674" spans="1:2" x14ac:dyDescent="0.25">
      <c r="A1674" t="s">
        <v>1700</v>
      </c>
      <c r="B1674" t="s">
        <v>8957</v>
      </c>
    </row>
    <row r="1675" spans="1:2" x14ac:dyDescent="0.25">
      <c r="A1675" t="s">
        <v>1701</v>
      </c>
      <c r="B1675" t="s">
        <v>8958</v>
      </c>
    </row>
    <row r="1676" spans="1:2" x14ac:dyDescent="0.25">
      <c r="A1676" t="s">
        <v>1702</v>
      </c>
      <c r="B1676" t="s">
        <v>8959</v>
      </c>
    </row>
    <row r="1677" spans="1:2" x14ac:dyDescent="0.25">
      <c r="A1677" t="s">
        <v>1703</v>
      </c>
      <c r="B1677" t="s">
        <v>8960</v>
      </c>
    </row>
    <row r="1678" spans="1:2" x14ac:dyDescent="0.25">
      <c r="A1678" t="s">
        <v>1704</v>
      </c>
      <c r="B1678" t="s">
        <v>8961</v>
      </c>
    </row>
    <row r="1679" spans="1:2" x14ac:dyDescent="0.25">
      <c r="A1679" t="s">
        <v>1705</v>
      </c>
      <c r="B1679" t="s">
        <v>8962</v>
      </c>
    </row>
    <row r="1680" spans="1:2" x14ac:dyDescent="0.25">
      <c r="A1680" t="s">
        <v>1706</v>
      </c>
      <c r="B1680" t="s">
        <v>8963</v>
      </c>
    </row>
    <row r="1681" spans="1:2" x14ac:dyDescent="0.25">
      <c r="A1681" t="s">
        <v>1707</v>
      </c>
      <c r="B1681" t="s">
        <v>8964</v>
      </c>
    </row>
    <row r="1682" spans="1:2" x14ac:dyDescent="0.25">
      <c r="A1682" t="s">
        <v>1708</v>
      </c>
      <c r="B1682" t="s">
        <v>8965</v>
      </c>
    </row>
    <row r="1683" spans="1:2" x14ac:dyDescent="0.25">
      <c r="A1683" t="s">
        <v>1709</v>
      </c>
      <c r="B1683" t="s">
        <v>8966</v>
      </c>
    </row>
    <row r="1684" spans="1:2" x14ac:dyDescent="0.25">
      <c r="A1684" t="s">
        <v>1710</v>
      </c>
      <c r="B1684" t="s">
        <v>8967</v>
      </c>
    </row>
    <row r="1685" spans="1:2" x14ac:dyDescent="0.25">
      <c r="A1685" t="s">
        <v>1711</v>
      </c>
      <c r="B1685" t="s">
        <v>8968</v>
      </c>
    </row>
    <row r="1686" spans="1:2" x14ac:dyDescent="0.25">
      <c r="A1686" t="s">
        <v>1712</v>
      </c>
      <c r="B1686" t="s">
        <v>8969</v>
      </c>
    </row>
    <row r="1687" spans="1:2" x14ac:dyDescent="0.25">
      <c r="A1687" t="s">
        <v>1713</v>
      </c>
      <c r="B1687" t="s">
        <v>8970</v>
      </c>
    </row>
    <row r="1688" spans="1:2" x14ac:dyDescent="0.25">
      <c r="A1688" t="s">
        <v>1714</v>
      </c>
      <c r="B1688" t="s">
        <v>8971</v>
      </c>
    </row>
    <row r="1689" spans="1:2" x14ac:dyDescent="0.25">
      <c r="A1689" t="s">
        <v>1715</v>
      </c>
      <c r="B1689" t="s">
        <v>8972</v>
      </c>
    </row>
    <row r="1690" spans="1:2" x14ac:dyDescent="0.25">
      <c r="A1690" t="s">
        <v>1716</v>
      </c>
      <c r="B1690" t="s">
        <v>8973</v>
      </c>
    </row>
    <row r="1691" spans="1:2" x14ac:dyDescent="0.25">
      <c r="A1691" t="s">
        <v>1717</v>
      </c>
      <c r="B1691" t="s">
        <v>8974</v>
      </c>
    </row>
    <row r="1692" spans="1:2" x14ac:dyDescent="0.25">
      <c r="A1692" t="s">
        <v>1718</v>
      </c>
      <c r="B1692" t="s">
        <v>8975</v>
      </c>
    </row>
    <row r="1693" spans="1:2" x14ac:dyDescent="0.25">
      <c r="A1693" t="s">
        <v>1719</v>
      </c>
      <c r="B1693" t="s">
        <v>8976</v>
      </c>
    </row>
    <row r="1694" spans="1:2" x14ac:dyDescent="0.25">
      <c r="A1694" t="s">
        <v>1720</v>
      </c>
      <c r="B1694" t="s">
        <v>8977</v>
      </c>
    </row>
    <row r="1695" spans="1:2" x14ac:dyDescent="0.25">
      <c r="A1695" t="s">
        <v>1721</v>
      </c>
      <c r="B1695" t="s">
        <v>8978</v>
      </c>
    </row>
    <row r="1696" spans="1:2" x14ac:dyDescent="0.25">
      <c r="A1696" t="s">
        <v>1722</v>
      </c>
      <c r="B1696" t="s">
        <v>8979</v>
      </c>
    </row>
    <row r="1697" spans="1:2" x14ac:dyDescent="0.25">
      <c r="A1697" t="s">
        <v>1723</v>
      </c>
      <c r="B1697" t="s">
        <v>8980</v>
      </c>
    </row>
    <row r="1698" spans="1:2" x14ac:dyDescent="0.25">
      <c r="A1698" t="s">
        <v>1724</v>
      </c>
      <c r="B1698" t="s">
        <v>8981</v>
      </c>
    </row>
    <row r="1699" spans="1:2" x14ac:dyDescent="0.25">
      <c r="A1699" t="s">
        <v>1725</v>
      </c>
      <c r="B1699" t="s">
        <v>8982</v>
      </c>
    </row>
    <row r="1700" spans="1:2" x14ac:dyDescent="0.25">
      <c r="A1700" t="s">
        <v>1726</v>
      </c>
      <c r="B1700" t="s">
        <v>8983</v>
      </c>
    </row>
    <row r="1701" spans="1:2" x14ac:dyDescent="0.25">
      <c r="A1701" t="s">
        <v>1727</v>
      </c>
      <c r="B1701" t="s">
        <v>8984</v>
      </c>
    </row>
    <row r="1702" spans="1:2" x14ac:dyDescent="0.25">
      <c r="A1702" t="s">
        <v>1728</v>
      </c>
      <c r="B1702" t="s">
        <v>8985</v>
      </c>
    </row>
    <row r="1703" spans="1:2" x14ac:dyDescent="0.25">
      <c r="A1703" t="s">
        <v>1729</v>
      </c>
      <c r="B1703" t="s">
        <v>8986</v>
      </c>
    </row>
    <row r="1704" spans="1:2" x14ac:dyDescent="0.25">
      <c r="A1704" t="s">
        <v>1730</v>
      </c>
      <c r="B1704" t="s">
        <v>8987</v>
      </c>
    </row>
    <row r="1705" spans="1:2" x14ac:dyDescent="0.25">
      <c r="A1705" t="s">
        <v>1731</v>
      </c>
      <c r="B1705" t="s">
        <v>8988</v>
      </c>
    </row>
    <row r="1706" spans="1:2" x14ac:dyDescent="0.25">
      <c r="A1706" t="s">
        <v>1732</v>
      </c>
      <c r="B1706" t="s">
        <v>8989</v>
      </c>
    </row>
    <row r="1707" spans="1:2" x14ac:dyDescent="0.25">
      <c r="A1707" t="s">
        <v>1733</v>
      </c>
      <c r="B1707" t="s">
        <v>8990</v>
      </c>
    </row>
    <row r="1708" spans="1:2" x14ac:dyDescent="0.25">
      <c r="A1708" t="s">
        <v>1734</v>
      </c>
      <c r="B1708" t="s">
        <v>8991</v>
      </c>
    </row>
    <row r="1709" spans="1:2" x14ac:dyDescent="0.25">
      <c r="A1709" t="s">
        <v>1735</v>
      </c>
      <c r="B1709" t="s">
        <v>8992</v>
      </c>
    </row>
    <row r="1710" spans="1:2" x14ac:dyDescent="0.25">
      <c r="A1710" t="s">
        <v>1736</v>
      </c>
      <c r="B1710" t="s">
        <v>8993</v>
      </c>
    </row>
    <row r="1711" spans="1:2" x14ac:dyDescent="0.25">
      <c r="A1711" t="s">
        <v>1737</v>
      </c>
      <c r="B1711" t="s">
        <v>8994</v>
      </c>
    </row>
    <row r="1712" spans="1:2" x14ac:dyDescent="0.25">
      <c r="A1712" t="s">
        <v>1738</v>
      </c>
      <c r="B1712" t="s">
        <v>8995</v>
      </c>
    </row>
    <row r="1713" spans="1:2" x14ac:dyDescent="0.25">
      <c r="A1713" t="s">
        <v>1739</v>
      </c>
      <c r="B1713" t="s">
        <v>8996</v>
      </c>
    </row>
    <row r="1714" spans="1:2" x14ac:dyDescent="0.25">
      <c r="A1714" t="s">
        <v>1740</v>
      </c>
      <c r="B1714" t="s">
        <v>8997</v>
      </c>
    </row>
    <row r="1715" spans="1:2" x14ac:dyDescent="0.25">
      <c r="A1715" t="s">
        <v>1741</v>
      </c>
      <c r="B1715" t="s">
        <v>8998</v>
      </c>
    </row>
    <row r="1716" spans="1:2" x14ac:dyDescent="0.25">
      <c r="A1716" t="s">
        <v>1742</v>
      </c>
      <c r="B1716" t="s">
        <v>8999</v>
      </c>
    </row>
    <row r="1717" spans="1:2" x14ac:dyDescent="0.25">
      <c r="A1717" t="s">
        <v>1743</v>
      </c>
      <c r="B1717" t="s">
        <v>9000</v>
      </c>
    </row>
    <row r="1718" spans="1:2" x14ac:dyDescent="0.25">
      <c r="A1718" t="s">
        <v>1744</v>
      </c>
      <c r="B1718" t="s">
        <v>9001</v>
      </c>
    </row>
    <row r="1719" spans="1:2" x14ac:dyDescent="0.25">
      <c r="A1719" t="s">
        <v>1745</v>
      </c>
      <c r="B1719" t="s">
        <v>9002</v>
      </c>
    </row>
    <row r="1720" spans="1:2" x14ac:dyDescent="0.25">
      <c r="A1720" t="s">
        <v>1746</v>
      </c>
      <c r="B1720" t="s">
        <v>9003</v>
      </c>
    </row>
    <row r="1721" spans="1:2" x14ac:dyDescent="0.25">
      <c r="A1721" t="s">
        <v>1747</v>
      </c>
      <c r="B1721" t="s">
        <v>9004</v>
      </c>
    </row>
    <row r="1722" spans="1:2" x14ac:dyDescent="0.25">
      <c r="A1722" t="s">
        <v>1748</v>
      </c>
      <c r="B1722" t="s">
        <v>9005</v>
      </c>
    </row>
    <row r="1723" spans="1:2" x14ac:dyDescent="0.25">
      <c r="A1723" t="s">
        <v>1749</v>
      </c>
      <c r="B1723" t="s">
        <v>9006</v>
      </c>
    </row>
    <row r="1724" spans="1:2" x14ac:dyDescent="0.25">
      <c r="A1724" t="s">
        <v>1750</v>
      </c>
      <c r="B1724" t="s">
        <v>9007</v>
      </c>
    </row>
    <row r="1725" spans="1:2" x14ac:dyDescent="0.25">
      <c r="A1725" t="s">
        <v>1751</v>
      </c>
      <c r="B1725" t="s">
        <v>9008</v>
      </c>
    </row>
    <row r="1726" spans="1:2" x14ac:dyDescent="0.25">
      <c r="A1726" t="s">
        <v>1752</v>
      </c>
      <c r="B1726" t="s">
        <v>9009</v>
      </c>
    </row>
    <row r="1727" spans="1:2" x14ac:dyDescent="0.25">
      <c r="A1727" t="s">
        <v>1753</v>
      </c>
      <c r="B1727" t="s">
        <v>9010</v>
      </c>
    </row>
    <row r="1728" spans="1:2" x14ac:dyDescent="0.25">
      <c r="A1728" t="s">
        <v>1754</v>
      </c>
      <c r="B1728" t="s">
        <v>9011</v>
      </c>
    </row>
    <row r="1729" spans="1:2" x14ac:dyDescent="0.25">
      <c r="A1729" t="s">
        <v>1755</v>
      </c>
      <c r="B1729" t="s">
        <v>9012</v>
      </c>
    </row>
    <row r="1730" spans="1:2" x14ac:dyDescent="0.25">
      <c r="A1730" t="s">
        <v>1756</v>
      </c>
      <c r="B1730" t="s">
        <v>9013</v>
      </c>
    </row>
    <row r="1731" spans="1:2" x14ac:dyDescent="0.25">
      <c r="A1731" t="s">
        <v>1757</v>
      </c>
      <c r="B1731" t="s">
        <v>9014</v>
      </c>
    </row>
    <row r="1732" spans="1:2" x14ac:dyDescent="0.25">
      <c r="A1732" t="s">
        <v>1758</v>
      </c>
      <c r="B1732" t="s">
        <v>9015</v>
      </c>
    </row>
    <row r="1733" spans="1:2" x14ac:dyDescent="0.25">
      <c r="A1733" t="s">
        <v>1759</v>
      </c>
      <c r="B1733" t="s">
        <v>9016</v>
      </c>
    </row>
    <row r="1734" spans="1:2" x14ac:dyDescent="0.25">
      <c r="A1734" t="s">
        <v>1760</v>
      </c>
      <c r="B1734" t="s">
        <v>9017</v>
      </c>
    </row>
    <row r="1735" spans="1:2" x14ac:dyDescent="0.25">
      <c r="A1735" t="s">
        <v>1761</v>
      </c>
      <c r="B1735" t="s">
        <v>9018</v>
      </c>
    </row>
    <row r="1736" spans="1:2" x14ac:dyDescent="0.25">
      <c r="A1736" t="s">
        <v>1762</v>
      </c>
      <c r="B1736" t="s">
        <v>9019</v>
      </c>
    </row>
    <row r="1737" spans="1:2" x14ac:dyDescent="0.25">
      <c r="A1737" t="s">
        <v>1763</v>
      </c>
      <c r="B1737" t="s">
        <v>9020</v>
      </c>
    </row>
    <row r="1738" spans="1:2" x14ac:dyDescent="0.25">
      <c r="A1738" t="s">
        <v>1764</v>
      </c>
      <c r="B1738" t="s">
        <v>9021</v>
      </c>
    </row>
    <row r="1739" spans="1:2" x14ac:dyDescent="0.25">
      <c r="A1739" t="s">
        <v>1765</v>
      </c>
      <c r="B1739" t="s">
        <v>9022</v>
      </c>
    </row>
    <row r="1740" spans="1:2" x14ac:dyDescent="0.25">
      <c r="A1740" t="s">
        <v>1766</v>
      </c>
      <c r="B1740" t="s">
        <v>9023</v>
      </c>
    </row>
    <row r="1741" spans="1:2" x14ac:dyDescent="0.25">
      <c r="A1741" t="s">
        <v>1767</v>
      </c>
      <c r="B1741" t="s">
        <v>9024</v>
      </c>
    </row>
    <row r="1742" spans="1:2" x14ac:dyDescent="0.25">
      <c r="A1742" t="s">
        <v>1768</v>
      </c>
      <c r="B1742" t="s">
        <v>9025</v>
      </c>
    </row>
    <row r="1743" spans="1:2" x14ac:dyDescent="0.25">
      <c r="A1743" t="s">
        <v>1769</v>
      </c>
      <c r="B1743" t="s">
        <v>9026</v>
      </c>
    </row>
    <row r="1744" spans="1:2" x14ac:dyDescent="0.25">
      <c r="A1744" t="s">
        <v>1770</v>
      </c>
      <c r="B1744" t="s">
        <v>9027</v>
      </c>
    </row>
    <row r="1745" spans="1:2" x14ac:dyDescent="0.25">
      <c r="A1745" t="s">
        <v>1771</v>
      </c>
      <c r="B1745" t="s">
        <v>9028</v>
      </c>
    </row>
    <row r="1746" spans="1:2" x14ac:dyDescent="0.25">
      <c r="A1746" t="s">
        <v>1772</v>
      </c>
      <c r="B1746" t="s">
        <v>9029</v>
      </c>
    </row>
    <row r="1747" spans="1:2" x14ac:dyDescent="0.25">
      <c r="A1747" t="s">
        <v>1773</v>
      </c>
      <c r="B1747" t="s">
        <v>9030</v>
      </c>
    </row>
    <row r="1748" spans="1:2" x14ac:dyDescent="0.25">
      <c r="A1748" t="s">
        <v>1774</v>
      </c>
      <c r="B1748" t="s">
        <v>9031</v>
      </c>
    </row>
    <row r="1749" spans="1:2" x14ac:dyDescent="0.25">
      <c r="A1749" t="s">
        <v>1775</v>
      </c>
      <c r="B1749" t="s">
        <v>9032</v>
      </c>
    </row>
    <row r="1750" spans="1:2" x14ac:dyDescent="0.25">
      <c r="A1750" t="s">
        <v>1776</v>
      </c>
      <c r="B1750" t="s">
        <v>9033</v>
      </c>
    </row>
    <row r="1751" spans="1:2" x14ac:dyDescent="0.25">
      <c r="A1751" t="s">
        <v>1777</v>
      </c>
      <c r="B1751" t="s">
        <v>9034</v>
      </c>
    </row>
    <row r="1752" spans="1:2" x14ac:dyDescent="0.25">
      <c r="A1752" t="s">
        <v>1778</v>
      </c>
      <c r="B1752" t="s">
        <v>9035</v>
      </c>
    </row>
    <row r="1753" spans="1:2" x14ac:dyDescent="0.25">
      <c r="A1753" t="s">
        <v>1779</v>
      </c>
      <c r="B1753" t="s">
        <v>9036</v>
      </c>
    </row>
    <row r="1754" spans="1:2" x14ac:dyDescent="0.25">
      <c r="A1754" t="s">
        <v>1780</v>
      </c>
      <c r="B1754" t="s">
        <v>9037</v>
      </c>
    </row>
    <row r="1755" spans="1:2" x14ac:dyDescent="0.25">
      <c r="A1755" t="s">
        <v>1781</v>
      </c>
      <c r="B1755" t="s">
        <v>9038</v>
      </c>
    </row>
    <row r="1756" spans="1:2" x14ac:dyDescent="0.25">
      <c r="A1756" t="s">
        <v>1782</v>
      </c>
      <c r="B1756" t="s">
        <v>9039</v>
      </c>
    </row>
    <row r="1757" spans="1:2" x14ac:dyDescent="0.25">
      <c r="A1757" t="s">
        <v>1783</v>
      </c>
      <c r="B1757" t="s">
        <v>9040</v>
      </c>
    </row>
    <row r="1758" spans="1:2" x14ac:dyDescent="0.25">
      <c r="A1758" t="s">
        <v>1784</v>
      </c>
      <c r="B1758" t="s">
        <v>9041</v>
      </c>
    </row>
    <row r="1759" spans="1:2" x14ac:dyDescent="0.25">
      <c r="A1759" t="s">
        <v>1785</v>
      </c>
      <c r="B1759" t="s">
        <v>9042</v>
      </c>
    </row>
    <row r="1760" spans="1:2" x14ac:dyDescent="0.25">
      <c r="A1760" t="s">
        <v>1786</v>
      </c>
      <c r="B1760" t="s">
        <v>9043</v>
      </c>
    </row>
    <row r="1761" spans="1:2" x14ac:dyDescent="0.25">
      <c r="A1761" t="s">
        <v>1787</v>
      </c>
      <c r="B1761" t="s">
        <v>9044</v>
      </c>
    </row>
    <row r="1762" spans="1:2" x14ac:dyDescent="0.25">
      <c r="A1762" t="s">
        <v>1788</v>
      </c>
      <c r="B1762" t="s">
        <v>9045</v>
      </c>
    </row>
    <row r="1763" spans="1:2" x14ac:dyDescent="0.25">
      <c r="A1763" t="s">
        <v>1789</v>
      </c>
      <c r="B1763" t="s">
        <v>9046</v>
      </c>
    </row>
    <row r="1764" spans="1:2" x14ac:dyDescent="0.25">
      <c r="A1764" t="s">
        <v>1790</v>
      </c>
      <c r="B1764" t="s">
        <v>9047</v>
      </c>
    </row>
    <row r="1765" spans="1:2" x14ac:dyDescent="0.25">
      <c r="A1765" t="s">
        <v>1791</v>
      </c>
      <c r="B1765" t="s">
        <v>9048</v>
      </c>
    </row>
    <row r="1766" spans="1:2" x14ac:dyDescent="0.25">
      <c r="A1766" t="s">
        <v>1792</v>
      </c>
      <c r="B1766" t="s">
        <v>9049</v>
      </c>
    </row>
    <row r="1767" spans="1:2" x14ac:dyDescent="0.25">
      <c r="A1767" t="s">
        <v>1793</v>
      </c>
      <c r="B1767" t="s">
        <v>9050</v>
      </c>
    </row>
    <row r="1768" spans="1:2" x14ac:dyDescent="0.25">
      <c r="A1768" t="s">
        <v>1794</v>
      </c>
      <c r="B1768" t="s">
        <v>9051</v>
      </c>
    </row>
    <row r="1769" spans="1:2" x14ac:dyDescent="0.25">
      <c r="A1769" t="s">
        <v>1795</v>
      </c>
      <c r="B1769" t="s">
        <v>9052</v>
      </c>
    </row>
    <row r="1770" spans="1:2" x14ac:dyDescent="0.25">
      <c r="A1770" t="s">
        <v>1796</v>
      </c>
      <c r="B1770" t="s">
        <v>9053</v>
      </c>
    </row>
    <row r="1771" spans="1:2" x14ac:dyDescent="0.25">
      <c r="A1771" t="s">
        <v>1797</v>
      </c>
      <c r="B1771" t="s">
        <v>9054</v>
      </c>
    </row>
    <row r="1772" spans="1:2" x14ac:dyDescent="0.25">
      <c r="A1772" t="s">
        <v>1798</v>
      </c>
      <c r="B1772" t="s">
        <v>9055</v>
      </c>
    </row>
    <row r="1773" spans="1:2" x14ac:dyDescent="0.25">
      <c r="A1773" t="s">
        <v>1799</v>
      </c>
      <c r="B1773" t="s">
        <v>9056</v>
      </c>
    </row>
    <row r="1774" spans="1:2" x14ac:dyDescent="0.25">
      <c r="A1774" t="s">
        <v>1800</v>
      </c>
      <c r="B1774" t="s">
        <v>9057</v>
      </c>
    </row>
    <row r="1775" spans="1:2" x14ac:dyDescent="0.25">
      <c r="A1775" t="s">
        <v>1801</v>
      </c>
      <c r="B1775" t="s">
        <v>9058</v>
      </c>
    </row>
    <row r="1776" spans="1:2" x14ac:dyDescent="0.25">
      <c r="A1776" t="s">
        <v>1802</v>
      </c>
      <c r="B1776" t="s">
        <v>9059</v>
      </c>
    </row>
    <row r="1777" spans="1:2" x14ac:dyDescent="0.25">
      <c r="A1777" t="s">
        <v>1803</v>
      </c>
      <c r="B1777" t="s">
        <v>9060</v>
      </c>
    </row>
    <row r="1778" spans="1:2" x14ac:dyDescent="0.25">
      <c r="A1778" t="s">
        <v>1804</v>
      </c>
      <c r="B1778" t="s">
        <v>9061</v>
      </c>
    </row>
    <row r="1779" spans="1:2" x14ac:dyDescent="0.25">
      <c r="A1779" t="s">
        <v>1805</v>
      </c>
      <c r="B1779" t="s">
        <v>9062</v>
      </c>
    </row>
    <row r="1780" spans="1:2" x14ac:dyDescent="0.25">
      <c r="A1780" t="s">
        <v>1806</v>
      </c>
      <c r="B1780" t="s">
        <v>9063</v>
      </c>
    </row>
    <row r="1781" spans="1:2" x14ac:dyDescent="0.25">
      <c r="A1781" t="s">
        <v>1807</v>
      </c>
      <c r="B1781" t="s">
        <v>9064</v>
      </c>
    </row>
    <row r="1782" spans="1:2" x14ac:dyDescent="0.25">
      <c r="A1782" t="s">
        <v>1808</v>
      </c>
      <c r="B1782" t="s">
        <v>9065</v>
      </c>
    </row>
    <row r="1783" spans="1:2" x14ac:dyDescent="0.25">
      <c r="A1783" t="s">
        <v>1809</v>
      </c>
      <c r="B1783" t="s">
        <v>9066</v>
      </c>
    </row>
    <row r="1784" spans="1:2" x14ac:dyDescent="0.25">
      <c r="A1784" t="s">
        <v>1810</v>
      </c>
      <c r="B1784" t="s">
        <v>9067</v>
      </c>
    </row>
    <row r="1785" spans="1:2" x14ac:dyDescent="0.25">
      <c r="A1785" t="s">
        <v>1811</v>
      </c>
      <c r="B1785" t="s">
        <v>9068</v>
      </c>
    </row>
    <row r="1786" spans="1:2" x14ac:dyDescent="0.25">
      <c r="A1786" t="s">
        <v>1812</v>
      </c>
      <c r="B1786" t="s">
        <v>9069</v>
      </c>
    </row>
    <row r="1787" spans="1:2" x14ac:dyDescent="0.25">
      <c r="A1787" t="s">
        <v>1813</v>
      </c>
      <c r="B1787" t="s">
        <v>9070</v>
      </c>
    </row>
    <row r="1788" spans="1:2" x14ac:dyDescent="0.25">
      <c r="A1788" t="s">
        <v>1814</v>
      </c>
      <c r="B1788" t="s">
        <v>9071</v>
      </c>
    </row>
    <row r="1789" spans="1:2" x14ac:dyDescent="0.25">
      <c r="A1789" t="s">
        <v>1815</v>
      </c>
      <c r="B1789" t="s">
        <v>9072</v>
      </c>
    </row>
    <row r="1790" spans="1:2" x14ac:dyDescent="0.25">
      <c r="A1790" t="s">
        <v>1816</v>
      </c>
      <c r="B1790" t="s">
        <v>9073</v>
      </c>
    </row>
    <row r="1791" spans="1:2" x14ac:dyDescent="0.25">
      <c r="A1791" t="s">
        <v>1817</v>
      </c>
      <c r="B1791" t="s">
        <v>9074</v>
      </c>
    </row>
    <row r="1792" spans="1:2" x14ac:dyDescent="0.25">
      <c r="A1792" t="s">
        <v>1818</v>
      </c>
      <c r="B1792" t="s">
        <v>9075</v>
      </c>
    </row>
    <row r="1793" spans="1:2" x14ac:dyDescent="0.25">
      <c r="A1793" t="s">
        <v>1819</v>
      </c>
      <c r="B1793" t="s">
        <v>9076</v>
      </c>
    </row>
    <row r="1794" spans="1:2" x14ac:dyDescent="0.25">
      <c r="A1794" t="s">
        <v>1820</v>
      </c>
      <c r="B1794" t="s">
        <v>9077</v>
      </c>
    </row>
    <row r="1795" spans="1:2" x14ac:dyDescent="0.25">
      <c r="A1795" t="s">
        <v>1821</v>
      </c>
      <c r="B1795" t="s">
        <v>9078</v>
      </c>
    </row>
    <row r="1796" spans="1:2" x14ac:dyDescent="0.25">
      <c r="A1796" t="s">
        <v>1822</v>
      </c>
      <c r="B1796" t="s">
        <v>9079</v>
      </c>
    </row>
    <row r="1797" spans="1:2" x14ac:dyDescent="0.25">
      <c r="A1797" t="s">
        <v>1823</v>
      </c>
      <c r="B1797" t="s">
        <v>9080</v>
      </c>
    </row>
    <row r="1798" spans="1:2" x14ac:dyDescent="0.25">
      <c r="A1798" t="s">
        <v>1824</v>
      </c>
      <c r="B1798" t="s">
        <v>9081</v>
      </c>
    </row>
    <row r="1799" spans="1:2" x14ac:dyDescent="0.25">
      <c r="A1799" t="s">
        <v>1825</v>
      </c>
      <c r="B1799" t="s">
        <v>9082</v>
      </c>
    </row>
    <row r="1800" spans="1:2" x14ac:dyDescent="0.25">
      <c r="A1800" t="s">
        <v>1826</v>
      </c>
      <c r="B1800" t="s">
        <v>9083</v>
      </c>
    </row>
    <row r="1801" spans="1:2" x14ac:dyDescent="0.25">
      <c r="A1801" t="s">
        <v>1827</v>
      </c>
      <c r="B1801" t="s">
        <v>9084</v>
      </c>
    </row>
    <row r="1802" spans="1:2" x14ac:dyDescent="0.25">
      <c r="A1802" t="s">
        <v>1828</v>
      </c>
      <c r="B1802" t="s">
        <v>9085</v>
      </c>
    </row>
    <row r="1803" spans="1:2" x14ac:dyDescent="0.25">
      <c r="A1803" t="s">
        <v>1829</v>
      </c>
      <c r="B1803" t="s">
        <v>9086</v>
      </c>
    </row>
    <row r="1804" spans="1:2" x14ac:dyDescent="0.25">
      <c r="A1804" t="s">
        <v>1830</v>
      </c>
      <c r="B1804" t="s">
        <v>9087</v>
      </c>
    </row>
    <row r="1805" spans="1:2" x14ac:dyDescent="0.25">
      <c r="A1805" t="s">
        <v>1831</v>
      </c>
      <c r="B1805" t="s">
        <v>9088</v>
      </c>
    </row>
    <row r="1806" spans="1:2" x14ac:dyDescent="0.25">
      <c r="A1806" t="s">
        <v>1832</v>
      </c>
      <c r="B1806" t="s">
        <v>9089</v>
      </c>
    </row>
    <row r="1807" spans="1:2" x14ac:dyDescent="0.25">
      <c r="A1807" t="s">
        <v>1833</v>
      </c>
      <c r="B1807" t="s">
        <v>9090</v>
      </c>
    </row>
    <row r="1808" spans="1:2" x14ac:dyDescent="0.25">
      <c r="A1808" t="s">
        <v>1834</v>
      </c>
      <c r="B1808" t="s">
        <v>9091</v>
      </c>
    </row>
    <row r="1809" spans="1:2" x14ac:dyDescent="0.25">
      <c r="A1809" t="s">
        <v>1835</v>
      </c>
      <c r="B1809" t="s">
        <v>9092</v>
      </c>
    </row>
    <row r="1810" spans="1:2" x14ac:dyDescent="0.25">
      <c r="A1810" t="s">
        <v>1836</v>
      </c>
      <c r="B1810" t="s">
        <v>9093</v>
      </c>
    </row>
    <row r="1811" spans="1:2" x14ac:dyDescent="0.25">
      <c r="A1811" t="s">
        <v>1837</v>
      </c>
      <c r="B1811" t="s">
        <v>9094</v>
      </c>
    </row>
    <row r="1812" spans="1:2" x14ac:dyDescent="0.25">
      <c r="A1812" t="s">
        <v>1838</v>
      </c>
      <c r="B1812" t="s">
        <v>9095</v>
      </c>
    </row>
    <row r="1813" spans="1:2" x14ac:dyDescent="0.25">
      <c r="A1813" t="s">
        <v>1839</v>
      </c>
      <c r="B1813" t="s">
        <v>9096</v>
      </c>
    </row>
    <row r="1814" spans="1:2" x14ac:dyDescent="0.25">
      <c r="A1814" t="s">
        <v>1840</v>
      </c>
      <c r="B1814" t="s">
        <v>9097</v>
      </c>
    </row>
    <row r="1815" spans="1:2" x14ac:dyDescent="0.25">
      <c r="A1815" t="s">
        <v>1841</v>
      </c>
      <c r="B1815" t="s">
        <v>9098</v>
      </c>
    </row>
    <row r="1816" spans="1:2" x14ac:dyDescent="0.25">
      <c r="A1816" t="s">
        <v>1842</v>
      </c>
      <c r="B1816" t="s">
        <v>9099</v>
      </c>
    </row>
    <row r="1817" spans="1:2" x14ac:dyDescent="0.25">
      <c r="A1817" t="s">
        <v>1843</v>
      </c>
      <c r="B1817" t="s">
        <v>9100</v>
      </c>
    </row>
    <row r="1818" spans="1:2" x14ac:dyDescent="0.25">
      <c r="A1818" t="s">
        <v>1844</v>
      </c>
      <c r="B1818" t="s">
        <v>9101</v>
      </c>
    </row>
    <row r="1819" spans="1:2" x14ac:dyDescent="0.25">
      <c r="A1819" t="s">
        <v>1845</v>
      </c>
      <c r="B1819" t="s">
        <v>9102</v>
      </c>
    </row>
    <row r="1820" spans="1:2" x14ac:dyDescent="0.25">
      <c r="A1820" t="s">
        <v>1846</v>
      </c>
      <c r="B1820" t="s">
        <v>9103</v>
      </c>
    </row>
    <row r="1821" spans="1:2" x14ac:dyDescent="0.25">
      <c r="A1821" t="s">
        <v>1847</v>
      </c>
      <c r="B1821" t="s">
        <v>9104</v>
      </c>
    </row>
    <row r="1822" spans="1:2" x14ac:dyDescent="0.25">
      <c r="A1822" t="s">
        <v>1848</v>
      </c>
      <c r="B1822" t="s">
        <v>9105</v>
      </c>
    </row>
    <row r="1823" spans="1:2" x14ac:dyDescent="0.25">
      <c r="A1823" t="s">
        <v>1849</v>
      </c>
      <c r="B1823" t="s">
        <v>9106</v>
      </c>
    </row>
    <row r="1824" spans="1:2" x14ac:dyDescent="0.25">
      <c r="A1824" t="s">
        <v>1850</v>
      </c>
      <c r="B1824" t="s">
        <v>9107</v>
      </c>
    </row>
    <row r="1825" spans="1:2" x14ac:dyDescent="0.25">
      <c r="A1825" t="s">
        <v>1851</v>
      </c>
      <c r="B1825" t="s">
        <v>9108</v>
      </c>
    </row>
    <row r="1826" spans="1:2" x14ac:dyDescent="0.25">
      <c r="A1826" t="s">
        <v>1852</v>
      </c>
      <c r="B1826" t="s">
        <v>9109</v>
      </c>
    </row>
    <row r="1827" spans="1:2" x14ac:dyDescent="0.25">
      <c r="A1827" t="s">
        <v>1853</v>
      </c>
      <c r="B1827" t="s">
        <v>9110</v>
      </c>
    </row>
    <row r="1828" spans="1:2" x14ac:dyDescent="0.25">
      <c r="A1828" t="s">
        <v>1854</v>
      </c>
      <c r="B1828" t="s">
        <v>9111</v>
      </c>
    </row>
    <row r="1829" spans="1:2" x14ac:dyDescent="0.25">
      <c r="A1829" t="s">
        <v>1855</v>
      </c>
      <c r="B1829" t="s">
        <v>9112</v>
      </c>
    </row>
    <row r="1830" spans="1:2" x14ac:dyDescent="0.25">
      <c r="A1830" t="s">
        <v>1856</v>
      </c>
      <c r="B1830" t="s">
        <v>9113</v>
      </c>
    </row>
    <row r="1831" spans="1:2" x14ac:dyDescent="0.25">
      <c r="A1831" t="s">
        <v>1857</v>
      </c>
      <c r="B1831" t="s">
        <v>9114</v>
      </c>
    </row>
    <row r="1832" spans="1:2" x14ac:dyDescent="0.25">
      <c r="A1832" t="s">
        <v>1858</v>
      </c>
      <c r="B1832" t="s">
        <v>9115</v>
      </c>
    </row>
    <row r="1833" spans="1:2" x14ac:dyDescent="0.25">
      <c r="A1833" t="s">
        <v>1859</v>
      </c>
      <c r="B1833" t="s">
        <v>9116</v>
      </c>
    </row>
    <row r="1834" spans="1:2" x14ac:dyDescent="0.25">
      <c r="A1834" t="s">
        <v>1860</v>
      </c>
      <c r="B1834" t="s">
        <v>9117</v>
      </c>
    </row>
    <row r="1835" spans="1:2" x14ac:dyDescent="0.25">
      <c r="A1835" t="s">
        <v>1861</v>
      </c>
      <c r="B1835" t="s">
        <v>9118</v>
      </c>
    </row>
    <row r="1836" spans="1:2" x14ac:dyDescent="0.25">
      <c r="A1836" t="s">
        <v>1862</v>
      </c>
      <c r="B1836" t="s">
        <v>9119</v>
      </c>
    </row>
    <row r="1837" spans="1:2" x14ac:dyDescent="0.25">
      <c r="A1837" t="s">
        <v>1863</v>
      </c>
      <c r="B1837" t="s">
        <v>9120</v>
      </c>
    </row>
    <row r="1838" spans="1:2" x14ac:dyDescent="0.25">
      <c r="A1838" t="s">
        <v>1864</v>
      </c>
      <c r="B1838" t="s">
        <v>9121</v>
      </c>
    </row>
    <row r="1839" spans="1:2" x14ac:dyDescent="0.25">
      <c r="A1839" t="s">
        <v>1865</v>
      </c>
      <c r="B1839" t="s">
        <v>9122</v>
      </c>
    </row>
    <row r="1840" spans="1:2" x14ac:dyDescent="0.25">
      <c r="A1840" t="s">
        <v>1866</v>
      </c>
      <c r="B1840" t="s">
        <v>9123</v>
      </c>
    </row>
    <row r="1841" spans="1:2" x14ac:dyDescent="0.25">
      <c r="A1841" t="s">
        <v>1867</v>
      </c>
      <c r="B1841" t="s">
        <v>9124</v>
      </c>
    </row>
    <row r="1842" spans="1:2" x14ac:dyDescent="0.25">
      <c r="A1842" t="s">
        <v>1868</v>
      </c>
      <c r="B1842" t="s">
        <v>9125</v>
      </c>
    </row>
    <row r="1843" spans="1:2" x14ac:dyDescent="0.25">
      <c r="A1843" t="s">
        <v>1869</v>
      </c>
      <c r="B1843" t="s">
        <v>9126</v>
      </c>
    </row>
    <row r="1844" spans="1:2" x14ac:dyDescent="0.25">
      <c r="A1844" t="s">
        <v>1870</v>
      </c>
      <c r="B1844" t="s">
        <v>9127</v>
      </c>
    </row>
    <row r="1845" spans="1:2" x14ac:dyDescent="0.25">
      <c r="A1845" t="s">
        <v>1871</v>
      </c>
      <c r="B1845" t="s">
        <v>9128</v>
      </c>
    </row>
    <row r="1846" spans="1:2" x14ac:dyDescent="0.25">
      <c r="A1846" t="s">
        <v>1872</v>
      </c>
      <c r="B1846" t="s">
        <v>9129</v>
      </c>
    </row>
    <row r="1847" spans="1:2" x14ac:dyDescent="0.25">
      <c r="A1847" t="s">
        <v>1873</v>
      </c>
      <c r="B1847" t="s">
        <v>9130</v>
      </c>
    </row>
    <row r="1848" spans="1:2" x14ac:dyDescent="0.25">
      <c r="A1848" t="s">
        <v>1874</v>
      </c>
      <c r="B1848" t="s">
        <v>9131</v>
      </c>
    </row>
    <row r="1849" spans="1:2" x14ac:dyDescent="0.25">
      <c r="A1849" t="s">
        <v>1875</v>
      </c>
      <c r="B1849" t="s">
        <v>9132</v>
      </c>
    </row>
    <row r="1850" spans="1:2" x14ac:dyDescent="0.25">
      <c r="A1850" t="s">
        <v>1876</v>
      </c>
      <c r="B1850" t="s">
        <v>9133</v>
      </c>
    </row>
    <row r="1851" spans="1:2" x14ac:dyDescent="0.25">
      <c r="A1851" t="s">
        <v>1877</v>
      </c>
      <c r="B1851" t="s">
        <v>9134</v>
      </c>
    </row>
    <row r="1852" spans="1:2" x14ac:dyDescent="0.25">
      <c r="A1852" t="s">
        <v>1878</v>
      </c>
      <c r="B1852" t="s">
        <v>9135</v>
      </c>
    </row>
    <row r="1853" spans="1:2" x14ac:dyDescent="0.25">
      <c r="A1853" t="s">
        <v>1879</v>
      </c>
      <c r="B1853" t="s">
        <v>9136</v>
      </c>
    </row>
    <row r="1854" spans="1:2" x14ac:dyDescent="0.25">
      <c r="A1854" t="s">
        <v>1880</v>
      </c>
      <c r="B1854" t="s">
        <v>9137</v>
      </c>
    </row>
    <row r="1855" spans="1:2" x14ac:dyDescent="0.25">
      <c r="A1855" t="s">
        <v>1881</v>
      </c>
      <c r="B1855" t="s">
        <v>9138</v>
      </c>
    </row>
    <row r="1856" spans="1:2" x14ac:dyDescent="0.25">
      <c r="A1856" t="s">
        <v>1882</v>
      </c>
      <c r="B1856" t="s">
        <v>9139</v>
      </c>
    </row>
    <row r="1857" spans="1:2" x14ac:dyDescent="0.25">
      <c r="A1857" t="s">
        <v>1883</v>
      </c>
      <c r="B1857" t="s">
        <v>9140</v>
      </c>
    </row>
    <row r="1858" spans="1:2" x14ac:dyDescent="0.25">
      <c r="A1858" t="s">
        <v>1884</v>
      </c>
      <c r="B1858" t="s">
        <v>9141</v>
      </c>
    </row>
    <row r="1859" spans="1:2" x14ac:dyDescent="0.25">
      <c r="A1859" t="s">
        <v>1885</v>
      </c>
      <c r="B1859" t="s">
        <v>9142</v>
      </c>
    </row>
    <row r="1860" spans="1:2" x14ac:dyDescent="0.25">
      <c r="A1860" t="s">
        <v>1886</v>
      </c>
      <c r="B1860" t="s">
        <v>9143</v>
      </c>
    </row>
    <row r="1861" spans="1:2" x14ac:dyDescent="0.25">
      <c r="A1861" t="s">
        <v>1887</v>
      </c>
      <c r="B1861" t="s">
        <v>9144</v>
      </c>
    </row>
    <row r="1862" spans="1:2" x14ac:dyDescent="0.25">
      <c r="A1862" t="s">
        <v>1888</v>
      </c>
      <c r="B1862" t="s">
        <v>9145</v>
      </c>
    </row>
    <row r="1863" spans="1:2" x14ac:dyDescent="0.25">
      <c r="A1863" t="s">
        <v>1889</v>
      </c>
      <c r="B1863" t="s">
        <v>9146</v>
      </c>
    </row>
    <row r="1864" spans="1:2" x14ac:dyDescent="0.25">
      <c r="A1864" t="s">
        <v>1890</v>
      </c>
      <c r="B1864" t="s">
        <v>9147</v>
      </c>
    </row>
    <row r="1865" spans="1:2" x14ac:dyDescent="0.25">
      <c r="A1865" t="s">
        <v>1891</v>
      </c>
      <c r="B1865" t="s">
        <v>9148</v>
      </c>
    </row>
    <row r="1866" spans="1:2" x14ac:dyDescent="0.25">
      <c r="A1866" t="s">
        <v>1892</v>
      </c>
      <c r="B1866" t="s">
        <v>9149</v>
      </c>
    </row>
    <row r="1867" spans="1:2" x14ac:dyDescent="0.25">
      <c r="A1867" t="s">
        <v>1893</v>
      </c>
      <c r="B1867" t="s">
        <v>9150</v>
      </c>
    </row>
    <row r="1868" spans="1:2" x14ac:dyDescent="0.25">
      <c r="A1868" t="s">
        <v>1894</v>
      </c>
      <c r="B1868" t="s">
        <v>9151</v>
      </c>
    </row>
    <row r="1869" spans="1:2" x14ac:dyDescent="0.25">
      <c r="A1869" t="s">
        <v>1895</v>
      </c>
      <c r="B1869" t="s">
        <v>9152</v>
      </c>
    </row>
    <row r="1870" spans="1:2" x14ac:dyDescent="0.25">
      <c r="A1870" t="s">
        <v>1896</v>
      </c>
      <c r="B1870" t="s">
        <v>9153</v>
      </c>
    </row>
    <row r="1871" spans="1:2" x14ac:dyDescent="0.25">
      <c r="A1871" t="s">
        <v>1897</v>
      </c>
      <c r="B1871" t="s">
        <v>9154</v>
      </c>
    </row>
    <row r="1872" spans="1:2" x14ac:dyDescent="0.25">
      <c r="A1872" t="s">
        <v>1898</v>
      </c>
      <c r="B1872" t="s">
        <v>9155</v>
      </c>
    </row>
    <row r="1873" spans="1:2" x14ac:dyDescent="0.25">
      <c r="A1873" t="s">
        <v>1899</v>
      </c>
      <c r="B1873" t="s">
        <v>9156</v>
      </c>
    </row>
    <row r="1874" spans="1:2" x14ac:dyDescent="0.25">
      <c r="A1874" t="s">
        <v>1900</v>
      </c>
      <c r="B1874" t="s">
        <v>9157</v>
      </c>
    </row>
    <row r="1875" spans="1:2" x14ac:dyDescent="0.25">
      <c r="A1875" t="s">
        <v>1901</v>
      </c>
      <c r="B1875" t="s">
        <v>9158</v>
      </c>
    </row>
    <row r="1876" spans="1:2" x14ac:dyDescent="0.25">
      <c r="A1876" t="s">
        <v>1902</v>
      </c>
      <c r="B1876" t="s">
        <v>9159</v>
      </c>
    </row>
    <row r="1877" spans="1:2" x14ac:dyDescent="0.25">
      <c r="A1877" t="s">
        <v>1903</v>
      </c>
      <c r="B1877" t="s">
        <v>9160</v>
      </c>
    </row>
    <row r="1878" spans="1:2" x14ac:dyDescent="0.25">
      <c r="A1878" t="s">
        <v>1904</v>
      </c>
      <c r="B1878" t="s">
        <v>9161</v>
      </c>
    </row>
    <row r="1879" spans="1:2" x14ac:dyDescent="0.25">
      <c r="A1879" t="s">
        <v>1905</v>
      </c>
      <c r="B1879" t="s">
        <v>9162</v>
      </c>
    </row>
    <row r="1880" spans="1:2" x14ac:dyDescent="0.25">
      <c r="A1880" t="s">
        <v>1906</v>
      </c>
      <c r="B1880" t="s">
        <v>9163</v>
      </c>
    </row>
    <row r="1881" spans="1:2" x14ac:dyDescent="0.25">
      <c r="A1881" t="s">
        <v>1907</v>
      </c>
      <c r="B1881" t="s">
        <v>9164</v>
      </c>
    </row>
    <row r="1882" spans="1:2" x14ac:dyDescent="0.25">
      <c r="A1882" t="s">
        <v>1908</v>
      </c>
      <c r="B1882" t="s">
        <v>9165</v>
      </c>
    </row>
    <row r="1883" spans="1:2" x14ac:dyDescent="0.25">
      <c r="A1883" t="s">
        <v>1909</v>
      </c>
      <c r="B1883" t="s">
        <v>9166</v>
      </c>
    </row>
    <row r="1884" spans="1:2" x14ac:dyDescent="0.25">
      <c r="A1884" t="s">
        <v>1910</v>
      </c>
      <c r="B1884" t="s">
        <v>9167</v>
      </c>
    </row>
    <row r="1885" spans="1:2" x14ac:dyDescent="0.25">
      <c r="A1885" t="s">
        <v>1911</v>
      </c>
      <c r="B1885" t="s">
        <v>9168</v>
      </c>
    </row>
    <row r="1886" spans="1:2" x14ac:dyDescent="0.25">
      <c r="A1886" t="s">
        <v>1912</v>
      </c>
      <c r="B1886" t="s">
        <v>9169</v>
      </c>
    </row>
    <row r="1887" spans="1:2" x14ac:dyDescent="0.25">
      <c r="A1887" t="s">
        <v>1913</v>
      </c>
      <c r="B1887" t="s">
        <v>9170</v>
      </c>
    </row>
    <row r="1888" spans="1:2" x14ac:dyDescent="0.25">
      <c r="A1888" t="s">
        <v>1914</v>
      </c>
      <c r="B1888" t="s">
        <v>9171</v>
      </c>
    </row>
    <row r="1889" spans="1:2" x14ac:dyDescent="0.25">
      <c r="A1889" t="s">
        <v>1915</v>
      </c>
      <c r="B1889" t="s">
        <v>9172</v>
      </c>
    </row>
    <row r="1890" spans="1:2" x14ac:dyDescent="0.25">
      <c r="A1890" t="s">
        <v>1916</v>
      </c>
      <c r="B1890" t="s">
        <v>9173</v>
      </c>
    </row>
    <row r="1891" spans="1:2" x14ac:dyDescent="0.25">
      <c r="A1891" t="s">
        <v>1917</v>
      </c>
      <c r="B1891" t="s">
        <v>9174</v>
      </c>
    </row>
    <row r="1892" spans="1:2" x14ac:dyDescent="0.25">
      <c r="A1892" t="s">
        <v>1918</v>
      </c>
      <c r="B1892" t="s">
        <v>9175</v>
      </c>
    </row>
    <row r="1893" spans="1:2" x14ac:dyDescent="0.25">
      <c r="A1893" t="s">
        <v>1919</v>
      </c>
      <c r="B1893" t="s">
        <v>9176</v>
      </c>
    </row>
    <row r="1894" spans="1:2" x14ac:dyDescent="0.25">
      <c r="A1894" t="s">
        <v>1920</v>
      </c>
      <c r="B1894" t="s">
        <v>9177</v>
      </c>
    </row>
    <row r="1895" spans="1:2" x14ac:dyDescent="0.25">
      <c r="A1895" t="s">
        <v>1921</v>
      </c>
      <c r="B1895" t="s">
        <v>9178</v>
      </c>
    </row>
    <row r="1896" spans="1:2" x14ac:dyDescent="0.25">
      <c r="A1896" t="s">
        <v>1922</v>
      </c>
      <c r="B1896" t="s">
        <v>9179</v>
      </c>
    </row>
    <row r="1897" spans="1:2" x14ac:dyDescent="0.25">
      <c r="A1897" t="s">
        <v>1923</v>
      </c>
      <c r="B1897" t="s">
        <v>9180</v>
      </c>
    </row>
    <row r="1898" spans="1:2" x14ac:dyDescent="0.25">
      <c r="A1898" t="s">
        <v>1924</v>
      </c>
      <c r="B1898" t="s">
        <v>9181</v>
      </c>
    </row>
    <row r="1899" spans="1:2" x14ac:dyDescent="0.25">
      <c r="A1899" t="s">
        <v>1925</v>
      </c>
      <c r="B1899" t="s">
        <v>9182</v>
      </c>
    </row>
    <row r="1900" spans="1:2" x14ac:dyDescent="0.25">
      <c r="A1900" t="s">
        <v>1926</v>
      </c>
      <c r="B1900" t="s">
        <v>9183</v>
      </c>
    </row>
    <row r="1901" spans="1:2" x14ac:dyDescent="0.25">
      <c r="A1901" t="s">
        <v>1927</v>
      </c>
      <c r="B1901" t="s">
        <v>9184</v>
      </c>
    </row>
    <row r="1902" spans="1:2" x14ac:dyDescent="0.25">
      <c r="A1902" t="s">
        <v>1928</v>
      </c>
      <c r="B1902" t="s">
        <v>9185</v>
      </c>
    </row>
    <row r="1903" spans="1:2" x14ac:dyDescent="0.25">
      <c r="A1903" t="s">
        <v>1929</v>
      </c>
      <c r="B1903" t="s">
        <v>9186</v>
      </c>
    </row>
    <row r="1904" spans="1:2" x14ac:dyDescent="0.25">
      <c r="A1904" t="s">
        <v>1930</v>
      </c>
      <c r="B1904" t="s">
        <v>9187</v>
      </c>
    </row>
    <row r="1905" spans="1:2" x14ac:dyDescent="0.25">
      <c r="A1905" t="s">
        <v>1931</v>
      </c>
      <c r="B1905" t="s">
        <v>9188</v>
      </c>
    </row>
    <row r="1906" spans="1:2" x14ac:dyDescent="0.25">
      <c r="A1906" t="s">
        <v>1932</v>
      </c>
      <c r="B1906" t="s">
        <v>9189</v>
      </c>
    </row>
    <row r="1907" spans="1:2" x14ac:dyDescent="0.25">
      <c r="A1907" t="s">
        <v>1933</v>
      </c>
      <c r="B1907" t="s">
        <v>9190</v>
      </c>
    </row>
    <row r="1908" spans="1:2" x14ac:dyDescent="0.25">
      <c r="A1908" t="s">
        <v>1934</v>
      </c>
      <c r="B1908" t="s">
        <v>9191</v>
      </c>
    </row>
    <row r="1909" spans="1:2" x14ac:dyDescent="0.25">
      <c r="A1909" t="s">
        <v>1935</v>
      </c>
      <c r="B1909" t="s">
        <v>9192</v>
      </c>
    </row>
    <row r="1910" spans="1:2" x14ac:dyDescent="0.25">
      <c r="A1910" t="s">
        <v>1936</v>
      </c>
      <c r="B1910" t="s">
        <v>9193</v>
      </c>
    </row>
    <row r="1911" spans="1:2" x14ac:dyDescent="0.25">
      <c r="A1911" t="s">
        <v>1937</v>
      </c>
      <c r="B1911" t="s">
        <v>9194</v>
      </c>
    </row>
    <row r="1912" spans="1:2" x14ac:dyDescent="0.25">
      <c r="A1912" t="s">
        <v>1938</v>
      </c>
      <c r="B1912" t="s">
        <v>9195</v>
      </c>
    </row>
    <row r="1913" spans="1:2" x14ac:dyDescent="0.25">
      <c r="A1913" t="s">
        <v>1939</v>
      </c>
      <c r="B1913" t="s">
        <v>9196</v>
      </c>
    </row>
    <row r="1914" spans="1:2" x14ac:dyDescent="0.25">
      <c r="A1914" t="s">
        <v>1940</v>
      </c>
      <c r="B1914" t="s">
        <v>9197</v>
      </c>
    </row>
    <row r="1915" spans="1:2" x14ac:dyDescent="0.25">
      <c r="A1915" t="s">
        <v>1941</v>
      </c>
      <c r="B1915" t="s">
        <v>9198</v>
      </c>
    </row>
    <row r="1916" spans="1:2" x14ac:dyDescent="0.25">
      <c r="A1916" t="s">
        <v>1942</v>
      </c>
      <c r="B1916" t="s">
        <v>9199</v>
      </c>
    </row>
    <row r="1917" spans="1:2" x14ac:dyDescent="0.25">
      <c r="A1917" t="s">
        <v>1943</v>
      </c>
      <c r="B1917" t="s">
        <v>9200</v>
      </c>
    </row>
    <row r="1918" spans="1:2" x14ac:dyDescent="0.25">
      <c r="A1918" t="s">
        <v>1944</v>
      </c>
      <c r="B1918" t="s">
        <v>9201</v>
      </c>
    </row>
    <row r="1919" spans="1:2" x14ac:dyDescent="0.25">
      <c r="A1919" t="s">
        <v>1945</v>
      </c>
      <c r="B1919" t="s">
        <v>9202</v>
      </c>
    </row>
    <row r="1920" spans="1:2" x14ac:dyDescent="0.25">
      <c r="A1920" t="s">
        <v>1946</v>
      </c>
      <c r="B1920" t="s">
        <v>9203</v>
      </c>
    </row>
    <row r="1921" spans="1:2" x14ac:dyDescent="0.25">
      <c r="A1921" t="s">
        <v>1947</v>
      </c>
      <c r="B1921" t="s">
        <v>9204</v>
      </c>
    </row>
    <row r="1922" spans="1:2" x14ac:dyDescent="0.25">
      <c r="A1922" t="s">
        <v>1948</v>
      </c>
      <c r="B1922" t="s">
        <v>9205</v>
      </c>
    </row>
    <row r="1923" spans="1:2" x14ac:dyDescent="0.25">
      <c r="A1923" t="s">
        <v>1949</v>
      </c>
      <c r="B1923" t="s">
        <v>9206</v>
      </c>
    </row>
    <row r="1924" spans="1:2" x14ac:dyDescent="0.25">
      <c r="A1924" t="s">
        <v>1950</v>
      </c>
      <c r="B1924" t="s">
        <v>9207</v>
      </c>
    </row>
    <row r="1925" spans="1:2" x14ac:dyDescent="0.25">
      <c r="A1925" t="s">
        <v>1951</v>
      </c>
      <c r="B1925" t="s">
        <v>9208</v>
      </c>
    </row>
    <row r="1926" spans="1:2" x14ac:dyDescent="0.25">
      <c r="A1926" t="s">
        <v>1952</v>
      </c>
      <c r="B1926" t="s">
        <v>9209</v>
      </c>
    </row>
    <row r="1927" spans="1:2" x14ac:dyDescent="0.25">
      <c r="A1927" t="s">
        <v>1953</v>
      </c>
      <c r="B1927" t="s">
        <v>9210</v>
      </c>
    </row>
    <row r="1928" spans="1:2" x14ac:dyDescent="0.25">
      <c r="A1928" t="s">
        <v>1954</v>
      </c>
      <c r="B1928" t="s">
        <v>9211</v>
      </c>
    </row>
    <row r="1929" spans="1:2" x14ac:dyDescent="0.25">
      <c r="A1929" t="s">
        <v>1955</v>
      </c>
      <c r="B1929" t="s">
        <v>9212</v>
      </c>
    </row>
    <row r="1930" spans="1:2" x14ac:dyDescent="0.25">
      <c r="A1930" t="s">
        <v>1956</v>
      </c>
      <c r="B1930" t="s">
        <v>9213</v>
      </c>
    </row>
    <row r="1931" spans="1:2" x14ac:dyDescent="0.25">
      <c r="A1931" t="s">
        <v>1957</v>
      </c>
      <c r="B1931" t="s">
        <v>9214</v>
      </c>
    </row>
    <row r="1932" spans="1:2" x14ac:dyDescent="0.25">
      <c r="A1932" t="s">
        <v>1958</v>
      </c>
      <c r="B1932" t="s">
        <v>9215</v>
      </c>
    </row>
    <row r="1933" spans="1:2" x14ac:dyDescent="0.25">
      <c r="A1933" t="s">
        <v>1959</v>
      </c>
      <c r="B1933" t="s">
        <v>9216</v>
      </c>
    </row>
    <row r="1934" spans="1:2" x14ac:dyDescent="0.25">
      <c r="A1934" t="s">
        <v>1960</v>
      </c>
      <c r="B1934" t="s">
        <v>9217</v>
      </c>
    </row>
    <row r="1935" spans="1:2" x14ac:dyDescent="0.25">
      <c r="A1935" t="s">
        <v>1961</v>
      </c>
      <c r="B1935" t="s">
        <v>9218</v>
      </c>
    </row>
    <row r="1936" spans="1:2" x14ac:dyDescent="0.25">
      <c r="A1936" t="s">
        <v>1962</v>
      </c>
      <c r="B1936" t="s">
        <v>9219</v>
      </c>
    </row>
    <row r="1937" spans="1:2" x14ac:dyDescent="0.25">
      <c r="A1937" t="s">
        <v>1963</v>
      </c>
      <c r="B1937" t="s">
        <v>9220</v>
      </c>
    </row>
    <row r="1938" spans="1:2" x14ac:dyDescent="0.25">
      <c r="A1938" t="s">
        <v>1964</v>
      </c>
      <c r="B1938" t="s">
        <v>9221</v>
      </c>
    </row>
    <row r="1939" spans="1:2" x14ac:dyDescent="0.25">
      <c r="A1939" t="s">
        <v>1965</v>
      </c>
      <c r="B1939" t="s">
        <v>9222</v>
      </c>
    </row>
    <row r="1940" spans="1:2" x14ac:dyDescent="0.25">
      <c r="A1940" t="s">
        <v>1966</v>
      </c>
      <c r="B1940" t="s">
        <v>9223</v>
      </c>
    </row>
    <row r="1941" spans="1:2" x14ac:dyDescent="0.25">
      <c r="A1941" t="s">
        <v>1967</v>
      </c>
      <c r="B1941" t="s">
        <v>9224</v>
      </c>
    </row>
    <row r="1942" spans="1:2" x14ac:dyDescent="0.25">
      <c r="A1942" t="s">
        <v>1968</v>
      </c>
      <c r="B1942" t="s">
        <v>9225</v>
      </c>
    </row>
    <row r="1943" spans="1:2" x14ac:dyDescent="0.25">
      <c r="A1943" t="s">
        <v>1969</v>
      </c>
      <c r="B1943" t="s">
        <v>9226</v>
      </c>
    </row>
    <row r="1944" spans="1:2" x14ac:dyDescent="0.25">
      <c r="A1944" t="s">
        <v>1970</v>
      </c>
      <c r="B1944" t="s">
        <v>9227</v>
      </c>
    </row>
    <row r="1945" spans="1:2" x14ac:dyDescent="0.25">
      <c r="A1945" t="s">
        <v>1971</v>
      </c>
      <c r="B1945" t="s">
        <v>9228</v>
      </c>
    </row>
    <row r="1946" spans="1:2" x14ac:dyDescent="0.25">
      <c r="A1946" t="s">
        <v>1972</v>
      </c>
      <c r="B1946" t="s">
        <v>9229</v>
      </c>
    </row>
    <row r="1947" spans="1:2" x14ac:dyDescent="0.25">
      <c r="A1947" t="s">
        <v>1973</v>
      </c>
      <c r="B1947" t="s">
        <v>9230</v>
      </c>
    </row>
    <row r="1948" spans="1:2" x14ac:dyDescent="0.25">
      <c r="A1948" t="s">
        <v>1974</v>
      </c>
      <c r="B1948" t="s">
        <v>9231</v>
      </c>
    </row>
    <row r="1949" spans="1:2" x14ac:dyDescent="0.25">
      <c r="A1949" t="s">
        <v>1975</v>
      </c>
      <c r="B1949" t="s">
        <v>9232</v>
      </c>
    </row>
    <row r="1950" spans="1:2" x14ac:dyDescent="0.25">
      <c r="A1950" t="s">
        <v>1976</v>
      </c>
      <c r="B1950" t="s">
        <v>9233</v>
      </c>
    </row>
    <row r="1951" spans="1:2" x14ac:dyDescent="0.25">
      <c r="A1951" t="s">
        <v>1977</v>
      </c>
      <c r="B1951" t="s">
        <v>9234</v>
      </c>
    </row>
    <row r="1952" spans="1:2" x14ac:dyDescent="0.25">
      <c r="A1952" t="s">
        <v>1978</v>
      </c>
      <c r="B1952" t="s">
        <v>9235</v>
      </c>
    </row>
    <row r="1953" spans="1:2" x14ac:dyDescent="0.25">
      <c r="A1953" t="s">
        <v>1979</v>
      </c>
      <c r="B1953" t="s">
        <v>9236</v>
      </c>
    </row>
    <row r="1954" spans="1:2" x14ac:dyDescent="0.25">
      <c r="A1954" t="s">
        <v>1980</v>
      </c>
      <c r="B1954" t="s">
        <v>9237</v>
      </c>
    </row>
    <row r="1955" spans="1:2" x14ac:dyDescent="0.25">
      <c r="A1955" t="s">
        <v>1981</v>
      </c>
      <c r="B1955" t="s">
        <v>9238</v>
      </c>
    </row>
    <row r="1956" spans="1:2" x14ac:dyDescent="0.25">
      <c r="A1956" t="s">
        <v>1982</v>
      </c>
      <c r="B1956" t="s">
        <v>9239</v>
      </c>
    </row>
    <row r="1957" spans="1:2" x14ac:dyDescent="0.25">
      <c r="A1957" t="s">
        <v>1983</v>
      </c>
      <c r="B1957" t="s">
        <v>9240</v>
      </c>
    </row>
    <row r="1958" spans="1:2" x14ac:dyDescent="0.25">
      <c r="A1958" t="s">
        <v>1984</v>
      </c>
      <c r="B1958" t="s">
        <v>9241</v>
      </c>
    </row>
    <row r="1959" spans="1:2" x14ac:dyDescent="0.25">
      <c r="A1959" t="s">
        <v>1985</v>
      </c>
      <c r="B1959" t="s">
        <v>9242</v>
      </c>
    </row>
    <row r="1960" spans="1:2" x14ac:dyDescent="0.25">
      <c r="A1960" t="s">
        <v>1986</v>
      </c>
      <c r="B1960" t="s">
        <v>9243</v>
      </c>
    </row>
    <row r="1961" spans="1:2" x14ac:dyDescent="0.25">
      <c r="A1961" t="s">
        <v>1987</v>
      </c>
      <c r="B1961" t="s">
        <v>9244</v>
      </c>
    </row>
    <row r="1962" spans="1:2" x14ac:dyDescent="0.25">
      <c r="A1962" t="s">
        <v>1988</v>
      </c>
      <c r="B1962" t="s">
        <v>9245</v>
      </c>
    </row>
    <row r="1963" spans="1:2" x14ac:dyDescent="0.25">
      <c r="A1963" t="s">
        <v>1989</v>
      </c>
      <c r="B1963" t="s">
        <v>9246</v>
      </c>
    </row>
    <row r="1964" spans="1:2" x14ac:dyDescent="0.25">
      <c r="A1964" t="s">
        <v>1990</v>
      </c>
      <c r="B1964" t="s">
        <v>9247</v>
      </c>
    </row>
    <row r="1965" spans="1:2" x14ac:dyDescent="0.25">
      <c r="A1965" t="s">
        <v>1991</v>
      </c>
      <c r="B1965" t="s">
        <v>9248</v>
      </c>
    </row>
    <row r="1966" spans="1:2" x14ac:dyDescent="0.25">
      <c r="A1966" t="s">
        <v>1992</v>
      </c>
      <c r="B1966" t="s">
        <v>9249</v>
      </c>
    </row>
    <row r="1967" spans="1:2" x14ac:dyDescent="0.25">
      <c r="A1967" t="s">
        <v>1993</v>
      </c>
      <c r="B1967" t="s">
        <v>9250</v>
      </c>
    </row>
    <row r="1968" spans="1:2" x14ac:dyDescent="0.25">
      <c r="A1968" t="s">
        <v>1994</v>
      </c>
      <c r="B1968" t="s">
        <v>9251</v>
      </c>
    </row>
    <row r="1969" spans="1:2" x14ac:dyDescent="0.25">
      <c r="A1969" t="s">
        <v>1995</v>
      </c>
      <c r="B1969" t="s">
        <v>9252</v>
      </c>
    </row>
    <row r="1970" spans="1:2" x14ac:dyDescent="0.25">
      <c r="A1970" t="s">
        <v>1996</v>
      </c>
      <c r="B1970" t="s">
        <v>9253</v>
      </c>
    </row>
    <row r="1971" spans="1:2" x14ac:dyDescent="0.25">
      <c r="A1971" t="s">
        <v>1997</v>
      </c>
      <c r="B1971" t="s">
        <v>9254</v>
      </c>
    </row>
    <row r="1972" spans="1:2" x14ac:dyDescent="0.25">
      <c r="A1972" t="s">
        <v>1998</v>
      </c>
      <c r="B1972" t="s">
        <v>9255</v>
      </c>
    </row>
    <row r="1973" spans="1:2" x14ac:dyDescent="0.25">
      <c r="A1973" t="s">
        <v>1999</v>
      </c>
      <c r="B1973" t="s">
        <v>9256</v>
      </c>
    </row>
    <row r="1974" spans="1:2" x14ac:dyDescent="0.25">
      <c r="A1974" t="s">
        <v>2000</v>
      </c>
      <c r="B1974" t="s">
        <v>9257</v>
      </c>
    </row>
    <row r="1975" spans="1:2" x14ac:dyDescent="0.25">
      <c r="A1975" t="s">
        <v>2001</v>
      </c>
      <c r="B1975" t="s">
        <v>9258</v>
      </c>
    </row>
    <row r="1976" spans="1:2" x14ac:dyDescent="0.25">
      <c r="A1976" t="s">
        <v>2002</v>
      </c>
      <c r="B1976" t="s">
        <v>9259</v>
      </c>
    </row>
    <row r="1977" spans="1:2" x14ac:dyDescent="0.25">
      <c r="A1977" t="s">
        <v>2003</v>
      </c>
      <c r="B1977" t="s">
        <v>9260</v>
      </c>
    </row>
    <row r="1978" spans="1:2" x14ac:dyDescent="0.25">
      <c r="A1978" t="s">
        <v>2004</v>
      </c>
      <c r="B1978" t="s">
        <v>9261</v>
      </c>
    </row>
    <row r="1979" spans="1:2" x14ac:dyDescent="0.25">
      <c r="A1979" t="s">
        <v>2005</v>
      </c>
      <c r="B1979" t="s">
        <v>9262</v>
      </c>
    </row>
    <row r="1980" spans="1:2" x14ac:dyDescent="0.25">
      <c r="A1980" t="s">
        <v>2006</v>
      </c>
      <c r="B1980" t="s">
        <v>9263</v>
      </c>
    </row>
    <row r="1981" spans="1:2" x14ac:dyDescent="0.25">
      <c r="A1981" t="s">
        <v>2007</v>
      </c>
      <c r="B1981" t="s">
        <v>9264</v>
      </c>
    </row>
    <row r="1982" spans="1:2" x14ac:dyDescent="0.25">
      <c r="A1982" t="s">
        <v>2008</v>
      </c>
      <c r="B1982" t="s">
        <v>9265</v>
      </c>
    </row>
    <row r="1983" spans="1:2" x14ac:dyDescent="0.25">
      <c r="A1983" t="s">
        <v>2009</v>
      </c>
      <c r="B1983" t="s">
        <v>9266</v>
      </c>
    </row>
    <row r="1984" spans="1:2" x14ac:dyDescent="0.25">
      <c r="A1984" t="s">
        <v>2010</v>
      </c>
      <c r="B1984" t="s">
        <v>9267</v>
      </c>
    </row>
    <row r="1985" spans="1:2" x14ac:dyDescent="0.25">
      <c r="A1985" t="s">
        <v>2011</v>
      </c>
      <c r="B1985" t="s">
        <v>9268</v>
      </c>
    </row>
    <row r="1986" spans="1:2" x14ac:dyDescent="0.25">
      <c r="A1986" t="s">
        <v>2012</v>
      </c>
      <c r="B1986" t="s">
        <v>9269</v>
      </c>
    </row>
    <row r="1987" spans="1:2" x14ac:dyDescent="0.25">
      <c r="A1987" t="s">
        <v>2013</v>
      </c>
      <c r="B1987" t="s">
        <v>9270</v>
      </c>
    </row>
    <row r="1988" spans="1:2" x14ac:dyDescent="0.25">
      <c r="A1988" t="s">
        <v>2014</v>
      </c>
      <c r="B1988" t="s">
        <v>9271</v>
      </c>
    </row>
    <row r="1989" spans="1:2" x14ac:dyDescent="0.25">
      <c r="A1989" t="s">
        <v>2015</v>
      </c>
      <c r="B1989" t="s">
        <v>9272</v>
      </c>
    </row>
    <row r="1990" spans="1:2" x14ac:dyDescent="0.25">
      <c r="A1990" t="s">
        <v>2016</v>
      </c>
      <c r="B1990" t="s">
        <v>9273</v>
      </c>
    </row>
    <row r="1991" spans="1:2" x14ac:dyDescent="0.25">
      <c r="A1991" t="s">
        <v>2017</v>
      </c>
      <c r="B1991" t="s">
        <v>9274</v>
      </c>
    </row>
    <row r="1992" spans="1:2" x14ac:dyDescent="0.25">
      <c r="A1992" t="s">
        <v>2018</v>
      </c>
      <c r="B1992" t="s">
        <v>9275</v>
      </c>
    </row>
    <row r="1993" spans="1:2" x14ac:dyDescent="0.25">
      <c r="A1993" t="s">
        <v>2019</v>
      </c>
      <c r="B1993" t="s">
        <v>9276</v>
      </c>
    </row>
    <row r="1994" spans="1:2" x14ac:dyDescent="0.25">
      <c r="A1994" t="s">
        <v>2020</v>
      </c>
      <c r="B1994" t="s">
        <v>9277</v>
      </c>
    </row>
    <row r="1995" spans="1:2" x14ac:dyDescent="0.25">
      <c r="A1995" t="s">
        <v>2021</v>
      </c>
      <c r="B1995" t="s">
        <v>9278</v>
      </c>
    </row>
    <row r="1996" spans="1:2" x14ac:dyDescent="0.25">
      <c r="A1996" t="s">
        <v>2022</v>
      </c>
      <c r="B1996" t="s">
        <v>9279</v>
      </c>
    </row>
    <row r="1997" spans="1:2" x14ac:dyDescent="0.25">
      <c r="A1997" t="s">
        <v>2023</v>
      </c>
      <c r="B1997" t="s">
        <v>9280</v>
      </c>
    </row>
    <row r="1998" spans="1:2" x14ac:dyDescent="0.25">
      <c r="A1998" t="s">
        <v>2024</v>
      </c>
      <c r="B1998" t="s">
        <v>9281</v>
      </c>
    </row>
    <row r="1999" spans="1:2" x14ac:dyDescent="0.25">
      <c r="A1999" t="s">
        <v>2025</v>
      </c>
      <c r="B1999" t="s">
        <v>9282</v>
      </c>
    </row>
    <row r="2000" spans="1:2" x14ac:dyDescent="0.25">
      <c r="A2000" t="s">
        <v>2026</v>
      </c>
      <c r="B2000" t="s">
        <v>9283</v>
      </c>
    </row>
    <row r="2001" spans="1:2" x14ac:dyDescent="0.25">
      <c r="A2001" t="s">
        <v>2027</v>
      </c>
      <c r="B2001" t="s">
        <v>9284</v>
      </c>
    </row>
    <row r="2002" spans="1:2" x14ac:dyDescent="0.25">
      <c r="A2002" t="s">
        <v>2028</v>
      </c>
      <c r="B2002" t="s">
        <v>9285</v>
      </c>
    </row>
    <row r="2003" spans="1:2" x14ac:dyDescent="0.25">
      <c r="A2003" t="s">
        <v>2029</v>
      </c>
      <c r="B2003" t="s">
        <v>9286</v>
      </c>
    </row>
    <row r="2004" spans="1:2" x14ac:dyDescent="0.25">
      <c r="A2004" t="s">
        <v>2030</v>
      </c>
      <c r="B2004" t="s">
        <v>9287</v>
      </c>
    </row>
    <row r="2005" spans="1:2" x14ac:dyDescent="0.25">
      <c r="A2005" t="s">
        <v>2031</v>
      </c>
      <c r="B2005" t="s">
        <v>9288</v>
      </c>
    </row>
    <row r="2006" spans="1:2" x14ac:dyDescent="0.25">
      <c r="A2006" t="s">
        <v>2032</v>
      </c>
      <c r="B2006" t="s">
        <v>9289</v>
      </c>
    </row>
    <row r="2007" spans="1:2" x14ac:dyDescent="0.25">
      <c r="A2007" t="s">
        <v>2033</v>
      </c>
      <c r="B2007" t="s">
        <v>9290</v>
      </c>
    </row>
    <row r="2008" spans="1:2" x14ac:dyDescent="0.25">
      <c r="A2008" t="s">
        <v>2034</v>
      </c>
      <c r="B2008" t="s">
        <v>9291</v>
      </c>
    </row>
    <row r="2009" spans="1:2" x14ac:dyDescent="0.25">
      <c r="A2009" t="s">
        <v>2035</v>
      </c>
      <c r="B2009" t="s">
        <v>9292</v>
      </c>
    </row>
    <row r="2010" spans="1:2" x14ac:dyDescent="0.25">
      <c r="A2010" t="s">
        <v>2036</v>
      </c>
      <c r="B2010" t="s">
        <v>9293</v>
      </c>
    </row>
    <row r="2011" spans="1:2" x14ac:dyDescent="0.25">
      <c r="A2011" t="s">
        <v>2037</v>
      </c>
      <c r="B2011" t="s">
        <v>9294</v>
      </c>
    </row>
    <row r="2012" spans="1:2" x14ac:dyDescent="0.25">
      <c r="A2012" t="s">
        <v>2038</v>
      </c>
      <c r="B2012" t="s">
        <v>9295</v>
      </c>
    </row>
    <row r="2013" spans="1:2" x14ac:dyDescent="0.25">
      <c r="A2013" t="s">
        <v>2039</v>
      </c>
      <c r="B2013" t="s">
        <v>9296</v>
      </c>
    </row>
    <row r="2014" spans="1:2" x14ac:dyDescent="0.25">
      <c r="A2014" t="s">
        <v>2040</v>
      </c>
      <c r="B2014" t="s">
        <v>9297</v>
      </c>
    </row>
    <row r="2015" spans="1:2" x14ac:dyDescent="0.25">
      <c r="A2015" t="s">
        <v>2041</v>
      </c>
      <c r="B2015" t="s">
        <v>9298</v>
      </c>
    </row>
    <row r="2016" spans="1:2" x14ac:dyDescent="0.25">
      <c r="A2016" t="s">
        <v>2042</v>
      </c>
      <c r="B2016" t="s">
        <v>9299</v>
      </c>
    </row>
    <row r="2017" spans="1:2" x14ac:dyDescent="0.25">
      <c r="A2017" t="s">
        <v>2043</v>
      </c>
      <c r="B2017" t="s">
        <v>9300</v>
      </c>
    </row>
    <row r="2018" spans="1:2" x14ac:dyDescent="0.25">
      <c r="A2018" t="s">
        <v>2044</v>
      </c>
      <c r="B2018" t="s">
        <v>9301</v>
      </c>
    </row>
    <row r="2019" spans="1:2" x14ac:dyDescent="0.25">
      <c r="A2019" t="s">
        <v>2045</v>
      </c>
      <c r="B2019" t="s">
        <v>9302</v>
      </c>
    </row>
    <row r="2020" spans="1:2" x14ac:dyDescent="0.25">
      <c r="A2020" t="s">
        <v>2046</v>
      </c>
      <c r="B2020" t="s">
        <v>9303</v>
      </c>
    </row>
    <row r="2021" spans="1:2" x14ac:dyDescent="0.25">
      <c r="A2021" t="s">
        <v>2047</v>
      </c>
      <c r="B2021" t="s">
        <v>9304</v>
      </c>
    </row>
    <row r="2022" spans="1:2" x14ac:dyDescent="0.25">
      <c r="A2022" t="s">
        <v>2048</v>
      </c>
      <c r="B2022" t="s">
        <v>9305</v>
      </c>
    </row>
    <row r="2023" spans="1:2" x14ac:dyDescent="0.25">
      <c r="A2023" t="s">
        <v>2049</v>
      </c>
      <c r="B2023" t="s">
        <v>9306</v>
      </c>
    </row>
    <row r="2024" spans="1:2" x14ac:dyDescent="0.25">
      <c r="A2024" t="s">
        <v>2050</v>
      </c>
      <c r="B2024" t="s">
        <v>9307</v>
      </c>
    </row>
    <row r="2025" spans="1:2" x14ac:dyDescent="0.25">
      <c r="A2025" t="s">
        <v>2051</v>
      </c>
      <c r="B2025" t="s">
        <v>9308</v>
      </c>
    </row>
    <row r="2026" spans="1:2" x14ac:dyDescent="0.25">
      <c r="A2026" t="s">
        <v>2052</v>
      </c>
      <c r="B2026" t="s">
        <v>9309</v>
      </c>
    </row>
    <row r="2027" spans="1:2" x14ac:dyDescent="0.25">
      <c r="A2027" t="s">
        <v>2053</v>
      </c>
      <c r="B2027" t="s">
        <v>9310</v>
      </c>
    </row>
    <row r="2028" spans="1:2" x14ac:dyDescent="0.25">
      <c r="A2028" t="s">
        <v>2054</v>
      </c>
      <c r="B2028" t="s">
        <v>9311</v>
      </c>
    </row>
    <row r="2029" spans="1:2" x14ac:dyDescent="0.25">
      <c r="A2029" t="s">
        <v>2055</v>
      </c>
      <c r="B2029" t="s">
        <v>9312</v>
      </c>
    </row>
    <row r="2030" spans="1:2" x14ac:dyDescent="0.25">
      <c r="A2030" t="s">
        <v>2056</v>
      </c>
      <c r="B2030" t="s">
        <v>9313</v>
      </c>
    </row>
    <row r="2031" spans="1:2" x14ac:dyDescent="0.25">
      <c r="A2031" t="s">
        <v>2057</v>
      </c>
      <c r="B2031" t="s">
        <v>9314</v>
      </c>
    </row>
    <row r="2032" spans="1:2" x14ac:dyDescent="0.25">
      <c r="A2032" t="s">
        <v>2058</v>
      </c>
      <c r="B2032" t="s">
        <v>9315</v>
      </c>
    </row>
    <row r="2033" spans="1:2" x14ac:dyDescent="0.25">
      <c r="A2033" t="s">
        <v>2059</v>
      </c>
      <c r="B2033" t="s">
        <v>9316</v>
      </c>
    </row>
    <row r="2034" spans="1:2" x14ac:dyDescent="0.25">
      <c r="A2034" t="s">
        <v>2060</v>
      </c>
      <c r="B2034" t="s">
        <v>9317</v>
      </c>
    </row>
    <row r="2035" spans="1:2" x14ac:dyDescent="0.25">
      <c r="A2035" t="s">
        <v>2061</v>
      </c>
      <c r="B2035" t="s">
        <v>9318</v>
      </c>
    </row>
    <row r="2036" spans="1:2" x14ac:dyDescent="0.25">
      <c r="A2036" t="s">
        <v>2062</v>
      </c>
      <c r="B2036" t="s">
        <v>9319</v>
      </c>
    </row>
    <row r="2037" spans="1:2" x14ac:dyDescent="0.25">
      <c r="A2037" t="s">
        <v>2063</v>
      </c>
      <c r="B2037" t="s">
        <v>9320</v>
      </c>
    </row>
    <row r="2038" spans="1:2" x14ac:dyDescent="0.25">
      <c r="A2038" t="s">
        <v>2064</v>
      </c>
      <c r="B2038" t="s">
        <v>9321</v>
      </c>
    </row>
    <row r="2039" spans="1:2" x14ac:dyDescent="0.25">
      <c r="A2039" t="s">
        <v>2065</v>
      </c>
      <c r="B2039" t="s">
        <v>9322</v>
      </c>
    </row>
    <row r="2040" spans="1:2" x14ac:dyDescent="0.25">
      <c r="A2040" t="s">
        <v>2066</v>
      </c>
      <c r="B2040" t="s">
        <v>9323</v>
      </c>
    </row>
    <row r="2041" spans="1:2" x14ac:dyDescent="0.25">
      <c r="A2041" t="s">
        <v>2067</v>
      </c>
      <c r="B2041" t="s">
        <v>9324</v>
      </c>
    </row>
    <row r="2042" spans="1:2" x14ac:dyDescent="0.25">
      <c r="A2042" t="s">
        <v>2068</v>
      </c>
      <c r="B2042" t="s">
        <v>9325</v>
      </c>
    </row>
    <row r="2043" spans="1:2" x14ac:dyDescent="0.25">
      <c r="A2043" t="s">
        <v>2069</v>
      </c>
      <c r="B2043" t="s">
        <v>9326</v>
      </c>
    </row>
    <row r="2044" spans="1:2" x14ac:dyDescent="0.25">
      <c r="A2044" t="s">
        <v>2070</v>
      </c>
      <c r="B2044" t="s">
        <v>9327</v>
      </c>
    </row>
    <row r="2045" spans="1:2" x14ac:dyDescent="0.25">
      <c r="A2045" t="s">
        <v>2071</v>
      </c>
      <c r="B2045" t="s">
        <v>9328</v>
      </c>
    </row>
    <row r="2046" spans="1:2" x14ac:dyDescent="0.25">
      <c r="A2046" t="s">
        <v>2072</v>
      </c>
      <c r="B2046" t="s">
        <v>9329</v>
      </c>
    </row>
    <row r="2047" spans="1:2" x14ac:dyDescent="0.25">
      <c r="A2047" t="s">
        <v>2073</v>
      </c>
      <c r="B2047" t="s">
        <v>9330</v>
      </c>
    </row>
    <row r="2048" spans="1:2" x14ac:dyDescent="0.25">
      <c r="A2048" t="s">
        <v>2074</v>
      </c>
      <c r="B2048" t="s">
        <v>9331</v>
      </c>
    </row>
    <row r="2049" spans="1:2" x14ac:dyDescent="0.25">
      <c r="A2049" t="s">
        <v>2075</v>
      </c>
      <c r="B2049" t="s">
        <v>9332</v>
      </c>
    </row>
    <row r="2050" spans="1:2" x14ac:dyDescent="0.25">
      <c r="A2050" t="s">
        <v>2076</v>
      </c>
      <c r="B2050" t="s">
        <v>9333</v>
      </c>
    </row>
    <row r="2051" spans="1:2" x14ac:dyDescent="0.25">
      <c r="A2051" t="s">
        <v>2077</v>
      </c>
      <c r="B2051" t="s">
        <v>9334</v>
      </c>
    </row>
    <row r="2052" spans="1:2" x14ac:dyDescent="0.25">
      <c r="A2052" t="s">
        <v>2078</v>
      </c>
      <c r="B2052" t="s">
        <v>9335</v>
      </c>
    </row>
    <row r="2053" spans="1:2" x14ac:dyDescent="0.25">
      <c r="A2053" t="s">
        <v>2079</v>
      </c>
      <c r="B2053" t="s">
        <v>9336</v>
      </c>
    </row>
    <row r="2054" spans="1:2" x14ac:dyDescent="0.25">
      <c r="A2054" t="s">
        <v>2080</v>
      </c>
      <c r="B2054" t="s">
        <v>9337</v>
      </c>
    </row>
    <row r="2055" spans="1:2" x14ac:dyDescent="0.25">
      <c r="A2055" t="s">
        <v>2081</v>
      </c>
      <c r="B2055" t="s">
        <v>9338</v>
      </c>
    </row>
    <row r="2056" spans="1:2" x14ac:dyDescent="0.25">
      <c r="A2056" t="s">
        <v>2082</v>
      </c>
      <c r="B2056" t="s">
        <v>9339</v>
      </c>
    </row>
    <row r="2057" spans="1:2" x14ac:dyDescent="0.25">
      <c r="A2057" t="s">
        <v>2083</v>
      </c>
      <c r="B2057" t="s">
        <v>9340</v>
      </c>
    </row>
    <row r="2058" spans="1:2" x14ac:dyDescent="0.25">
      <c r="A2058" t="s">
        <v>2084</v>
      </c>
      <c r="B2058" t="s">
        <v>9341</v>
      </c>
    </row>
    <row r="2059" spans="1:2" x14ac:dyDescent="0.25">
      <c r="A2059" t="s">
        <v>2085</v>
      </c>
      <c r="B2059" t="s">
        <v>9342</v>
      </c>
    </row>
    <row r="2060" spans="1:2" x14ac:dyDescent="0.25">
      <c r="A2060" t="s">
        <v>2086</v>
      </c>
      <c r="B2060" t="s">
        <v>9343</v>
      </c>
    </row>
    <row r="2061" spans="1:2" x14ac:dyDescent="0.25">
      <c r="A2061" t="s">
        <v>2087</v>
      </c>
      <c r="B2061" t="s">
        <v>9344</v>
      </c>
    </row>
    <row r="2062" spans="1:2" x14ac:dyDescent="0.25">
      <c r="A2062" t="s">
        <v>2088</v>
      </c>
      <c r="B2062" t="s">
        <v>9345</v>
      </c>
    </row>
    <row r="2063" spans="1:2" x14ac:dyDescent="0.25">
      <c r="A2063" t="s">
        <v>2089</v>
      </c>
      <c r="B2063" t="s">
        <v>9346</v>
      </c>
    </row>
    <row r="2064" spans="1:2" x14ac:dyDescent="0.25">
      <c r="A2064" t="s">
        <v>2090</v>
      </c>
      <c r="B2064" t="s">
        <v>9347</v>
      </c>
    </row>
    <row r="2065" spans="1:2" x14ac:dyDescent="0.25">
      <c r="A2065" t="s">
        <v>2091</v>
      </c>
      <c r="B2065" t="s">
        <v>9348</v>
      </c>
    </row>
    <row r="2066" spans="1:2" x14ac:dyDescent="0.25">
      <c r="A2066" t="s">
        <v>2092</v>
      </c>
      <c r="B2066" t="s">
        <v>9349</v>
      </c>
    </row>
    <row r="2067" spans="1:2" x14ac:dyDescent="0.25">
      <c r="A2067" t="s">
        <v>2093</v>
      </c>
      <c r="B2067" t="s">
        <v>9350</v>
      </c>
    </row>
    <row r="2068" spans="1:2" x14ac:dyDescent="0.25">
      <c r="A2068" t="s">
        <v>2094</v>
      </c>
      <c r="B2068" t="s">
        <v>9351</v>
      </c>
    </row>
    <row r="2069" spans="1:2" x14ac:dyDescent="0.25">
      <c r="A2069" t="s">
        <v>2095</v>
      </c>
      <c r="B2069" t="s">
        <v>9352</v>
      </c>
    </row>
    <row r="2070" spans="1:2" x14ac:dyDescent="0.25">
      <c r="A2070" t="s">
        <v>2096</v>
      </c>
      <c r="B2070" t="s">
        <v>9353</v>
      </c>
    </row>
    <row r="2071" spans="1:2" x14ac:dyDescent="0.25">
      <c r="A2071" t="s">
        <v>2097</v>
      </c>
      <c r="B2071" t="s">
        <v>9354</v>
      </c>
    </row>
    <row r="2072" spans="1:2" x14ac:dyDescent="0.25">
      <c r="A2072" t="s">
        <v>2098</v>
      </c>
      <c r="B2072" t="s">
        <v>9355</v>
      </c>
    </row>
    <row r="2073" spans="1:2" x14ac:dyDescent="0.25">
      <c r="A2073" t="s">
        <v>2099</v>
      </c>
      <c r="B2073" t="s">
        <v>9356</v>
      </c>
    </row>
    <row r="2074" spans="1:2" x14ac:dyDescent="0.25">
      <c r="A2074" t="s">
        <v>2100</v>
      </c>
      <c r="B2074" t="s">
        <v>9357</v>
      </c>
    </row>
    <row r="2075" spans="1:2" x14ac:dyDescent="0.25">
      <c r="A2075" t="s">
        <v>2101</v>
      </c>
      <c r="B2075" t="s">
        <v>9358</v>
      </c>
    </row>
    <row r="2076" spans="1:2" x14ac:dyDescent="0.25">
      <c r="A2076" t="s">
        <v>2102</v>
      </c>
      <c r="B2076" t="s">
        <v>9359</v>
      </c>
    </row>
    <row r="2077" spans="1:2" x14ac:dyDescent="0.25">
      <c r="A2077" t="s">
        <v>2103</v>
      </c>
      <c r="B2077" t="s">
        <v>9360</v>
      </c>
    </row>
    <row r="2078" spans="1:2" x14ac:dyDescent="0.25">
      <c r="A2078" t="s">
        <v>2104</v>
      </c>
      <c r="B2078" t="s">
        <v>9361</v>
      </c>
    </row>
    <row r="2079" spans="1:2" x14ac:dyDescent="0.25">
      <c r="A2079" t="s">
        <v>2105</v>
      </c>
      <c r="B2079" t="s">
        <v>9362</v>
      </c>
    </row>
    <row r="2080" spans="1:2" x14ac:dyDescent="0.25">
      <c r="A2080" t="s">
        <v>2106</v>
      </c>
      <c r="B2080" t="s">
        <v>9363</v>
      </c>
    </row>
    <row r="2081" spans="1:2" x14ac:dyDescent="0.25">
      <c r="A2081" t="s">
        <v>2107</v>
      </c>
      <c r="B2081" t="s">
        <v>9364</v>
      </c>
    </row>
    <row r="2082" spans="1:2" x14ac:dyDescent="0.25">
      <c r="A2082" t="s">
        <v>2108</v>
      </c>
      <c r="B2082" t="s">
        <v>9365</v>
      </c>
    </row>
    <row r="2083" spans="1:2" x14ac:dyDescent="0.25">
      <c r="A2083" t="s">
        <v>2109</v>
      </c>
      <c r="B2083" t="s">
        <v>9366</v>
      </c>
    </row>
    <row r="2084" spans="1:2" x14ac:dyDescent="0.25">
      <c r="A2084" t="s">
        <v>2110</v>
      </c>
      <c r="B2084" t="s">
        <v>9367</v>
      </c>
    </row>
    <row r="2085" spans="1:2" x14ac:dyDescent="0.25">
      <c r="A2085" t="s">
        <v>2111</v>
      </c>
      <c r="B2085" t="s">
        <v>9368</v>
      </c>
    </row>
    <row r="2086" spans="1:2" x14ac:dyDescent="0.25">
      <c r="A2086" t="s">
        <v>2112</v>
      </c>
      <c r="B2086" t="s">
        <v>9369</v>
      </c>
    </row>
    <row r="2087" spans="1:2" x14ac:dyDescent="0.25">
      <c r="A2087" t="s">
        <v>2113</v>
      </c>
      <c r="B2087" t="s">
        <v>9370</v>
      </c>
    </row>
    <row r="2088" spans="1:2" x14ac:dyDescent="0.25">
      <c r="A2088" t="s">
        <v>2114</v>
      </c>
      <c r="B2088" t="s">
        <v>9371</v>
      </c>
    </row>
    <row r="2089" spans="1:2" x14ac:dyDescent="0.25">
      <c r="A2089" t="s">
        <v>2115</v>
      </c>
      <c r="B2089" t="s">
        <v>9372</v>
      </c>
    </row>
    <row r="2090" spans="1:2" x14ac:dyDescent="0.25">
      <c r="A2090" t="s">
        <v>2116</v>
      </c>
      <c r="B2090" t="s">
        <v>9373</v>
      </c>
    </row>
    <row r="2091" spans="1:2" x14ac:dyDescent="0.25">
      <c r="A2091" t="s">
        <v>2117</v>
      </c>
      <c r="B2091" t="s">
        <v>9374</v>
      </c>
    </row>
    <row r="2092" spans="1:2" x14ac:dyDescent="0.25">
      <c r="A2092" t="s">
        <v>2118</v>
      </c>
      <c r="B2092" t="s">
        <v>9375</v>
      </c>
    </row>
    <row r="2093" spans="1:2" x14ac:dyDescent="0.25">
      <c r="A2093" t="s">
        <v>2119</v>
      </c>
      <c r="B2093" t="s">
        <v>9376</v>
      </c>
    </row>
    <row r="2094" spans="1:2" x14ac:dyDescent="0.25">
      <c r="A2094" t="s">
        <v>2120</v>
      </c>
      <c r="B2094" t="s">
        <v>9377</v>
      </c>
    </row>
    <row r="2095" spans="1:2" x14ac:dyDescent="0.25">
      <c r="A2095" t="s">
        <v>2121</v>
      </c>
      <c r="B2095" t="s">
        <v>9378</v>
      </c>
    </row>
    <row r="2096" spans="1:2" x14ac:dyDescent="0.25">
      <c r="A2096" t="s">
        <v>2122</v>
      </c>
      <c r="B2096" t="s">
        <v>9379</v>
      </c>
    </row>
    <row r="2097" spans="1:2" x14ac:dyDescent="0.25">
      <c r="A2097" t="s">
        <v>2123</v>
      </c>
      <c r="B2097" t="s">
        <v>9380</v>
      </c>
    </row>
    <row r="2098" spans="1:2" x14ac:dyDescent="0.25">
      <c r="A2098" t="s">
        <v>2124</v>
      </c>
      <c r="B2098" t="s">
        <v>9381</v>
      </c>
    </row>
    <row r="2099" spans="1:2" x14ac:dyDescent="0.25">
      <c r="A2099" t="s">
        <v>2125</v>
      </c>
      <c r="B2099" t="s">
        <v>9382</v>
      </c>
    </row>
    <row r="2100" spans="1:2" x14ac:dyDescent="0.25">
      <c r="A2100" t="s">
        <v>2126</v>
      </c>
      <c r="B2100" t="s">
        <v>9383</v>
      </c>
    </row>
    <row r="2101" spans="1:2" x14ac:dyDescent="0.25">
      <c r="A2101" t="s">
        <v>2127</v>
      </c>
      <c r="B2101" t="s">
        <v>9384</v>
      </c>
    </row>
    <row r="2102" spans="1:2" x14ac:dyDescent="0.25">
      <c r="A2102" t="s">
        <v>2128</v>
      </c>
      <c r="B2102" t="s">
        <v>9385</v>
      </c>
    </row>
    <row r="2103" spans="1:2" x14ac:dyDescent="0.25">
      <c r="A2103" t="s">
        <v>2129</v>
      </c>
      <c r="B2103" t="s">
        <v>9386</v>
      </c>
    </row>
    <row r="2104" spans="1:2" x14ac:dyDescent="0.25">
      <c r="A2104" t="s">
        <v>2130</v>
      </c>
      <c r="B2104" t="s">
        <v>9387</v>
      </c>
    </row>
    <row r="2105" spans="1:2" x14ac:dyDescent="0.25">
      <c r="A2105" t="s">
        <v>2131</v>
      </c>
      <c r="B2105" t="s">
        <v>9388</v>
      </c>
    </row>
    <row r="2106" spans="1:2" x14ac:dyDescent="0.25">
      <c r="A2106" t="s">
        <v>2132</v>
      </c>
      <c r="B2106" t="s">
        <v>9389</v>
      </c>
    </row>
    <row r="2107" spans="1:2" x14ac:dyDescent="0.25">
      <c r="A2107" t="s">
        <v>2133</v>
      </c>
      <c r="B2107" t="s">
        <v>9390</v>
      </c>
    </row>
    <row r="2108" spans="1:2" x14ac:dyDescent="0.25">
      <c r="A2108" t="s">
        <v>2134</v>
      </c>
      <c r="B2108" t="s">
        <v>9391</v>
      </c>
    </row>
    <row r="2109" spans="1:2" x14ac:dyDescent="0.25">
      <c r="A2109" t="s">
        <v>2135</v>
      </c>
      <c r="B2109" t="s">
        <v>9392</v>
      </c>
    </row>
    <row r="2110" spans="1:2" x14ac:dyDescent="0.25">
      <c r="A2110" t="s">
        <v>2136</v>
      </c>
      <c r="B2110" t="s">
        <v>9393</v>
      </c>
    </row>
    <row r="2111" spans="1:2" x14ac:dyDescent="0.25">
      <c r="A2111" t="s">
        <v>2137</v>
      </c>
      <c r="B2111" t="s">
        <v>9394</v>
      </c>
    </row>
    <row r="2112" spans="1:2" x14ac:dyDescent="0.25">
      <c r="A2112" t="s">
        <v>2138</v>
      </c>
      <c r="B2112" t="s">
        <v>9395</v>
      </c>
    </row>
    <row r="2113" spans="1:2" x14ac:dyDescent="0.25">
      <c r="A2113" t="s">
        <v>2139</v>
      </c>
      <c r="B2113" t="s">
        <v>9396</v>
      </c>
    </row>
    <row r="2114" spans="1:2" x14ac:dyDescent="0.25">
      <c r="A2114" t="s">
        <v>2140</v>
      </c>
      <c r="B2114" t="s">
        <v>9397</v>
      </c>
    </row>
    <row r="2115" spans="1:2" x14ac:dyDescent="0.25">
      <c r="A2115" t="s">
        <v>2141</v>
      </c>
      <c r="B2115" t="s">
        <v>9398</v>
      </c>
    </row>
    <row r="2116" spans="1:2" x14ac:dyDescent="0.25">
      <c r="A2116" t="s">
        <v>2142</v>
      </c>
      <c r="B2116" t="s">
        <v>9399</v>
      </c>
    </row>
    <row r="2117" spans="1:2" x14ac:dyDescent="0.25">
      <c r="A2117" t="s">
        <v>2143</v>
      </c>
      <c r="B2117" t="s">
        <v>9400</v>
      </c>
    </row>
    <row r="2118" spans="1:2" x14ac:dyDescent="0.25">
      <c r="A2118" t="s">
        <v>2144</v>
      </c>
      <c r="B2118" t="s">
        <v>9401</v>
      </c>
    </row>
    <row r="2119" spans="1:2" x14ac:dyDescent="0.25">
      <c r="A2119" t="s">
        <v>2145</v>
      </c>
      <c r="B2119" t="s">
        <v>9402</v>
      </c>
    </row>
    <row r="2120" spans="1:2" x14ac:dyDescent="0.25">
      <c r="A2120" t="s">
        <v>2146</v>
      </c>
      <c r="B2120" t="s">
        <v>9403</v>
      </c>
    </row>
    <row r="2121" spans="1:2" x14ac:dyDescent="0.25">
      <c r="A2121" t="s">
        <v>2147</v>
      </c>
      <c r="B2121" t="s">
        <v>9404</v>
      </c>
    </row>
    <row r="2122" spans="1:2" x14ac:dyDescent="0.25">
      <c r="A2122" t="s">
        <v>2148</v>
      </c>
      <c r="B2122" t="s">
        <v>9405</v>
      </c>
    </row>
    <row r="2123" spans="1:2" x14ac:dyDescent="0.25">
      <c r="A2123" t="s">
        <v>2149</v>
      </c>
      <c r="B2123" t="s">
        <v>9406</v>
      </c>
    </row>
    <row r="2124" spans="1:2" x14ac:dyDescent="0.25">
      <c r="A2124" t="s">
        <v>2150</v>
      </c>
      <c r="B2124" t="s">
        <v>9407</v>
      </c>
    </row>
    <row r="2125" spans="1:2" x14ac:dyDescent="0.25">
      <c r="A2125" t="s">
        <v>2151</v>
      </c>
      <c r="B2125" t="s">
        <v>9408</v>
      </c>
    </row>
    <row r="2126" spans="1:2" x14ac:dyDescent="0.25">
      <c r="A2126" t="s">
        <v>2152</v>
      </c>
      <c r="B2126" t="s">
        <v>9409</v>
      </c>
    </row>
    <row r="2127" spans="1:2" x14ac:dyDescent="0.25">
      <c r="A2127" t="s">
        <v>2153</v>
      </c>
      <c r="B2127" t="s">
        <v>9410</v>
      </c>
    </row>
    <row r="2128" spans="1:2" x14ac:dyDescent="0.25">
      <c r="A2128" t="s">
        <v>2154</v>
      </c>
      <c r="B2128" t="s">
        <v>9411</v>
      </c>
    </row>
    <row r="2129" spans="1:2" x14ac:dyDescent="0.25">
      <c r="A2129" t="s">
        <v>2155</v>
      </c>
      <c r="B2129" t="s">
        <v>9412</v>
      </c>
    </row>
    <row r="2130" spans="1:2" x14ac:dyDescent="0.25">
      <c r="A2130" t="s">
        <v>2156</v>
      </c>
      <c r="B2130" t="s">
        <v>9413</v>
      </c>
    </row>
    <row r="2131" spans="1:2" x14ac:dyDescent="0.25">
      <c r="A2131" t="s">
        <v>2157</v>
      </c>
      <c r="B2131" t="s">
        <v>9414</v>
      </c>
    </row>
    <row r="2132" spans="1:2" x14ac:dyDescent="0.25">
      <c r="A2132" t="s">
        <v>2158</v>
      </c>
      <c r="B2132" t="s">
        <v>9415</v>
      </c>
    </row>
    <row r="2133" spans="1:2" x14ac:dyDescent="0.25">
      <c r="A2133" t="s">
        <v>2159</v>
      </c>
      <c r="B2133" t="s">
        <v>9416</v>
      </c>
    </row>
    <row r="2134" spans="1:2" x14ac:dyDescent="0.25">
      <c r="A2134" t="s">
        <v>2160</v>
      </c>
      <c r="B2134" t="s">
        <v>9417</v>
      </c>
    </row>
    <row r="2135" spans="1:2" x14ac:dyDescent="0.25">
      <c r="A2135" t="s">
        <v>2161</v>
      </c>
      <c r="B2135" t="s">
        <v>9418</v>
      </c>
    </row>
    <row r="2136" spans="1:2" x14ac:dyDescent="0.25">
      <c r="A2136" t="s">
        <v>2162</v>
      </c>
      <c r="B2136" t="s">
        <v>9419</v>
      </c>
    </row>
    <row r="2137" spans="1:2" x14ac:dyDescent="0.25">
      <c r="A2137" t="s">
        <v>2163</v>
      </c>
      <c r="B2137" t="s">
        <v>9420</v>
      </c>
    </row>
    <row r="2138" spans="1:2" x14ac:dyDescent="0.25">
      <c r="A2138" t="s">
        <v>2164</v>
      </c>
      <c r="B2138" t="s">
        <v>9421</v>
      </c>
    </row>
    <row r="2139" spans="1:2" x14ac:dyDescent="0.25">
      <c r="A2139" t="s">
        <v>2165</v>
      </c>
      <c r="B2139" t="s">
        <v>9422</v>
      </c>
    </row>
    <row r="2140" spans="1:2" x14ac:dyDescent="0.25">
      <c r="A2140" t="s">
        <v>2166</v>
      </c>
      <c r="B2140" t="s">
        <v>9423</v>
      </c>
    </row>
    <row r="2141" spans="1:2" x14ac:dyDescent="0.25">
      <c r="A2141" t="s">
        <v>2167</v>
      </c>
      <c r="B2141" t="s">
        <v>9424</v>
      </c>
    </row>
    <row r="2142" spans="1:2" x14ac:dyDescent="0.25">
      <c r="A2142" t="s">
        <v>2168</v>
      </c>
      <c r="B2142" t="s">
        <v>9425</v>
      </c>
    </row>
    <row r="2143" spans="1:2" x14ac:dyDescent="0.25">
      <c r="A2143" t="s">
        <v>2169</v>
      </c>
      <c r="B2143" t="s">
        <v>9426</v>
      </c>
    </row>
    <row r="2144" spans="1:2" x14ac:dyDescent="0.25">
      <c r="A2144" t="s">
        <v>2170</v>
      </c>
      <c r="B2144" t="s">
        <v>9427</v>
      </c>
    </row>
    <row r="2145" spans="1:2" x14ac:dyDescent="0.25">
      <c r="A2145" t="s">
        <v>2171</v>
      </c>
      <c r="B2145" t="s">
        <v>9428</v>
      </c>
    </row>
    <row r="2146" spans="1:2" x14ac:dyDescent="0.25">
      <c r="A2146" t="s">
        <v>2172</v>
      </c>
      <c r="B2146" t="s">
        <v>9429</v>
      </c>
    </row>
    <row r="2147" spans="1:2" x14ac:dyDescent="0.25">
      <c r="A2147" t="s">
        <v>2173</v>
      </c>
      <c r="B2147" t="s">
        <v>9430</v>
      </c>
    </row>
    <row r="2148" spans="1:2" x14ac:dyDescent="0.25">
      <c r="A2148" t="s">
        <v>2174</v>
      </c>
      <c r="B2148" t="s">
        <v>9431</v>
      </c>
    </row>
    <row r="2149" spans="1:2" x14ac:dyDescent="0.25">
      <c r="A2149" t="s">
        <v>2175</v>
      </c>
      <c r="B2149" t="s">
        <v>9432</v>
      </c>
    </row>
    <row r="2150" spans="1:2" x14ac:dyDescent="0.25">
      <c r="A2150" t="s">
        <v>2176</v>
      </c>
      <c r="B2150" t="s">
        <v>9433</v>
      </c>
    </row>
    <row r="2151" spans="1:2" x14ac:dyDescent="0.25">
      <c r="A2151" t="s">
        <v>2177</v>
      </c>
      <c r="B2151" t="s">
        <v>9434</v>
      </c>
    </row>
    <row r="2152" spans="1:2" x14ac:dyDescent="0.25">
      <c r="A2152" t="s">
        <v>2178</v>
      </c>
      <c r="B2152" t="s">
        <v>9435</v>
      </c>
    </row>
    <row r="2153" spans="1:2" x14ac:dyDescent="0.25">
      <c r="A2153" t="s">
        <v>2179</v>
      </c>
      <c r="B2153" t="s">
        <v>9436</v>
      </c>
    </row>
    <row r="2154" spans="1:2" x14ac:dyDescent="0.25">
      <c r="A2154" t="s">
        <v>2180</v>
      </c>
      <c r="B2154" t="s">
        <v>9437</v>
      </c>
    </row>
    <row r="2155" spans="1:2" x14ac:dyDescent="0.25">
      <c r="A2155" t="s">
        <v>2181</v>
      </c>
      <c r="B2155" t="s">
        <v>9438</v>
      </c>
    </row>
    <row r="2156" spans="1:2" x14ac:dyDescent="0.25">
      <c r="A2156" t="s">
        <v>2182</v>
      </c>
      <c r="B2156" t="s">
        <v>9439</v>
      </c>
    </row>
    <row r="2157" spans="1:2" x14ac:dyDescent="0.25">
      <c r="A2157" t="s">
        <v>2183</v>
      </c>
      <c r="B2157" t="s">
        <v>9440</v>
      </c>
    </row>
    <row r="2158" spans="1:2" x14ac:dyDescent="0.25">
      <c r="A2158" t="s">
        <v>2184</v>
      </c>
      <c r="B2158" t="s">
        <v>9441</v>
      </c>
    </row>
    <row r="2159" spans="1:2" x14ac:dyDescent="0.25">
      <c r="A2159" t="s">
        <v>2185</v>
      </c>
      <c r="B2159" t="s">
        <v>9442</v>
      </c>
    </row>
    <row r="2160" spans="1:2" x14ac:dyDescent="0.25">
      <c r="A2160" t="s">
        <v>2186</v>
      </c>
      <c r="B2160" t="s">
        <v>9443</v>
      </c>
    </row>
    <row r="2161" spans="1:2" x14ac:dyDescent="0.25">
      <c r="A2161" t="s">
        <v>2187</v>
      </c>
      <c r="B2161" t="s">
        <v>9444</v>
      </c>
    </row>
    <row r="2162" spans="1:2" x14ac:dyDescent="0.25">
      <c r="A2162" t="s">
        <v>2188</v>
      </c>
      <c r="B2162" t="s">
        <v>9445</v>
      </c>
    </row>
    <row r="2163" spans="1:2" x14ac:dyDescent="0.25">
      <c r="A2163" t="s">
        <v>2189</v>
      </c>
      <c r="B2163" t="s">
        <v>9446</v>
      </c>
    </row>
    <row r="2164" spans="1:2" x14ac:dyDescent="0.25">
      <c r="A2164" t="s">
        <v>2190</v>
      </c>
      <c r="B2164" t="s">
        <v>9447</v>
      </c>
    </row>
    <row r="2165" spans="1:2" x14ac:dyDescent="0.25">
      <c r="A2165" t="s">
        <v>2191</v>
      </c>
      <c r="B2165" t="s">
        <v>9448</v>
      </c>
    </row>
    <row r="2166" spans="1:2" x14ac:dyDescent="0.25">
      <c r="A2166" t="s">
        <v>2192</v>
      </c>
      <c r="B2166" t="s">
        <v>9449</v>
      </c>
    </row>
    <row r="2167" spans="1:2" x14ac:dyDescent="0.25">
      <c r="A2167" t="s">
        <v>2193</v>
      </c>
      <c r="B2167" t="s">
        <v>9450</v>
      </c>
    </row>
    <row r="2168" spans="1:2" x14ac:dyDescent="0.25">
      <c r="A2168" t="s">
        <v>2194</v>
      </c>
      <c r="B2168" t="s">
        <v>9451</v>
      </c>
    </row>
    <row r="2169" spans="1:2" x14ac:dyDescent="0.25">
      <c r="A2169" t="s">
        <v>2195</v>
      </c>
      <c r="B2169" t="s">
        <v>9452</v>
      </c>
    </row>
    <row r="2170" spans="1:2" x14ac:dyDescent="0.25">
      <c r="A2170" t="s">
        <v>2196</v>
      </c>
      <c r="B2170" t="s">
        <v>9453</v>
      </c>
    </row>
    <row r="2171" spans="1:2" x14ac:dyDescent="0.25">
      <c r="A2171" t="s">
        <v>2197</v>
      </c>
      <c r="B2171" t="s">
        <v>9454</v>
      </c>
    </row>
    <row r="2172" spans="1:2" x14ac:dyDescent="0.25">
      <c r="A2172" t="s">
        <v>2198</v>
      </c>
      <c r="B2172" t="s">
        <v>9455</v>
      </c>
    </row>
    <row r="2173" spans="1:2" x14ac:dyDescent="0.25">
      <c r="A2173" t="s">
        <v>2199</v>
      </c>
      <c r="B2173" t="s">
        <v>9456</v>
      </c>
    </row>
    <row r="2174" spans="1:2" x14ac:dyDescent="0.25">
      <c r="A2174" t="s">
        <v>2200</v>
      </c>
      <c r="B2174" t="s">
        <v>9457</v>
      </c>
    </row>
    <row r="2175" spans="1:2" x14ac:dyDescent="0.25">
      <c r="A2175" t="s">
        <v>2201</v>
      </c>
      <c r="B2175" t="s">
        <v>9458</v>
      </c>
    </row>
    <row r="2176" spans="1:2" x14ac:dyDescent="0.25">
      <c r="A2176" t="s">
        <v>2202</v>
      </c>
      <c r="B2176" t="s">
        <v>9459</v>
      </c>
    </row>
    <row r="2177" spans="1:2" x14ac:dyDescent="0.25">
      <c r="A2177" t="s">
        <v>2203</v>
      </c>
      <c r="B2177" t="s">
        <v>9460</v>
      </c>
    </row>
    <row r="2178" spans="1:2" x14ac:dyDescent="0.25">
      <c r="A2178" t="s">
        <v>2204</v>
      </c>
      <c r="B2178" t="s">
        <v>9461</v>
      </c>
    </row>
    <row r="2179" spans="1:2" x14ac:dyDescent="0.25">
      <c r="A2179" t="s">
        <v>2205</v>
      </c>
      <c r="B2179" t="s">
        <v>9462</v>
      </c>
    </row>
    <row r="2180" spans="1:2" x14ac:dyDescent="0.25">
      <c r="A2180" t="s">
        <v>2206</v>
      </c>
      <c r="B2180" t="s">
        <v>9463</v>
      </c>
    </row>
    <row r="2181" spans="1:2" x14ac:dyDescent="0.25">
      <c r="A2181" t="s">
        <v>2207</v>
      </c>
      <c r="B2181" t="s">
        <v>9464</v>
      </c>
    </row>
    <row r="2182" spans="1:2" x14ac:dyDescent="0.25">
      <c r="A2182" t="s">
        <v>2208</v>
      </c>
      <c r="B2182" t="s">
        <v>9465</v>
      </c>
    </row>
    <row r="2183" spans="1:2" x14ac:dyDescent="0.25">
      <c r="A2183" t="s">
        <v>2209</v>
      </c>
      <c r="B2183" t="s">
        <v>9466</v>
      </c>
    </row>
    <row r="2184" spans="1:2" x14ac:dyDescent="0.25">
      <c r="A2184" t="s">
        <v>2210</v>
      </c>
      <c r="B2184" t="s">
        <v>9467</v>
      </c>
    </row>
    <row r="2185" spans="1:2" x14ac:dyDescent="0.25">
      <c r="A2185" t="s">
        <v>2211</v>
      </c>
      <c r="B2185" t="s">
        <v>9468</v>
      </c>
    </row>
    <row r="2186" spans="1:2" x14ac:dyDescent="0.25">
      <c r="A2186" t="s">
        <v>2212</v>
      </c>
      <c r="B2186" t="s">
        <v>9469</v>
      </c>
    </row>
    <row r="2187" spans="1:2" x14ac:dyDescent="0.25">
      <c r="A2187" t="s">
        <v>2213</v>
      </c>
      <c r="B2187" t="s">
        <v>9470</v>
      </c>
    </row>
    <row r="2188" spans="1:2" x14ac:dyDescent="0.25">
      <c r="A2188" t="s">
        <v>2214</v>
      </c>
      <c r="B2188" t="s">
        <v>9471</v>
      </c>
    </row>
    <row r="2189" spans="1:2" x14ac:dyDescent="0.25">
      <c r="A2189" t="s">
        <v>2215</v>
      </c>
      <c r="B2189" t="s">
        <v>9472</v>
      </c>
    </row>
    <row r="2190" spans="1:2" x14ac:dyDescent="0.25">
      <c r="A2190" t="s">
        <v>2216</v>
      </c>
      <c r="B2190" t="s">
        <v>9473</v>
      </c>
    </row>
    <row r="2191" spans="1:2" x14ac:dyDescent="0.25">
      <c r="A2191" t="s">
        <v>2217</v>
      </c>
      <c r="B2191" t="s">
        <v>9474</v>
      </c>
    </row>
    <row r="2192" spans="1:2" x14ac:dyDescent="0.25">
      <c r="A2192" t="s">
        <v>2218</v>
      </c>
      <c r="B2192" t="s">
        <v>9475</v>
      </c>
    </row>
    <row r="2193" spans="1:2" x14ac:dyDescent="0.25">
      <c r="A2193" t="s">
        <v>2219</v>
      </c>
      <c r="B2193" t="s">
        <v>9476</v>
      </c>
    </row>
    <row r="2194" spans="1:2" x14ac:dyDescent="0.25">
      <c r="A2194" t="s">
        <v>2220</v>
      </c>
      <c r="B2194" t="s">
        <v>9477</v>
      </c>
    </row>
    <row r="2195" spans="1:2" x14ac:dyDescent="0.25">
      <c r="A2195" t="s">
        <v>2221</v>
      </c>
      <c r="B2195" t="s">
        <v>9478</v>
      </c>
    </row>
    <row r="2196" spans="1:2" x14ac:dyDescent="0.25">
      <c r="A2196" t="s">
        <v>2222</v>
      </c>
      <c r="B2196" t="s">
        <v>9479</v>
      </c>
    </row>
    <row r="2197" spans="1:2" x14ac:dyDescent="0.25">
      <c r="A2197" t="s">
        <v>2223</v>
      </c>
      <c r="B2197" t="s">
        <v>9480</v>
      </c>
    </row>
    <row r="2198" spans="1:2" x14ac:dyDescent="0.25">
      <c r="A2198" t="s">
        <v>2224</v>
      </c>
      <c r="B2198" t="s">
        <v>9481</v>
      </c>
    </row>
    <row r="2199" spans="1:2" x14ac:dyDescent="0.25">
      <c r="A2199" t="s">
        <v>2225</v>
      </c>
      <c r="B2199" t="s">
        <v>9482</v>
      </c>
    </row>
    <row r="2200" spans="1:2" x14ac:dyDescent="0.25">
      <c r="A2200" t="s">
        <v>2226</v>
      </c>
      <c r="B2200" t="s">
        <v>9483</v>
      </c>
    </row>
    <row r="2201" spans="1:2" x14ac:dyDescent="0.25">
      <c r="A2201" t="s">
        <v>2227</v>
      </c>
      <c r="B2201" t="s">
        <v>9484</v>
      </c>
    </row>
    <row r="2202" spans="1:2" x14ac:dyDescent="0.25">
      <c r="A2202" t="s">
        <v>2228</v>
      </c>
      <c r="B2202" t="s">
        <v>9485</v>
      </c>
    </row>
    <row r="2203" spans="1:2" x14ac:dyDescent="0.25">
      <c r="A2203" t="s">
        <v>2229</v>
      </c>
      <c r="B2203" t="s">
        <v>9486</v>
      </c>
    </row>
    <row r="2204" spans="1:2" x14ac:dyDescent="0.25">
      <c r="A2204" t="s">
        <v>2230</v>
      </c>
      <c r="B2204" t="s">
        <v>9487</v>
      </c>
    </row>
    <row r="2205" spans="1:2" x14ac:dyDescent="0.25">
      <c r="A2205" t="s">
        <v>2231</v>
      </c>
      <c r="B2205" t="s">
        <v>9488</v>
      </c>
    </row>
    <row r="2206" spans="1:2" x14ac:dyDescent="0.25">
      <c r="A2206" t="s">
        <v>2232</v>
      </c>
      <c r="B2206" t="s">
        <v>9489</v>
      </c>
    </row>
    <row r="2207" spans="1:2" x14ac:dyDescent="0.25">
      <c r="A2207" t="s">
        <v>2233</v>
      </c>
      <c r="B2207" t="s">
        <v>9490</v>
      </c>
    </row>
    <row r="2208" spans="1:2" x14ac:dyDescent="0.25">
      <c r="A2208" t="s">
        <v>2234</v>
      </c>
      <c r="B2208" t="s">
        <v>9491</v>
      </c>
    </row>
    <row r="2209" spans="1:2" x14ac:dyDescent="0.25">
      <c r="A2209" t="s">
        <v>2235</v>
      </c>
      <c r="B2209" t="s">
        <v>9492</v>
      </c>
    </row>
    <row r="2210" spans="1:2" x14ac:dyDescent="0.25">
      <c r="A2210" t="s">
        <v>2236</v>
      </c>
      <c r="B2210" t="s">
        <v>9493</v>
      </c>
    </row>
    <row r="2211" spans="1:2" x14ac:dyDescent="0.25">
      <c r="A2211" t="s">
        <v>2237</v>
      </c>
      <c r="B2211" t="s">
        <v>9494</v>
      </c>
    </row>
    <row r="2212" spans="1:2" x14ac:dyDescent="0.25">
      <c r="A2212" t="s">
        <v>2238</v>
      </c>
      <c r="B2212" t="s">
        <v>9495</v>
      </c>
    </row>
    <row r="2213" spans="1:2" x14ac:dyDescent="0.25">
      <c r="A2213" t="s">
        <v>2239</v>
      </c>
      <c r="B2213" t="s">
        <v>9496</v>
      </c>
    </row>
    <row r="2214" spans="1:2" x14ac:dyDescent="0.25">
      <c r="A2214" t="s">
        <v>2240</v>
      </c>
      <c r="B2214" t="s">
        <v>9497</v>
      </c>
    </row>
    <row r="2215" spans="1:2" x14ac:dyDescent="0.25">
      <c r="A2215" t="s">
        <v>2241</v>
      </c>
      <c r="B2215" t="s">
        <v>9498</v>
      </c>
    </row>
    <row r="2216" spans="1:2" x14ac:dyDescent="0.25">
      <c r="A2216" t="s">
        <v>2242</v>
      </c>
      <c r="B2216" t="s">
        <v>9499</v>
      </c>
    </row>
    <row r="2217" spans="1:2" x14ac:dyDescent="0.25">
      <c r="A2217" t="s">
        <v>2243</v>
      </c>
      <c r="B2217" t="s">
        <v>9500</v>
      </c>
    </row>
    <row r="2218" spans="1:2" x14ac:dyDescent="0.25">
      <c r="A2218" t="s">
        <v>2244</v>
      </c>
      <c r="B2218" t="s">
        <v>9501</v>
      </c>
    </row>
    <row r="2219" spans="1:2" x14ac:dyDescent="0.25">
      <c r="A2219" t="s">
        <v>2245</v>
      </c>
      <c r="B2219" t="s">
        <v>9502</v>
      </c>
    </row>
    <row r="2220" spans="1:2" x14ac:dyDescent="0.25">
      <c r="A2220" t="s">
        <v>2246</v>
      </c>
      <c r="B2220" t="s">
        <v>9503</v>
      </c>
    </row>
    <row r="2221" spans="1:2" x14ac:dyDescent="0.25">
      <c r="A2221" t="s">
        <v>2247</v>
      </c>
      <c r="B2221" t="s">
        <v>9504</v>
      </c>
    </row>
    <row r="2222" spans="1:2" x14ac:dyDescent="0.25">
      <c r="A2222" t="s">
        <v>2248</v>
      </c>
      <c r="B2222" t="s">
        <v>9505</v>
      </c>
    </row>
    <row r="2223" spans="1:2" x14ac:dyDescent="0.25">
      <c r="A2223" t="s">
        <v>2249</v>
      </c>
      <c r="B2223" t="s">
        <v>9506</v>
      </c>
    </row>
    <row r="2224" spans="1:2" x14ac:dyDescent="0.25">
      <c r="A2224" t="s">
        <v>2250</v>
      </c>
      <c r="B2224" t="s">
        <v>9507</v>
      </c>
    </row>
    <row r="2225" spans="1:2" x14ac:dyDescent="0.25">
      <c r="A2225" t="s">
        <v>2251</v>
      </c>
      <c r="B2225" t="s">
        <v>9508</v>
      </c>
    </row>
    <row r="2226" spans="1:2" x14ac:dyDescent="0.25">
      <c r="A2226" t="s">
        <v>2252</v>
      </c>
      <c r="B2226" t="s">
        <v>9509</v>
      </c>
    </row>
    <row r="2227" spans="1:2" x14ac:dyDescent="0.25">
      <c r="A2227" t="s">
        <v>2253</v>
      </c>
      <c r="B2227" t="s">
        <v>9510</v>
      </c>
    </row>
    <row r="2228" spans="1:2" x14ac:dyDescent="0.25">
      <c r="A2228" t="s">
        <v>2254</v>
      </c>
      <c r="B2228" t="s">
        <v>9511</v>
      </c>
    </row>
    <row r="2229" spans="1:2" x14ac:dyDescent="0.25">
      <c r="A2229" t="s">
        <v>2255</v>
      </c>
      <c r="B2229" t="s">
        <v>9512</v>
      </c>
    </row>
    <row r="2230" spans="1:2" x14ac:dyDescent="0.25">
      <c r="A2230" t="s">
        <v>2256</v>
      </c>
      <c r="B2230" t="s">
        <v>9513</v>
      </c>
    </row>
    <row r="2231" spans="1:2" x14ac:dyDescent="0.25">
      <c r="A2231" t="s">
        <v>2257</v>
      </c>
      <c r="B2231" t="s">
        <v>9514</v>
      </c>
    </row>
    <row r="2232" spans="1:2" x14ac:dyDescent="0.25">
      <c r="A2232" t="s">
        <v>2258</v>
      </c>
      <c r="B2232" t="s">
        <v>9515</v>
      </c>
    </row>
    <row r="2233" spans="1:2" x14ac:dyDescent="0.25">
      <c r="A2233" t="s">
        <v>2259</v>
      </c>
      <c r="B2233" t="s">
        <v>9516</v>
      </c>
    </row>
    <row r="2234" spans="1:2" x14ac:dyDescent="0.25">
      <c r="A2234" t="s">
        <v>2260</v>
      </c>
      <c r="B2234" t="s">
        <v>9517</v>
      </c>
    </row>
    <row r="2235" spans="1:2" x14ac:dyDescent="0.25">
      <c r="A2235" t="s">
        <v>2261</v>
      </c>
      <c r="B2235" t="s">
        <v>9518</v>
      </c>
    </row>
    <row r="2236" spans="1:2" x14ac:dyDescent="0.25">
      <c r="A2236" t="s">
        <v>2262</v>
      </c>
      <c r="B2236" t="s">
        <v>9519</v>
      </c>
    </row>
    <row r="2237" spans="1:2" x14ac:dyDescent="0.25">
      <c r="A2237" t="s">
        <v>2263</v>
      </c>
      <c r="B2237" t="s">
        <v>9520</v>
      </c>
    </row>
    <row r="2238" spans="1:2" x14ac:dyDescent="0.25">
      <c r="A2238" t="s">
        <v>2264</v>
      </c>
      <c r="B2238" t="s">
        <v>9521</v>
      </c>
    </row>
    <row r="2239" spans="1:2" x14ac:dyDescent="0.25">
      <c r="A2239" t="s">
        <v>2265</v>
      </c>
      <c r="B2239" t="s">
        <v>9522</v>
      </c>
    </row>
    <row r="2240" spans="1:2" x14ac:dyDescent="0.25">
      <c r="A2240" t="s">
        <v>2266</v>
      </c>
      <c r="B2240" t="s">
        <v>9523</v>
      </c>
    </row>
    <row r="2241" spans="1:2" x14ac:dyDescent="0.25">
      <c r="A2241" t="s">
        <v>2267</v>
      </c>
      <c r="B2241" t="s">
        <v>9524</v>
      </c>
    </row>
    <row r="2242" spans="1:2" x14ac:dyDescent="0.25">
      <c r="A2242" t="s">
        <v>2268</v>
      </c>
      <c r="B2242" t="s">
        <v>9525</v>
      </c>
    </row>
    <row r="2243" spans="1:2" x14ac:dyDescent="0.25">
      <c r="A2243" t="s">
        <v>2269</v>
      </c>
      <c r="B2243" t="s">
        <v>9526</v>
      </c>
    </row>
    <row r="2244" spans="1:2" x14ac:dyDescent="0.25">
      <c r="A2244" t="s">
        <v>2270</v>
      </c>
      <c r="B2244" t="s">
        <v>9527</v>
      </c>
    </row>
    <row r="2245" spans="1:2" x14ac:dyDescent="0.25">
      <c r="A2245" t="s">
        <v>2271</v>
      </c>
      <c r="B2245" t="s">
        <v>9528</v>
      </c>
    </row>
    <row r="2246" spans="1:2" x14ac:dyDescent="0.25">
      <c r="A2246" t="s">
        <v>2272</v>
      </c>
      <c r="B2246" t="s">
        <v>9529</v>
      </c>
    </row>
    <row r="2247" spans="1:2" x14ac:dyDescent="0.25">
      <c r="A2247" t="s">
        <v>2273</v>
      </c>
      <c r="B2247" t="s">
        <v>9530</v>
      </c>
    </row>
    <row r="2248" spans="1:2" x14ac:dyDescent="0.25">
      <c r="A2248" t="s">
        <v>2274</v>
      </c>
      <c r="B2248" t="s">
        <v>9531</v>
      </c>
    </row>
    <row r="2249" spans="1:2" x14ac:dyDescent="0.25">
      <c r="A2249" t="s">
        <v>2275</v>
      </c>
      <c r="B2249" t="s">
        <v>9532</v>
      </c>
    </row>
    <row r="2250" spans="1:2" x14ac:dyDescent="0.25">
      <c r="A2250" t="s">
        <v>2276</v>
      </c>
      <c r="B2250" t="s">
        <v>9533</v>
      </c>
    </row>
    <row r="2251" spans="1:2" x14ac:dyDescent="0.25">
      <c r="A2251" t="s">
        <v>2277</v>
      </c>
      <c r="B2251" t="s">
        <v>9534</v>
      </c>
    </row>
    <row r="2252" spans="1:2" x14ac:dyDescent="0.25">
      <c r="A2252" t="s">
        <v>2278</v>
      </c>
      <c r="B2252" t="s">
        <v>9535</v>
      </c>
    </row>
    <row r="2253" spans="1:2" x14ac:dyDescent="0.25">
      <c r="A2253" t="s">
        <v>2279</v>
      </c>
      <c r="B2253" t="s">
        <v>9536</v>
      </c>
    </row>
    <row r="2254" spans="1:2" x14ac:dyDescent="0.25">
      <c r="A2254" t="s">
        <v>2280</v>
      </c>
      <c r="B2254" t="s">
        <v>9537</v>
      </c>
    </row>
    <row r="2255" spans="1:2" x14ac:dyDescent="0.25">
      <c r="A2255" t="s">
        <v>2281</v>
      </c>
      <c r="B2255" t="s">
        <v>9538</v>
      </c>
    </row>
    <row r="2256" spans="1:2" x14ac:dyDescent="0.25">
      <c r="A2256" t="s">
        <v>2282</v>
      </c>
      <c r="B2256" t="s">
        <v>9539</v>
      </c>
    </row>
    <row r="2257" spans="1:2" x14ac:dyDescent="0.25">
      <c r="A2257" t="s">
        <v>2283</v>
      </c>
      <c r="B2257" t="s">
        <v>9540</v>
      </c>
    </row>
    <row r="2258" spans="1:2" x14ac:dyDescent="0.25">
      <c r="A2258" t="s">
        <v>2284</v>
      </c>
      <c r="B2258" t="s">
        <v>9541</v>
      </c>
    </row>
    <row r="2259" spans="1:2" x14ac:dyDescent="0.25">
      <c r="A2259" t="s">
        <v>2285</v>
      </c>
      <c r="B2259" t="s">
        <v>9542</v>
      </c>
    </row>
    <row r="2260" spans="1:2" x14ac:dyDescent="0.25">
      <c r="A2260" t="s">
        <v>2286</v>
      </c>
      <c r="B2260" t="s">
        <v>9543</v>
      </c>
    </row>
    <row r="2261" spans="1:2" x14ac:dyDescent="0.25">
      <c r="A2261" t="s">
        <v>2287</v>
      </c>
      <c r="B2261" t="s">
        <v>9544</v>
      </c>
    </row>
    <row r="2262" spans="1:2" x14ac:dyDescent="0.25">
      <c r="A2262" t="s">
        <v>2288</v>
      </c>
      <c r="B2262" t="s">
        <v>9545</v>
      </c>
    </row>
    <row r="2263" spans="1:2" x14ac:dyDescent="0.25">
      <c r="A2263" t="s">
        <v>2289</v>
      </c>
      <c r="B2263" t="s">
        <v>9546</v>
      </c>
    </row>
    <row r="2264" spans="1:2" x14ac:dyDescent="0.25">
      <c r="A2264" t="s">
        <v>2290</v>
      </c>
      <c r="B2264" t="s">
        <v>9547</v>
      </c>
    </row>
    <row r="2265" spans="1:2" x14ac:dyDescent="0.25">
      <c r="A2265" t="s">
        <v>2291</v>
      </c>
      <c r="B2265" t="s">
        <v>9548</v>
      </c>
    </row>
    <row r="2266" spans="1:2" x14ac:dyDescent="0.25">
      <c r="A2266" t="s">
        <v>2292</v>
      </c>
      <c r="B2266" t="s">
        <v>9549</v>
      </c>
    </row>
    <row r="2267" spans="1:2" x14ac:dyDescent="0.25">
      <c r="A2267" t="s">
        <v>2293</v>
      </c>
      <c r="B2267" t="s">
        <v>9550</v>
      </c>
    </row>
    <row r="2268" spans="1:2" x14ac:dyDescent="0.25">
      <c r="A2268" t="s">
        <v>2294</v>
      </c>
      <c r="B2268" t="s">
        <v>9551</v>
      </c>
    </row>
    <row r="2269" spans="1:2" x14ac:dyDescent="0.25">
      <c r="A2269" t="s">
        <v>2295</v>
      </c>
      <c r="B2269" t="s">
        <v>9552</v>
      </c>
    </row>
    <row r="2270" spans="1:2" x14ac:dyDescent="0.25">
      <c r="A2270" t="s">
        <v>2296</v>
      </c>
      <c r="B2270" t="s">
        <v>9553</v>
      </c>
    </row>
    <row r="2271" spans="1:2" x14ac:dyDescent="0.25">
      <c r="A2271" t="s">
        <v>2297</v>
      </c>
      <c r="B2271" t="s">
        <v>9554</v>
      </c>
    </row>
    <row r="2272" spans="1:2" x14ac:dyDescent="0.25">
      <c r="A2272" t="s">
        <v>2298</v>
      </c>
      <c r="B2272" t="s">
        <v>9555</v>
      </c>
    </row>
    <row r="2273" spans="1:2" x14ac:dyDescent="0.25">
      <c r="A2273" t="s">
        <v>2299</v>
      </c>
      <c r="B2273" t="s">
        <v>9556</v>
      </c>
    </row>
    <row r="2274" spans="1:2" x14ac:dyDescent="0.25">
      <c r="A2274" t="s">
        <v>2300</v>
      </c>
      <c r="B2274" t="s">
        <v>9557</v>
      </c>
    </row>
    <row r="2275" spans="1:2" x14ac:dyDescent="0.25">
      <c r="A2275" t="s">
        <v>2301</v>
      </c>
      <c r="B2275" t="s">
        <v>9558</v>
      </c>
    </row>
    <row r="2276" spans="1:2" x14ac:dyDescent="0.25">
      <c r="A2276" t="s">
        <v>2302</v>
      </c>
      <c r="B2276" t="s">
        <v>9559</v>
      </c>
    </row>
    <row r="2277" spans="1:2" x14ac:dyDescent="0.25">
      <c r="A2277" t="s">
        <v>2303</v>
      </c>
      <c r="B2277" t="s">
        <v>9560</v>
      </c>
    </row>
    <row r="2278" spans="1:2" x14ac:dyDescent="0.25">
      <c r="A2278" t="s">
        <v>2304</v>
      </c>
      <c r="B2278" t="s">
        <v>9561</v>
      </c>
    </row>
    <row r="2279" spans="1:2" x14ac:dyDescent="0.25">
      <c r="A2279" t="s">
        <v>2305</v>
      </c>
      <c r="B2279" t="s">
        <v>9562</v>
      </c>
    </row>
    <row r="2280" spans="1:2" x14ac:dyDescent="0.25">
      <c r="A2280" t="s">
        <v>2306</v>
      </c>
      <c r="B2280" t="s">
        <v>9563</v>
      </c>
    </row>
    <row r="2281" spans="1:2" x14ac:dyDescent="0.25">
      <c r="A2281" t="s">
        <v>2307</v>
      </c>
      <c r="B2281" t="s">
        <v>9564</v>
      </c>
    </row>
    <row r="2282" spans="1:2" x14ac:dyDescent="0.25">
      <c r="A2282" t="s">
        <v>2308</v>
      </c>
      <c r="B2282" t="s">
        <v>9565</v>
      </c>
    </row>
    <row r="2283" spans="1:2" x14ac:dyDescent="0.25">
      <c r="A2283" t="s">
        <v>2309</v>
      </c>
      <c r="B2283" t="s">
        <v>9566</v>
      </c>
    </row>
    <row r="2284" spans="1:2" x14ac:dyDescent="0.25">
      <c r="A2284" t="s">
        <v>2310</v>
      </c>
      <c r="B2284" t="s">
        <v>9567</v>
      </c>
    </row>
    <row r="2285" spans="1:2" x14ac:dyDescent="0.25">
      <c r="A2285" t="s">
        <v>2311</v>
      </c>
      <c r="B2285" t="s">
        <v>9568</v>
      </c>
    </row>
    <row r="2286" spans="1:2" x14ac:dyDescent="0.25">
      <c r="A2286" t="s">
        <v>2312</v>
      </c>
      <c r="B2286" t="s">
        <v>9569</v>
      </c>
    </row>
    <row r="2287" spans="1:2" x14ac:dyDescent="0.25">
      <c r="A2287" t="s">
        <v>2313</v>
      </c>
      <c r="B2287" t="s">
        <v>9570</v>
      </c>
    </row>
    <row r="2288" spans="1:2" x14ac:dyDescent="0.25">
      <c r="A2288" t="s">
        <v>2314</v>
      </c>
      <c r="B2288" t="s">
        <v>9571</v>
      </c>
    </row>
    <row r="2289" spans="1:2" x14ac:dyDescent="0.25">
      <c r="A2289" t="s">
        <v>2315</v>
      </c>
      <c r="B2289" t="s">
        <v>9572</v>
      </c>
    </row>
    <row r="2290" spans="1:2" x14ac:dyDescent="0.25">
      <c r="A2290" t="s">
        <v>2316</v>
      </c>
      <c r="B2290" t="s">
        <v>9573</v>
      </c>
    </row>
    <row r="2291" spans="1:2" x14ac:dyDescent="0.25">
      <c r="A2291" t="s">
        <v>2317</v>
      </c>
      <c r="B2291" t="s">
        <v>9574</v>
      </c>
    </row>
    <row r="2292" spans="1:2" x14ac:dyDescent="0.25">
      <c r="A2292" t="s">
        <v>2318</v>
      </c>
      <c r="B2292" t="s">
        <v>9575</v>
      </c>
    </row>
    <row r="2293" spans="1:2" x14ac:dyDescent="0.25">
      <c r="A2293" t="s">
        <v>2319</v>
      </c>
      <c r="B2293" t="s">
        <v>9576</v>
      </c>
    </row>
    <row r="2294" spans="1:2" x14ac:dyDescent="0.25">
      <c r="A2294" t="s">
        <v>2320</v>
      </c>
      <c r="B2294" t="s">
        <v>9577</v>
      </c>
    </row>
    <row r="2295" spans="1:2" x14ac:dyDescent="0.25">
      <c r="A2295" t="s">
        <v>2321</v>
      </c>
      <c r="B2295" t="s">
        <v>9578</v>
      </c>
    </row>
    <row r="2296" spans="1:2" x14ac:dyDescent="0.25">
      <c r="A2296" t="s">
        <v>2322</v>
      </c>
      <c r="B2296" t="s">
        <v>9579</v>
      </c>
    </row>
    <row r="2297" spans="1:2" x14ac:dyDescent="0.25">
      <c r="A2297" t="s">
        <v>2323</v>
      </c>
      <c r="B2297" t="s">
        <v>9580</v>
      </c>
    </row>
    <row r="2298" spans="1:2" x14ac:dyDescent="0.25">
      <c r="A2298" t="s">
        <v>2324</v>
      </c>
      <c r="B2298" t="s">
        <v>9581</v>
      </c>
    </row>
    <row r="2299" spans="1:2" x14ac:dyDescent="0.25">
      <c r="A2299" t="s">
        <v>2325</v>
      </c>
      <c r="B2299" t="s">
        <v>9582</v>
      </c>
    </row>
    <row r="2300" spans="1:2" x14ac:dyDescent="0.25">
      <c r="A2300" t="s">
        <v>2326</v>
      </c>
      <c r="B2300" t="s">
        <v>9583</v>
      </c>
    </row>
    <row r="2301" spans="1:2" x14ac:dyDescent="0.25">
      <c r="A2301" t="s">
        <v>2327</v>
      </c>
      <c r="B2301" t="s">
        <v>9584</v>
      </c>
    </row>
    <row r="2302" spans="1:2" x14ac:dyDescent="0.25">
      <c r="A2302" t="s">
        <v>2328</v>
      </c>
      <c r="B2302" t="s">
        <v>9585</v>
      </c>
    </row>
    <row r="2303" spans="1:2" x14ac:dyDescent="0.25">
      <c r="A2303" t="s">
        <v>2329</v>
      </c>
      <c r="B2303" t="s">
        <v>9586</v>
      </c>
    </row>
    <row r="2304" spans="1:2" x14ac:dyDescent="0.25">
      <c r="A2304" t="s">
        <v>2330</v>
      </c>
      <c r="B2304" t="s">
        <v>9587</v>
      </c>
    </row>
    <row r="2305" spans="1:2" x14ac:dyDescent="0.25">
      <c r="A2305" t="s">
        <v>2331</v>
      </c>
      <c r="B2305" t="s">
        <v>9588</v>
      </c>
    </row>
    <row r="2306" spans="1:2" x14ac:dyDescent="0.25">
      <c r="A2306" t="s">
        <v>2332</v>
      </c>
      <c r="B2306" t="s">
        <v>9589</v>
      </c>
    </row>
    <row r="2307" spans="1:2" x14ac:dyDescent="0.25">
      <c r="A2307" t="s">
        <v>2333</v>
      </c>
      <c r="B2307" t="s">
        <v>9590</v>
      </c>
    </row>
    <row r="2308" spans="1:2" x14ac:dyDescent="0.25">
      <c r="A2308" t="s">
        <v>2334</v>
      </c>
      <c r="B2308" t="s">
        <v>9591</v>
      </c>
    </row>
    <row r="2309" spans="1:2" x14ac:dyDescent="0.25">
      <c r="A2309" t="s">
        <v>2335</v>
      </c>
      <c r="B2309" t="s">
        <v>9592</v>
      </c>
    </row>
    <row r="2310" spans="1:2" x14ac:dyDescent="0.25">
      <c r="A2310" t="s">
        <v>2336</v>
      </c>
      <c r="B2310" t="s">
        <v>9593</v>
      </c>
    </row>
    <row r="2311" spans="1:2" x14ac:dyDescent="0.25">
      <c r="A2311" t="s">
        <v>2337</v>
      </c>
      <c r="B2311" t="s">
        <v>9594</v>
      </c>
    </row>
    <row r="2312" spans="1:2" x14ac:dyDescent="0.25">
      <c r="A2312" t="s">
        <v>2338</v>
      </c>
      <c r="B2312" t="s">
        <v>9595</v>
      </c>
    </row>
    <row r="2313" spans="1:2" x14ac:dyDescent="0.25">
      <c r="A2313" t="s">
        <v>2339</v>
      </c>
      <c r="B2313" t="s">
        <v>9596</v>
      </c>
    </row>
    <row r="2314" spans="1:2" x14ac:dyDescent="0.25">
      <c r="A2314" t="s">
        <v>2340</v>
      </c>
      <c r="B2314" t="s">
        <v>9597</v>
      </c>
    </row>
    <row r="2315" spans="1:2" x14ac:dyDescent="0.25">
      <c r="A2315" t="s">
        <v>2341</v>
      </c>
      <c r="B2315" t="s">
        <v>9598</v>
      </c>
    </row>
    <row r="2316" spans="1:2" x14ac:dyDescent="0.25">
      <c r="A2316" t="s">
        <v>2342</v>
      </c>
      <c r="B2316" t="s">
        <v>9599</v>
      </c>
    </row>
    <row r="2317" spans="1:2" x14ac:dyDescent="0.25">
      <c r="A2317" t="s">
        <v>2343</v>
      </c>
      <c r="B2317" t="s">
        <v>9600</v>
      </c>
    </row>
    <row r="2318" spans="1:2" x14ac:dyDescent="0.25">
      <c r="A2318" t="s">
        <v>2344</v>
      </c>
      <c r="B2318" t="s">
        <v>9601</v>
      </c>
    </row>
    <row r="2319" spans="1:2" x14ac:dyDescent="0.25">
      <c r="A2319" t="s">
        <v>2345</v>
      </c>
      <c r="B2319" t="s">
        <v>9602</v>
      </c>
    </row>
    <row r="2320" spans="1:2" x14ac:dyDescent="0.25">
      <c r="A2320" t="s">
        <v>2346</v>
      </c>
      <c r="B2320" t="s">
        <v>9603</v>
      </c>
    </row>
    <row r="2321" spans="1:2" x14ac:dyDescent="0.25">
      <c r="A2321" t="s">
        <v>2347</v>
      </c>
      <c r="B2321" t="s">
        <v>9604</v>
      </c>
    </row>
    <row r="2322" spans="1:2" x14ac:dyDescent="0.25">
      <c r="A2322" t="s">
        <v>2348</v>
      </c>
      <c r="B2322" t="s">
        <v>9605</v>
      </c>
    </row>
    <row r="2323" spans="1:2" x14ac:dyDescent="0.25">
      <c r="A2323" t="s">
        <v>2349</v>
      </c>
      <c r="B2323" t="s">
        <v>9606</v>
      </c>
    </row>
    <row r="2324" spans="1:2" x14ac:dyDescent="0.25">
      <c r="A2324" t="s">
        <v>2350</v>
      </c>
      <c r="B2324" t="s">
        <v>9607</v>
      </c>
    </row>
    <row r="2325" spans="1:2" x14ac:dyDescent="0.25">
      <c r="A2325" t="s">
        <v>2351</v>
      </c>
      <c r="B2325" t="s">
        <v>9608</v>
      </c>
    </row>
    <row r="2326" spans="1:2" x14ac:dyDescent="0.25">
      <c r="A2326" t="s">
        <v>2352</v>
      </c>
      <c r="B2326" t="s">
        <v>9609</v>
      </c>
    </row>
    <row r="2327" spans="1:2" x14ac:dyDescent="0.25">
      <c r="A2327" t="s">
        <v>2353</v>
      </c>
      <c r="B2327" t="s">
        <v>9610</v>
      </c>
    </row>
    <row r="2328" spans="1:2" x14ac:dyDescent="0.25">
      <c r="A2328" t="s">
        <v>2354</v>
      </c>
      <c r="B2328" t="s">
        <v>9611</v>
      </c>
    </row>
    <row r="2329" spans="1:2" x14ac:dyDescent="0.25">
      <c r="A2329" t="s">
        <v>2355</v>
      </c>
      <c r="B2329" t="s">
        <v>9612</v>
      </c>
    </row>
    <row r="2330" spans="1:2" x14ac:dyDescent="0.25">
      <c r="A2330" t="s">
        <v>2356</v>
      </c>
      <c r="B2330" t="s">
        <v>9613</v>
      </c>
    </row>
    <row r="2331" spans="1:2" x14ac:dyDescent="0.25">
      <c r="A2331" t="s">
        <v>2357</v>
      </c>
      <c r="B2331" t="s">
        <v>9614</v>
      </c>
    </row>
    <row r="2332" spans="1:2" x14ac:dyDescent="0.25">
      <c r="A2332" t="s">
        <v>2358</v>
      </c>
      <c r="B2332" t="s">
        <v>9615</v>
      </c>
    </row>
    <row r="2333" spans="1:2" x14ac:dyDescent="0.25">
      <c r="A2333" t="s">
        <v>2359</v>
      </c>
      <c r="B2333" t="s">
        <v>9616</v>
      </c>
    </row>
    <row r="2334" spans="1:2" x14ac:dyDescent="0.25">
      <c r="A2334" t="s">
        <v>2360</v>
      </c>
      <c r="B2334" t="s">
        <v>9617</v>
      </c>
    </row>
    <row r="2335" spans="1:2" x14ac:dyDescent="0.25">
      <c r="A2335" t="s">
        <v>2361</v>
      </c>
      <c r="B2335" t="s">
        <v>9618</v>
      </c>
    </row>
    <row r="2336" spans="1:2" x14ac:dyDescent="0.25">
      <c r="A2336" t="s">
        <v>2362</v>
      </c>
      <c r="B2336" t="s">
        <v>9619</v>
      </c>
    </row>
    <row r="2337" spans="1:2" x14ac:dyDescent="0.25">
      <c r="A2337" t="s">
        <v>2363</v>
      </c>
      <c r="B2337" t="s">
        <v>9620</v>
      </c>
    </row>
    <row r="2338" spans="1:2" x14ac:dyDescent="0.25">
      <c r="A2338" t="s">
        <v>2364</v>
      </c>
      <c r="B2338" t="s">
        <v>9621</v>
      </c>
    </row>
    <row r="2339" spans="1:2" x14ac:dyDescent="0.25">
      <c r="A2339" t="s">
        <v>2365</v>
      </c>
      <c r="B2339" t="s">
        <v>9622</v>
      </c>
    </row>
    <row r="2340" spans="1:2" x14ac:dyDescent="0.25">
      <c r="A2340" t="s">
        <v>2366</v>
      </c>
      <c r="B2340" t="s">
        <v>9623</v>
      </c>
    </row>
    <row r="2341" spans="1:2" x14ac:dyDescent="0.25">
      <c r="A2341" t="s">
        <v>2367</v>
      </c>
      <c r="B2341" t="s">
        <v>9624</v>
      </c>
    </row>
    <row r="2342" spans="1:2" x14ac:dyDescent="0.25">
      <c r="A2342" t="s">
        <v>2368</v>
      </c>
      <c r="B2342" t="s">
        <v>9625</v>
      </c>
    </row>
    <row r="2343" spans="1:2" x14ac:dyDescent="0.25">
      <c r="A2343" t="s">
        <v>2369</v>
      </c>
      <c r="B2343" t="s">
        <v>9626</v>
      </c>
    </row>
    <row r="2344" spans="1:2" x14ac:dyDescent="0.25">
      <c r="A2344" t="s">
        <v>2370</v>
      </c>
      <c r="B2344" t="s">
        <v>9627</v>
      </c>
    </row>
    <row r="2345" spans="1:2" x14ac:dyDescent="0.25">
      <c r="A2345" t="s">
        <v>2371</v>
      </c>
      <c r="B2345" t="s">
        <v>9628</v>
      </c>
    </row>
    <row r="2346" spans="1:2" x14ac:dyDescent="0.25">
      <c r="A2346" t="s">
        <v>2372</v>
      </c>
      <c r="B2346" t="s">
        <v>9629</v>
      </c>
    </row>
    <row r="2347" spans="1:2" x14ac:dyDescent="0.25">
      <c r="A2347" t="s">
        <v>2373</v>
      </c>
      <c r="B2347" t="s">
        <v>9630</v>
      </c>
    </row>
    <row r="2348" spans="1:2" x14ac:dyDescent="0.25">
      <c r="A2348" t="s">
        <v>2374</v>
      </c>
      <c r="B2348" t="s">
        <v>9631</v>
      </c>
    </row>
    <row r="2349" spans="1:2" x14ac:dyDescent="0.25">
      <c r="A2349" t="s">
        <v>2375</v>
      </c>
      <c r="B2349" t="s">
        <v>9632</v>
      </c>
    </row>
    <row r="2350" spans="1:2" x14ac:dyDescent="0.25">
      <c r="A2350" t="s">
        <v>2376</v>
      </c>
      <c r="B2350" t="s">
        <v>9633</v>
      </c>
    </row>
    <row r="2351" spans="1:2" x14ac:dyDescent="0.25">
      <c r="A2351" t="s">
        <v>2377</v>
      </c>
      <c r="B2351" t="s">
        <v>9634</v>
      </c>
    </row>
    <row r="2352" spans="1:2" x14ac:dyDescent="0.25">
      <c r="A2352" t="s">
        <v>2378</v>
      </c>
      <c r="B2352" t="s">
        <v>9635</v>
      </c>
    </row>
    <row r="2353" spans="1:2" x14ac:dyDescent="0.25">
      <c r="A2353" t="s">
        <v>2379</v>
      </c>
      <c r="B2353" t="s">
        <v>9636</v>
      </c>
    </row>
    <row r="2354" spans="1:2" x14ac:dyDescent="0.25">
      <c r="A2354" t="s">
        <v>2380</v>
      </c>
      <c r="B2354" t="s">
        <v>9637</v>
      </c>
    </row>
    <row r="2355" spans="1:2" x14ac:dyDescent="0.25">
      <c r="A2355" t="s">
        <v>2381</v>
      </c>
      <c r="B2355" t="s">
        <v>9638</v>
      </c>
    </row>
    <row r="2356" spans="1:2" x14ac:dyDescent="0.25">
      <c r="A2356" t="s">
        <v>2382</v>
      </c>
      <c r="B2356" t="s">
        <v>9639</v>
      </c>
    </row>
    <row r="2357" spans="1:2" x14ac:dyDescent="0.25">
      <c r="A2357" t="s">
        <v>2383</v>
      </c>
      <c r="B2357" t="s">
        <v>9640</v>
      </c>
    </row>
    <row r="2358" spans="1:2" x14ac:dyDescent="0.25">
      <c r="A2358" t="s">
        <v>2384</v>
      </c>
      <c r="B2358" t="s">
        <v>9641</v>
      </c>
    </row>
    <row r="2359" spans="1:2" x14ac:dyDescent="0.25">
      <c r="A2359" t="s">
        <v>2385</v>
      </c>
      <c r="B2359" t="s">
        <v>9642</v>
      </c>
    </row>
    <row r="2360" spans="1:2" x14ac:dyDescent="0.25">
      <c r="A2360" t="s">
        <v>2386</v>
      </c>
      <c r="B2360" t="s">
        <v>9643</v>
      </c>
    </row>
    <row r="2361" spans="1:2" x14ac:dyDescent="0.25">
      <c r="A2361" t="s">
        <v>2387</v>
      </c>
      <c r="B2361" t="s">
        <v>9644</v>
      </c>
    </row>
    <row r="2362" spans="1:2" x14ac:dyDescent="0.25">
      <c r="A2362" t="s">
        <v>2388</v>
      </c>
      <c r="B2362" t="s">
        <v>9645</v>
      </c>
    </row>
    <row r="2363" spans="1:2" x14ac:dyDescent="0.25">
      <c r="A2363" t="s">
        <v>2389</v>
      </c>
      <c r="B2363" t="s">
        <v>9646</v>
      </c>
    </row>
    <row r="2364" spans="1:2" x14ac:dyDescent="0.25">
      <c r="A2364" t="s">
        <v>2390</v>
      </c>
      <c r="B2364" t="s">
        <v>9647</v>
      </c>
    </row>
    <row r="2365" spans="1:2" x14ac:dyDescent="0.25">
      <c r="A2365" t="s">
        <v>2391</v>
      </c>
      <c r="B2365" t="s">
        <v>9648</v>
      </c>
    </row>
    <row r="2366" spans="1:2" x14ac:dyDescent="0.25">
      <c r="A2366" t="s">
        <v>2392</v>
      </c>
      <c r="B2366" t="s">
        <v>9649</v>
      </c>
    </row>
    <row r="2367" spans="1:2" x14ac:dyDescent="0.25">
      <c r="A2367" t="s">
        <v>2393</v>
      </c>
      <c r="B2367" t="s">
        <v>9650</v>
      </c>
    </row>
    <row r="2368" spans="1:2" x14ac:dyDescent="0.25">
      <c r="A2368" t="s">
        <v>2394</v>
      </c>
      <c r="B2368" t="s">
        <v>9651</v>
      </c>
    </row>
    <row r="2369" spans="1:2" x14ac:dyDescent="0.25">
      <c r="A2369" t="s">
        <v>2395</v>
      </c>
      <c r="B2369" t="s">
        <v>9652</v>
      </c>
    </row>
    <row r="2370" spans="1:2" x14ac:dyDescent="0.25">
      <c r="A2370" t="s">
        <v>2396</v>
      </c>
      <c r="B2370" t="s">
        <v>9653</v>
      </c>
    </row>
    <row r="2371" spans="1:2" x14ac:dyDescent="0.25">
      <c r="A2371" t="s">
        <v>2397</v>
      </c>
      <c r="B2371" t="s">
        <v>9654</v>
      </c>
    </row>
    <row r="2372" spans="1:2" x14ac:dyDescent="0.25">
      <c r="A2372" t="s">
        <v>2398</v>
      </c>
      <c r="B2372" t="s">
        <v>9655</v>
      </c>
    </row>
    <row r="2373" spans="1:2" x14ac:dyDescent="0.25">
      <c r="A2373" t="s">
        <v>2399</v>
      </c>
      <c r="B2373" t="s">
        <v>9656</v>
      </c>
    </row>
    <row r="2374" spans="1:2" x14ac:dyDescent="0.25">
      <c r="A2374" t="s">
        <v>2400</v>
      </c>
      <c r="B2374" t="s">
        <v>9657</v>
      </c>
    </row>
    <row r="2375" spans="1:2" x14ac:dyDescent="0.25">
      <c r="A2375" t="s">
        <v>2401</v>
      </c>
      <c r="B2375" t="s">
        <v>9658</v>
      </c>
    </row>
    <row r="2376" spans="1:2" x14ac:dyDescent="0.25">
      <c r="A2376" t="s">
        <v>2402</v>
      </c>
      <c r="B2376" t="s">
        <v>9659</v>
      </c>
    </row>
    <row r="2377" spans="1:2" x14ac:dyDescent="0.25">
      <c r="A2377" t="s">
        <v>2403</v>
      </c>
      <c r="B2377" t="s">
        <v>9660</v>
      </c>
    </row>
    <row r="2378" spans="1:2" x14ac:dyDescent="0.25">
      <c r="A2378" t="s">
        <v>2404</v>
      </c>
      <c r="B2378" t="s">
        <v>9661</v>
      </c>
    </row>
    <row r="2379" spans="1:2" x14ac:dyDescent="0.25">
      <c r="A2379" t="s">
        <v>2405</v>
      </c>
      <c r="B2379" t="s">
        <v>9662</v>
      </c>
    </row>
    <row r="2380" spans="1:2" x14ac:dyDescent="0.25">
      <c r="A2380" t="s">
        <v>2406</v>
      </c>
      <c r="B2380" t="s">
        <v>9663</v>
      </c>
    </row>
    <row r="2381" spans="1:2" x14ac:dyDescent="0.25">
      <c r="A2381" t="s">
        <v>2407</v>
      </c>
      <c r="B2381" t="s">
        <v>9664</v>
      </c>
    </row>
    <row r="2382" spans="1:2" x14ac:dyDescent="0.25">
      <c r="A2382" t="s">
        <v>2408</v>
      </c>
      <c r="B2382" t="s">
        <v>9665</v>
      </c>
    </row>
    <row r="2383" spans="1:2" x14ac:dyDescent="0.25">
      <c r="A2383" t="s">
        <v>2409</v>
      </c>
      <c r="B2383" t="s">
        <v>9666</v>
      </c>
    </row>
    <row r="2384" spans="1:2" x14ac:dyDescent="0.25">
      <c r="A2384" t="s">
        <v>2410</v>
      </c>
      <c r="B2384" t="s">
        <v>9667</v>
      </c>
    </row>
    <row r="2385" spans="1:2" x14ac:dyDescent="0.25">
      <c r="A2385" t="s">
        <v>2411</v>
      </c>
      <c r="B2385" t="s">
        <v>9668</v>
      </c>
    </row>
    <row r="2386" spans="1:2" x14ac:dyDescent="0.25">
      <c r="A2386" t="s">
        <v>2412</v>
      </c>
      <c r="B2386" t="s">
        <v>9669</v>
      </c>
    </row>
    <row r="2387" spans="1:2" x14ac:dyDescent="0.25">
      <c r="A2387" t="s">
        <v>2413</v>
      </c>
      <c r="B2387" t="s">
        <v>9670</v>
      </c>
    </row>
    <row r="2388" spans="1:2" x14ac:dyDescent="0.25">
      <c r="A2388" t="s">
        <v>2414</v>
      </c>
      <c r="B2388" t="s">
        <v>9671</v>
      </c>
    </row>
    <row r="2389" spans="1:2" x14ac:dyDescent="0.25">
      <c r="A2389" t="s">
        <v>2415</v>
      </c>
      <c r="B2389" t="s">
        <v>9672</v>
      </c>
    </row>
    <row r="2390" spans="1:2" x14ac:dyDescent="0.25">
      <c r="A2390" t="s">
        <v>2416</v>
      </c>
      <c r="B2390" t="s">
        <v>9673</v>
      </c>
    </row>
    <row r="2391" spans="1:2" x14ac:dyDescent="0.25">
      <c r="A2391" t="s">
        <v>2417</v>
      </c>
      <c r="B2391" t="s">
        <v>9674</v>
      </c>
    </row>
    <row r="2392" spans="1:2" x14ac:dyDescent="0.25">
      <c r="A2392" t="s">
        <v>2418</v>
      </c>
      <c r="B2392" t="s">
        <v>9675</v>
      </c>
    </row>
    <row r="2393" spans="1:2" x14ac:dyDescent="0.25">
      <c r="A2393" t="s">
        <v>2419</v>
      </c>
      <c r="B2393" t="s">
        <v>9676</v>
      </c>
    </row>
    <row r="2394" spans="1:2" x14ac:dyDescent="0.25">
      <c r="A2394" t="s">
        <v>2420</v>
      </c>
      <c r="B2394" t="s">
        <v>9677</v>
      </c>
    </row>
    <row r="2395" spans="1:2" x14ac:dyDescent="0.25">
      <c r="A2395" t="s">
        <v>2421</v>
      </c>
      <c r="B2395" t="s">
        <v>9678</v>
      </c>
    </row>
    <row r="2396" spans="1:2" x14ac:dyDescent="0.25">
      <c r="A2396" t="s">
        <v>2422</v>
      </c>
      <c r="B2396" t="s">
        <v>9679</v>
      </c>
    </row>
    <row r="2397" spans="1:2" x14ac:dyDescent="0.25">
      <c r="A2397" t="s">
        <v>2423</v>
      </c>
      <c r="B2397" t="s">
        <v>9680</v>
      </c>
    </row>
    <row r="2398" spans="1:2" x14ac:dyDescent="0.25">
      <c r="A2398" t="s">
        <v>2424</v>
      </c>
      <c r="B2398" t="s">
        <v>9681</v>
      </c>
    </row>
    <row r="2399" spans="1:2" x14ac:dyDescent="0.25">
      <c r="A2399" t="s">
        <v>2425</v>
      </c>
      <c r="B2399" t="s">
        <v>9682</v>
      </c>
    </row>
    <row r="2400" spans="1:2" x14ac:dyDescent="0.25">
      <c r="A2400" t="s">
        <v>2426</v>
      </c>
      <c r="B2400" t="s">
        <v>9683</v>
      </c>
    </row>
    <row r="2401" spans="1:2" x14ac:dyDescent="0.25">
      <c r="A2401" t="s">
        <v>2427</v>
      </c>
      <c r="B2401" t="s">
        <v>9684</v>
      </c>
    </row>
    <row r="2402" spans="1:2" x14ac:dyDescent="0.25">
      <c r="A2402" t="s">
        <v>2428</v>
      </c>
      <c r="B2402" t="s">
        <v>9685</v>
      </c>
    </row>
    <row r="2403" spans="1:2" x14ac:dyDescent="0.25">
      <c r="A2403" t="s">
        <v>2429</v>
      </c>
      <c r="B2403" t="s">
        <v>9686</v>
      </c>
    </row>
    <row r="2404" spans="1:2" x14ac:dyDescent="0.25">
      <c r="A2404" t="s">
        <v>2430</v>
      </c>
      <c r="B2404" t="s">
        <v>9687</v>
      </c>
    </row>
    <row r="2405" spans="1:2" x14ac:dyDescent="0.25">
      <c r="A2405" t="s">
        <v>2431</v>
      </c>
      <c r="B2405" t="s">
        <v>9688</v>
      </c>
    </row>
    <row r="2406" spans="1:2" x14ac:dyDescent="0.25">
      <c r="A2406" t="s">
        <v>2432</v>
      </c>
      <c r="B2406" t="s">
        <v>9689</v>
      </c>
    </row>
    <row r="2407" spans="1:2" x14ac:dyDescent="0.25">
      <c r="A2407" t="s">
        <v>2433</v>
      </c>
      <c r="B2407" t="s">
        <v>9690</v>
      </c>
    </row>
    <row r="2408" spans="1:2" x14ac:dyDescent="0.25">
      <c r="A2408" t="s">
        <v>2434</v>
      </c>
      <c r="B2408" t="s">
        <v>9691</v>
      </c>
    </row>
    <row r="2409" spans="1:2" x14ac:dyDescent="0.25">
      <c r="A2409" t="s">
        <v>2435</v>
      </c>
      <c r="B2409" t="s">
        <v>9692</v>
      </c>
    </row>
    <row r="2410" spans="1:2" x14ac:dyDescent="0.25">
      <c r="A2410" t="s">
        <v>2436</v>
      </c>
      <c r="B2410" t="s">
        <v>9693</v>
      </c>
    </row>
    <row r="2411" spans="1:2" x14ac:dyDescent="0.25">
      <c r="A2411" t="s">
        <v>2437</v>
      </c>
      <c r="B2411" t="s">
        <v>9694</v>
      </c>
    </row>
    <row r="2412" spans="1:2" x14ac:dyDescent="0.25">
      <c r="A2412" t="s">
        <v>2438</v>
      </c>
      <c r="B2412" t="s">
        <v>9695</v>
      </c>
    </row>
    <row r="2413" spans="1:2" x14ac:dyDescent="0.25">
      <c r="A2413" t="s">
        <v>2439</v>
      </c>
      <c r="B2413" t="s">
        <v>9696</v>
      </c>
    </row>
    <row r="2414" spans="1:2" x14ac:dyDescent="0.25">
      <c r="A2414" t="s">
        <v>2440</v>
      </c>
      <c r="B2414" t="s">
        <v>9697</v>
      </c>
    </row>
    <row r="2415" spans="1:2" x14ac:dyDescent="0.25">
      <c r="A2415" t="s">
        <v>2441</v>
      </c>
      <c r="B2415" t="s">
        <v>9698</v>
      </c>
    </row>
    <row r="2416" spans="1:2" x14ac:dyDescent="0.25">
      <c r="A2416" t="s">
        <v>2442</v>
      </c>
      <c r="B2416" t="s">
        <v>9699</v>
      </c>
    </row>
    <row r="2417" spans="1:2" x14ac:dyDescent="0.25">
      <c r="A2417" t="s">
        <v>2443</v>
      </c>
      <c r="B2417" t="s">
        <v>9700</v>
      </c>
    </row>
    <row r="2418" spans="1:2" x14ac:dyDescent="0.25">
      <c r="A2418" t="s">
        <v>2444</v>
      </c>
      <c r="B2418" t="s">
        <v>9701</v>
      </c>
    </row>
    <row r="2419" spans="1:2" x14ac:dyDescent="0.25">
      <c r="A2419" t="s">
        <v>2445</v>
      </c>
      <c r="B2419" t="s">
        <v>9702</v>
      </c>
    </row>
    <row r="2420" spans="1:2" x14ac:dyDescent="0.25">
      <c r="A2420" t="s">
        <v>2446</v>
      </c>
      <c r="B2420" t="s">
        <v>9703</v>
      </c>
    </row>
    <row r="2421" spans="1:2" x14ac:dyDescent="0.25">
      <c r="A2421" t="s">
        <v>2447</v>
      </c>
      <c r="B2421" t="s">
        <v>9704</v>
      </c>
    </row>
    <row r="2422" spans="1:2" x14ac:dyDescent="0.25">
      <c r="A2422" t="s">
        <v>2448</v>
      </c>
      <c r="B2422" t="s">
        <v>9705</v>
      </c>
    </row>
    <row r="2423" spans="1:2" x14ac:dyDescent="0.25">
      <c r="A2423" t="s">
        <v>2449</v>
      </c>
      <c r="B2423" t="s">
        <v>9706</v>
      </c>
    </row>
    <row r="2424" spans="1:2" x14ac:dyDescent="0.25">
      <c r="A2424" t="s">
        <v>2450</v>
      </c>
      <c r="B2424" t="s">
        <v>9707</v>
      </c>
    </row>
    <row r="2425" spans="1:2" x14ac:dyDescent="0.25">
      <c r="A2425" t="s">
        <v>2451</v>
      </c>
      <c r="B2425" t="s">
        <v>9708</v>
      </c>
    </row>
    <row r="2426" spans="1:2" x14ac:dyDescent="0.25">
      <c r="A2426" t="s">
        <v>2452</v>
      </c>
      <c r="B2426" t="s">
        <v>9709</v>
      </c>
    </row>
    <row r="2427" spans="1:2" x14ac:dyDescent="0.25">
      <c r="A2427" t="s">
        <v>2453</v>
      </c>
      <c r="B2427" t="s">
        <v>9710</v>
      </c>
    </row>
    <row r="2428" spans="1:2" x14ac:dyDescent="0.25">
      <c r="A2428" t="s">
        <v>2454</v>
      </c>
      <c r="B2428" t="s">
        <v>9711</v>
      </c>
    </row>
    <row r="2429" spans="1:2" x14ac:dyDescent="0.25">
      <c r="A2429" t="s">
        <v>2455</v>
      </c>
      <c r="B2429" t="s">
        <v>9712</v>
      </c>
    </row>
    <row r="2430" spans="1:2" x14ac:dyDescent="0.25">
      <c r="A2430" t="s">
        <v>2456</v>
      </c>
      <c r="B2430" t="s">
        <v>9713</v>
      </c>
    </row>
    <row r="2431" spans="1:2" x14ac:dyDescent="0.25">
      <c r="A2431" t="s">
        <v>2457</v>
      </c>
      <c r="B2431" t="s">
        <v>9714</v>
      </c>
    </row>
    <row r="2432" spans="1:2" x14ac:dyDescent="0.25">
      <c r="A2432" t="s">
        <v>2458</v>
      </c>
      <c r="B2432" t="s">
        <v>9715</v>
      </c>
    </row>
    <row r="2433" spans="1:2" x14ac:dyDescent="0.25">
      <c r="A2433" t="s">
        <v>2459</v>
      </c>
      <c r="B2433" t="s">
        <v>9716</v>
      </c>
    </row>
    <row r="2434" spans="1:2" x14ac:dyDescent="0.25">
      <c r="A2434" t="s">
        <v>2460</v>
      </c>
      <c r="B2434" t="s">
        <v>9717</v>
      </c>
    </row>
    <row r="2435" spans="1:2" x14ac:dyDescent="0.25">
      <c r="A2435" t="s">
        <v>2461</v>
      </c>
      <c r="B2435" t="s">
        <v>9718</v>
      </c>
    </row>
    <row r="2436" spans="1:2" x14ac:dyDescent="0.25">
      <c r="A2436" t="s">
        <v>2462</v>
      </c>
      <c r="B2436" t="s">
        <v>9719</v>
      </c>
    </row>
    <row r="2437" spans="1:2" x14ac:dyDescent="0.25">
      <c r="A2437" t="s">
        <v>2463</v>
      </c>
      <c r="B2437" t="s">
        <v>9720</v>
      </c>
    </row>
    <row r="2438" spans="1:2" x14ac:dyDescent="0.25">
      <c r="A2438" t="s">
        <v>2464</v>
      </c>
      <c r="B2438" t="s">
        <v>9721</v>
      </c>
    </row>
    <row r="2439" spans="1:2" x14ac:dyDescent="0.25">
      <c r="A2439" t="s">
        <v>2465</v>
      </c>
      <c r="B2439" t="s">
        <v>9722</v>
      </c>
    </row>
    <row r="2440" spans="1:2" x14ac:dyDescent="0.25">
      <c r="A2440" t="s">
        <v>2466</v>
      </c>
      <c r="B2440" t="s">
        <v>9723</v>
      </c>
    </row>
    <row r="2441" spans="1:2" x14ac:dyDescent="0.25">
      <c r="A2441" t="s">
        <v>2467</v>
      </c>
      <c r="B2441" t="s">
        <v>9724</v>
      </c>
    </row>
    <row r="2442" spans="1:2" x14ac:dyDescent="0.25">
      <c r="A2442" t="s">
        <v>2468</v>
      </c>
      <c r="B2442" t="s">
        <v>9725</v>
      </c>
    </row>
    <row r="2443" spans="1:2" x14ac:dyDescent="0.25">
      <c r="A2443" t="s">
        <v>2469</v>
      </c>
      <c r="B2443" t="s">
        <v>9726</v>
      </c>
    </row>
    <row r="2444" spans="1:2" x14ac:dyDescent="0.25">
      <c r="A2444" t="s">
        <v>2470</v>
      </c>
      <c r="B2444" t="s">
        <v>9727</v>
      </c>
    </row>
    <row r="2445" spans="1:2" x14ac:dyDescent="0.25">
      <c r="A2445" t="s">
        <v>2471</v>
      </c>
      <c r="B2445" t="s">
        <v>9728</v>
      </c>
    </row>
    <row r="2446" spans="1:2" x14ac:dyDescent="0.25">
      <c r="A2446" t="s">
        <v>2472</v>
      </c>
      <c r="B2446" t="s">
        <v>9729</v>
      </c>
    </row>
    <row r="2447" spans="1:2" x14ac:dyDescent="0.25">
      <c r="A2447" t="s">
        <v>2473</v>
      </c>
      <c r="B2447" t="s">
        <v>9730</v>
      </c>
    </row>
    <row r="2448" spans="1:2" x14ac:dyDescent="0.25">
      <c r="A2448" t="s">
        <v>2474</v>
      </c>
      <c r="B2448" t="s">
        <v>9731</v>
      </c>
    </row>
    <row r="2449" spans="1:2" x14ac:dyDescent="0.25">
      <c r="A2449" t="s">
        <v>2475</v>
      </c>
      <c r="B2449" t="s">
        <v>9732</v>
      </c>
    </row>
    <row r="2450" spans="1:2" x14ac:dyDescent="0.25">
      <c r="A2450" t="s">
        <v>2476</v>
      </c>
      <c r="B2450" t="s">
        <v>9733</v>
      </c>
    </row>
    <row r="2451" spans="1:2" x14ac:dyDescent="0.25">
      <c r="A2451" t="s">
        <v>2477</v>
      </c>
      <c r="B2451" t="s">
        <v>9734</v>
      </c>
    </row>
    <row r="2452" spans="1:2" x14ac:dyDescent="0.25">
      <c r="A2452" t="s">
        <v>2478</v>
      </c>
      <c r="B2452" t="s">
        <v>9735</v>
      </c>
    </row>
    <row r="2453" spans="1:2" x14ac:dyDescent="0.25">
      <c r="A2453" t="s">
        <v>2479</v>
      </c>
      <c r="B2453" t="s">
        <v>9736</v>
      </c>
    </row>
    <row r="2454" spans="1:2" x14ac:dyDescent="0.25">
      <c r="A2454" t="s">
        <v>2480</v>
      </c>
      <c r="B2454" t="s">
        <v>9737</v>
      </c>
    </row>
    <row r="2455" spans="1:2" x14ac:dyDescent="0.25">
      <c r="A2455" t="s">
        <v>2481</v>
      </c>
      <c r="B2455" t="s">
        <v>9738</v>
      </c>
    </row>
    <row r="2456" spans="1:2" x14ac:dyDescent="0.25">
      <c r="A2456" t="s">
        <v>2482</v>
      </c>
      <c r="B2456" t="s">
        <v>9739</v>
      </c>
    </row>
    <row r="2457" spans="1:2" x14ac:dyDescent="0.25">
      <c r="A2457" t="s">
        <v>2483</v>
      </c>
      <c r="B2457" t="s">
        <v>9740</v>
      </c>
    </row>
    <row r="2458" spans="1:2" x14ac:dyDescent="0.25">
      <c r="A2458" t="s">
        <v>2484</v>
      </c>
      <c r="B2458" t="s">
        <v>9741</v>
      </c>
    </row>
    <row r="2459" spans="1:2" x14ac:dyDescent="0.25">
      <c r="A2459" t="s">
        <v>2485</v>
      </c>
      <c r="B2459" t="s">
        <v>9742</v>
      </c>
    </row>
    <row r="2460" spans="1:2" x14ac:dyDescent="0.25">
      <c r="A2460" t="s">
        <v>2486</v>
      </c>
      <c r="B2460" t="s">
        <v>9743</v>
      </c>
    </row>
    <row r="2461" spans="1:2" x14ac:dyDescent="0.25">
      <c r="A2461" t="s">
        <v>2487</v>
      </c>
      <c r="B2461" t="s">
        <v>9744</v>
      </c>
    </row>
    <row r="2462" spans="1:2" x14ac:dyDescent="0.25">
      <c r="A2462" t="s">
        <v>2488</v>
      </c>
      <c r="B2462" t="s">
        <v>9745</v>
      </c>
    </row>
    <row r="2463" spans="1:2" x14ac:dyDescent="0.25">
      <c r="A2463" t="s">
        <v>2489</v>
      </c>
      <c r="B2463" t="s">
        <v>9746</v>
      </c>
    </row>
    <row r="2464" spans="1:2" x14ac:dyDescent="0.25">
      <c r="A2464" t="s">
        <v>2490</v>
      </c>
      <c r="B2464" t="s">
        <v>9747</v>
      </c>
    </row>
    <row r="2465" spans="1:2" x14ac:dyDescent="0.25">
      <c r="A2465" t="s">
        <v>2491</v>
      </c>
      <c r="B2465" t="s">
        <v>9748</v>
      </c>
    </row>
    <row r="2466" spans="1:2" x14ac:dyDescent="0.25">
      <c r="A2466" t="s">
        <v>2492</v>
      </c>
      <c r="B2466" t="s">
        <v>9749</v>
      </c>
    </row>
    <row r="2467" spans="1:2" x14ac:dyDescent="0.25">
      <c r="A2467" t="s">
        <v>2493</v>
      </c>
      <c r="B2467" t="s">
        <v>9750</v>
      </c>
    </row>
    <row r="2468" spans="1:2" x14ac:dyDescent="0.25">
      <c r="A2468" t="s">
        <v>2494</v>
      </c>
      <c r="B2468" t="s">
        <v>9751</v>
      </c>
    </row>
    <row r="2469" spans="1:2" x14ac:dyDescent="0.25">
      <c r="A2469" t="s">
        <v>2495</v>
      </c>
      <c r="B2469" t="s">
        <v>9752</v>
      </c>
    </row>
    <row r="2470" spans="1:2" x14ac:dyDescent="0.25">
      <c r="A2470" t="s">
        <v>2496</v>
      </c>
      <c r="B2470" t="s">
        <v>9753</v>
      </c>
    </row>
    <row r="2471" spans="1:2" x14ac:dyDescent="0.25">
      <c r="A2471" t="s">
        <v>2497</v>
      </c>
      <c r="B2471" t="s">
        <v>9754</v>
      </c>
    </row>
    <row r="2472" spans="1:2" x14ac:dyDescent="0.25">
      <c r="A2472" t="s">
        <v>2498</v>
      </c>
      <c r="B2472" t="s">
        <v>9755</v>
      </c>
    </row>
    <row r="2473" spans="1:2" x14ac:dyDescent="0.25">
      <c r="A2473" t="s">
        <v>2499</v>
      </c>
      <c r="B2473" t="s">
        <v>9756</v>
      </c>
    </row>
    <row r="2474" spans="1:2" x14ac:dyDescent="0.25">
      <c r="A2474" t="s">
        <v>2500</v>
      </c>
      <c r="B2474" t="s">
        <v>9757</v>
      </c>
    </row>
    <row r="2475" spans="1:2" x14ac:dyDescent="0.25">
      <c r="A2475" t="s">
        <v>2501</v>
      </c>
      <c r="B2475" t="s">
        <v>9758</v>
      </c>
    </row>
    <row r="2476" spans="1:2" x14ac:dyDescent="0.25">
      <c r="A2476" t="s">
        <v>2502</v>
      </c>
      <c r="B2476" t="s">
        <v>9759</v>
      </c>
    </row>
    <row r="2477" spans="1:2" x14ac:dyDescent="0.25">
      <c r="A2477" t="s">
        <v>2503</v>
      </c>
      <c r="B2477" t="s">
        <v>9760</v>
      </c>
    </row>
    <row r="2478" spans="1:2" x14ac:dyDescent="0.25">
      <c r="A2478" t="s">
        <v>2504</v>
      </c>
      <c r="B2478" t="s">
        <v>9761</v>
      </c>
    </row>
    <row r="2479" spans="1:2" x14ac:dyDescent="0.25">
      <c r="A2479" t="s">
        <v>2505</v>
      </c>
      <c r="B2479" t="s">
        <v>9762</v>
      </c>
    </row>
    <row r="2480" spans="1:2" x14ac:dyDescent="0.25">
      <c r="A2480" t="s">
        <v>2506</v>
      </c>
      <c r="B2480" t="s">
        <v>9763</v>
      </c>
    </row>
    <row r="2481" spans="1:2" x14ac:dyDescent="0.25">
      <c r="A2481" t="s">
        <v>2507</v>
      </c>
      <c r="B2481" t="s">
        <v>9764</v>
      </c>
    </row>
    <row r="2482" spans="1:2" x14ac:dyDescent="0.25">
      <c r="A2482" t="s">
        <v>2508</v>
      </c>
      <c r="B2482" t="s">
        <v>9765</v>
      </c>
    </row>
    <row r="2483" spans="1:2" x14ac:dyDescent="0.25">
      <c r="A2483" t="s">
        <v>2509</v>
      </c>
      <c r="B2483" t="s">
        <v>9766</v>
      </c>
    </row>
    <row r="2484" spans="1:2" x14ac:dyDescent="0.25">
      <c r="A2484" t="s">
        <v>2510</v>
      </c>
      <c r="B2484" t="s">
        <v>9767</v>
      </c>
    </row>
    <row r="2485" spans="1:2" x14ac:dyDescent="0.25">
      <c r="A2485" t="s">
        <v>2511</v>
      </c>
      <c r="B2485" t="s">
        <v>9768</v>
      </c>
    </row>
    <row r="2486" spans="1:2" x14ac:dyDescent="0.25">
      <c r="A2486" t="s">
        <v>2512</v>
      </c>
      <c r="B2486" t="s">
        <v>9769</v>
      </c>
    </row>
    <row r="2487" spans="1:2" x14ac:dyDescent="0.25">
      <c r="A2487" t="s">
        <v>2513</v>
      </c>
      <c r="B2487" t="s">
        <v>9770</v>
      </c>
    </row>
    <row r="2488" spans="1:2" x14ac:dyDescent="0.25">
      <c r="A2488" t="s">
        <v>2514</v>
      </c>
      <c r="B2488" t="s">
        <v>9771</v>
      </c>
    </row>
    <row r="2489" spans="1:2" x14ac:dyDescent="0.25">
      <c r="A2489" t="s">
        <v>2515</v>
      </c>
      <c r="B2489" t="s">
        <v>9772</v>
      </c>
    </row>
    <row r="2490" spans="1:2" x14ac:dyDescent="0.25">
      <c r="A2490" t="s">
        <v>2516</v>
      </c>
      <c r="B2490" t="s">
        <v>9773</v>
      </c>
    </row>
    <row r="2491" spans="1:2" x14ac:dyDescent="0.25">
      <c r="A2491" t="s">
        <v>2517</v>
      </c>
      <c r="B2491" t="s">
        <v>9774</v>
      </c>
    </row>
    <row r="2492" spans="1:2" x14ac:dyDescent="0.25">
      <c r="A2492" t="s">
        <v>2518</v>
      </c>
      <c r="B2492" t="s">
        <v>9775</v>
      </c>
    </row>
    <row r="2493" spans="1:2" x14ac:dyDescent="0.25">
      <c r="A2493" t="s">
        <v>2519</v>
      </c>
      <c r="B2493" t="s">
        <v>9776</v>
      </c>
    </row>
    <row r="2494" spans="1:2" x14ac:dyDescent="0.25">
      <c r="A2494" t="s">
        <v>2520</v>
      </c>
      <c r="B2494" t="s">
        <v>9777</v>
      </c>
    </row>
    <row r="2495" spans="1:2" x14ac:dyDescent="0.25">
      <c r="A2495" t="s">
        <v>2521</v>
      </c>
      <c r="B2495" t="s">
        <v>9778</v>
      </c>
    </row>
    <row r="2496" spans="1:2" x14ac:dyDescent="0.25">
      <c r="A2496" t="s">
        <v>2522</v>
      </c>
      <c r="B2496" t="s">
        <v>9779</v>
      </c>
    </row>
    <row r="2497" spans="1:2" x14ac:dyDescent="0.25">
      <c r="A2497" t="s">
        <v>2523</v>
      </c>
      <c r="B2497" t="s">
        <v>9780</v>
      </c>
    </row>
    <row r="2498" spans="1:2" x14ac:dyDescent="0.25">
      <c r="A2498" t="s">
        <v>2524</v>
      </c>
      <c r="B2498" t="s">
        <v>9781</v>
      </c>
    </row>
    <row r="2499" spans="1:2" x14ac:dyDescent="0.25">
      <c r="A2499" t="s">
        <v>2525</v>
      </c>
      <c r="B2499" t="s">
        <v>9782</v>
      </c>
    </row>
    <row r="2500" spans="1:2" x14ac:dyDescent="0.25">
      <c r="A2500" t="s">
        <v>2526</v>
      </c>
      <c r="B2500" t="s">
        <v>9783</v>
      </c>
    </row>
    <row r="2501" spans="1:2" x14ac:dyDescent="0.25">
      <c r="A2501" t="s">
        <v>2527</v>
      </c>
      <c r="B2501" t="s">
        <v>9784</v>
      </c>
    </row>
    <row r="2502" spans="1:2" x14ac:dyDescent="0.25">
      <c r="A2502" t="s">
        <v>2528</v>
      </c>
      <c r="B2502" t="s">
        <v>9785</v>
      </c>
    </row>
    <row r="2503" spans="1:2" x14ac:dyDescent="0.25">
      <c r="A2503" t="s">
        <v>2529</v>
      </c>
      <c r="B2503" t="s">
        <v>9786</v>
      </c>
    </row>
    <row r="2504" spans="1:2" x14ac:dyDescent="0.25">
      <c r="A2504" t="s">
        <v>2530</v>
      </c>
      <c r="B2504" t="s">
        <v>9787</v>
      </c>
    </row>
    <row r="2505" spans="1:2" x14ac:dyDescent="0.25">
      <c r="A2505" t="s">
        <v>2531</v>
      </c>
      <c r="B2505" t="s">
        <v>9788</v>
      </c>
    </row>
    <row r="2506" spans="1:2" x14ac:dyDescent="0.25">
      <c r="A2506" t="s">
        <v>2532</v>
      </c>
      <c r="B2506" t="s">
        <v>9789</v>
      </c>
    </row>
    <row r="2507" spans="1:2" x14ac:dyDescent="0.25">
      <c r="A2507" t="s">
        <v>2533</v>
      </c>
      <c r="B2507" t="s">
        <v>9790</v>
      </c>
    </row>
    <row r="2508" spans="1:2" x14ac:dyDescent="0.25">
      <c r="A2508" t="s">
        <v>2534</v>
      </c>
      <c r="B2508" t="s">
        <v>9791</v>
      </c>
    </row>
    <row r="2509" spans="1:2" x14ac:dyDescent="0.25">
      <c r="A2509" t="s">
        <v>2535</v>
      </c>
      <c r="B2509" t="s">
        <v>9792</v>
      </c>
    </row>
    <row r="2510" spans="1:2" x14ac:dyDescent="0.25">
      <c r="A2510" t="s">
        <v>2536</v>
      </c>
      <c r="B2510" t="s">
        <v>9793</v>
      </c>
    </row>
    <row r="2511" spans="1:2" x14ac:dyDescent="0.25">
      <c r="A2511" t="s">
        <v>2537</v>
      </c>
      <c r="B2511" t="s">
        <v>9794</v>
      </c>
    </row>
    <row r="2512" spans="1:2" x14ac:dyDescent="0.25">
      <c r="A2512" t="s">
        <v>2538</v>
      </c>
      <c r="B2512" t="s">
        <v>9795</v>
      </c>
    </row>
    <row r="2513" spans="1:2" x14ac:dyDescent="0.25">
      <c r="A2513" t="s">
        <v>2539</v>
      </c>
      <c r="B2513" t="s">
        <v>9796</v>
      </c>
    </row>
    <row r="2514" spans="1:2" x14ac:dyDescent="0.25">
      <c r="A2514" t="s">
        <v>2540</v>
      </c>
      <c r="B2514" t="s">
        <v>9797</v>
      </c>
    </row>
    <row r="2515" spans="1:2" x14ac:dyDescent="0.25">
      <c r="A2515" t="s">
        <v>2541</v>
      </c>
      <c r="B2515" t="s">
        <v>9798</v>
      </c>
    </row>
    <row r="2516" spans="1:2" x14ac:dyDescent="0.25">
      <c r="A2516" t="s">
        <v>2542</v>
      </c>
      <c r="B2516" t="s">
        <v>9799</v>
      </c>
    </row>
    <row r="2517" spans="1:2" x14ac:dyDescent="0.25">
      <c r="A2517" t="s">
        <v>2543</v>
      </c>
      <c r="B2517" t="s">
        <v>9800</v>
      </c>
    </row>
    <row r="2518" spans="1:2" x14ac:dyDescent="0.25">
      <c r="A2518" t="s">
        <v>2544</v>
      </c>
      <c r="B2518" t="s">
        <v>9801</v>
      </c>
    </row>
    <row r="2519" spans="1:2" x14ac:dyDescent="0.25">
      <c r="A2519" t="s">
        <v>2545</v>
      </c>
      <c r="B2519" t="s">
        <v>9802</v>
      </c>
    </row>
    <row r="2520" spans="1:2" x14ac:dyDescent="0.25">
      <c r="A2520" t="s">
        <v>2546</v>
      </c>
      <c r="B2520" t="s">
        <v>9803</v>
      </c>
    </row>
    <row r="2521" spans="1:2" x14ac:dyDescent="0.25">
      <c r="A2521" t="s">
        <v>2547</v>
      </c>
      <c r="B2521" t="s">
        <v>9804</v>
      </c>
    </row>
    <row r="2522" spans="1:2" x14ac:dyDescent="0.25">
      <c r="A2522" t="s">
        <v>2548</v>
      </c>
      <c r="B2522" t="s">
        <v>9805</v>
      </c>
    </row>
    <row r="2523" spans="1:2" x14ac:dyDescent="0.25">
      <c r="A2523" t="s">
        <v>2549</v>
      </c>
      <c r="B2523" t="s">
        <v>9806</v>
      </c>
    </row>
    <row r="2524" spans="1:2" x14ac:dyDescent="0.25">
      <c r="A2524" t="s">
        <v>2550</v>
      </c>
      <c r="B2524" t="s">
        <v>9807</v>
      </c>
    </row>
    <row r="2525" spans="1:2" x14ac:dyDescent="0.25">
      <c r="A2525" t="s">
        <v>2551</v>
      </c>
      <c r="B2525" t="s">
        <v>9808</v>
      </c>
    </row>
    <row r="2526" spans="1:2" x14ac:dyDescent="0.25">
      <c r="A2526" t="s">
        <v>2552</v>
      </c>
      <c r="B2526" t="s">
        <v>9809</v>
      </c>
    </row>
    <row r="2527" spans="1:2" x14ac:dyDescent="0.25">
      <c r="A2527" t="s">
        <v>2553</v>
      </c>
      <c r="B2527" t="s">
        <v>9810</v>
      </c>
    </row>
    <row r="2528" spans="1:2" x14ac:dyDescent="0.25">
      <c r="A2528" t="s">
        <v>2554</v>
      </c>
      <c r="B2528" t="s">
        <v>9811</v>
      </c>
    </row>
    <row r="2529" spans="1:2" x14ac:dyDescent="0.25">
      <c r="A2529" t="s">
        <v>2555</v>
      </c>
      <c r="B2529" t="s">
        <v>9812</v>
      </c>
    </row>
    <row r="2530" spans="1:2" x14ac:dyDescent="0.25">
      <c r="A2530" t="s">
        <v>2556</v>
      </c>
      <c r="B2530" t="s">
        <v>9813</v>
      </c>
    </row>
    <row r="2531" spans="1:2" x14ac:dyDescent="0.25">
      <c r="A2531" t="s">
        <v>2557</v>
      </c>
      <c r="B2531" t="s">
        <v>9814</v>
      </c>
    </row>
    <row r="2532" spans="1:2" x14ac:dyDescent="0.25">
      <c r="A2532" t="s">
        <v>2558</v>
      </c>
      <c r="B2532" t="s">
        <v>9815</v>
      </c>
    </row>
    <row r="2533" spans="1:2" x14ac:dyDescent="0.25">
      <c r="A2533" t="s">
        <v>2559</v>
      </c>
      <c r="B2533" t="s">
        <v>9816</v>
      </c>
    </row>
    <row r="2534" spans="1:2" x14ac:dyDescent="0.25">
      <c r="A2534" t="s">
        <v>2560</v>
      </c>
      <c r="B2534" t="s">
        <v>9817</v>
      </c>
    </row>
    <row r="2535" spans="1:2" x14ac:dyDescent="0.25">
      <c r="A2535" t="s">
        <v>2561</v>
      </c>
      <c r="B2535" t="s">
        <v>9818</v>
      </c>
    </row>
    <row r="2536" spans="1:2" x14ac:dyDescent="0.25">
      <c r="A2536" t="s">
        <v>2562</v>
      </c>
      <c r="B2536" t="s">
        <v>9819</v>
      </c>
    </row>
    <row r="2537" spans="1:2" x14ac:dyDescent="0.25">
      <c r="A2537" t="s">
        <v>2563</v>
      </c>
      <c r="B2537" t="s">
        <v>9820</v>
      </c>
    </row>
    <row r="2538" spans="1:2" x14ac:dyDescent="0.25">
      <c r="A2538" t="s">
        <v>2564</v>
      </c>
      <c r="B2538" t="s">
        <v>9821</v>
      </c>
    </row>
    <row r="2539" spans="1:2" x14ac:dyDescent="0.25">
      <c r="A2539" t="s">
        <v>2565</v>
      </c>
      <c r="B2539" t="s">
        <v>9822</v>
      </c>
    </row>
    <row r="2540" spans="1:2" x14ac:dyDescent="0.25">
      <c r="A2540" t="s">
        <v>2566</v>
      </c>
      <c r="B2540" t="s">
        <v>9823</v>
      </c>
    </row>
    <row r="2541" spans="1:2" x14ac:dyDescent="0.25">
      <c r="A2541" t="s">
        <v>2567</v>
      </c>
      <c r="B2541" t="s">
        <v>9824</v>
      </c>
    </row>
    <row r="2542" spans="1:2" x14ac:dyDescent="0.25">
      <c r="A2542" t="s">
        <v>2568</v>
      </c>
      <c r="B2542" t="s">
        <v>9825</v>
      </c>
    </row>
    <row r="2543" spans="1:2" x14ac:dyDescent="0.25">
      <c r="A2543" t="s">
        <v>2569</v>
      </c>
      <c r="B2543" t="s">
        <v>9826</v>
      </c>
    </row>
    <row r="2544" spans="1:2" x14ac:dyDescent="0.25">
      <c r="A2544" t="s">
        <v>2570</v>
      </c>
      <c r="B2544" t="s">
        <v>9827</v>
      </c>
    </row>
    <row r="2545" spans="1:2" x14ac:dyDescent="0.25">
      <c r="A2545" t="s">
        <v>2571</v>
      </c>
      <c r="B2545" t="s">
        <v>9828</v>
      </c>
    </row>
    <row r="2546" spans="1:2" x14ac:dyDescent="0.25">
      <c r="A2546" t="s">
        <v>2572</v>
      </c>
      <c r="B2546" t="s">
        <v>9829</v>
      </c>
    </row>
    <row r="2547" spans="1:2" x14ac:dyDescent="0.25">
      <c r="A2547" t="s">
        <v>2573</v>
      </c>
      <c r="B2547" t="s">
        <v>9830</v>
      </c>
    </row>
    <row r="2548" spans="1:2" x14ac:dyDescent="0.25">
      <c r="A2548" t="s">
        <v>2574</v>
      </c>
      <c r="B2548" t="s">
        <v>9831</v>
      </c>
    </row>
    <row r="2549" spans="1:2" x14ac:dyDescent="0.25">
      <c r="A2549" t="s">
        <v>2575</v>
      </c>
      <c r="B2549" t="s">
        <v>9832</v>
      </c>
    </row>
    <row r="2550" spans="1:2" x14ac:dyDescent="0.25">
      <c r="A2550" t="s">
        <v>2576</v>
      </c>
      <c r="B2550" t="s">
        <v>9833</v>
      </c>
    </row>
    <row r="2551" spans="1:2" x14ac:dyDescent="0.25">
      <c r="A2551" t="s">
        <v>2577</v>
      </c>
      <c r="B2551" t="s">
        <v>9834</v>
      </c>
    </row>
    <row r="2552" spans="1:2" x14ac:dyDescent="0.25">
      <c r="A2552" t="s">
        <v>2578</v>
      </c>
      <c r="B2552" t="s">
        <v>9835</v>
      </c>
    </row>
    <row r="2553" spans="1:2" x14ac:dyDescent="0.25">
      <c r="A2553" t="s">
        <v>2579</v>
      </c>
      <c r="B2553" t="s">
        <v>9836</v>
      </c>
    </row>
    <row r="2554" spans="1:2" x14ac:dyDescent="0.25">
      <c r="A2554" t="s">
        <v>2580</v>
      </c>
      <c r="B2554" t="s">
        <v>9837</v>
      </c>
    </row>
    <row r="2555" spans="1:2" x14ac:dyDescent="0.25">
      <c r="A2555" t="s">
        <v>2581</v>
      </c>
      <c r="B2555" t="s">
        <v>9838</v>
      </c>
    </row>
    <row r="2556" spans="1:2" x14ac:dyDescent="0.25">
      <c r="A2556" t="s">
        <v>2582</v>
      </c>
      <c r="B2556" t="s">
        <v>9839</v>
      </c>
    </row>
    <row r="2557" spans="1:2" x14ac:dyDescent="0.25">
      <c r="A2557" t="s">
        <v>2583</v>
      </c>
      <c r="B2557" t="s">
        <v>9840</v>
      </c>
    </row>
    <row r="2558" spans="1:2" x14ac:dyDescent="0.25">
      <c r="A2558" t="s">
        <v>2584</v>
      </c>
      <c r="B2558" t="s">
        <v>9841</v>
      </c>
    </row>
    <row r="2559" spans="1:2" x14ac:dyDescent="0.25">
      <c r="A2559" t="s">
        <v>2585</v>
      </c>
      <c r="B2559" t="s">
        <v>9842</v>
      </c>
    </row>
    <row r="2560" spans="1:2" x14ac:dyDescent="0.25">
      <c r="A2560" t="s">
        <v>2586</v>
      </c>
      <c r="B2560" t="s">
        <v>9843</v>
      </c>
    </row>
    <row r="2561" spans="1:2" x14ac:dyDescent="0.25">
      <c r="A2561" t="s">
        <v>2587</v>
      </c>
      <c r="B2561" t="s">
        <v>9844</v>
      </c>
    </row>
    <row r="2562" spans="1:2" x14ac:dyDescent="0.25">
      <c r="A2562" t="s">
        <v>2588</v>
      </c>
      <c r="B2562" t="s">
        <v>9845</v>
      </c>
    </row>
    <row r="2563" spans="1:2" x14ac:dyDescent="0.25">
      <c r="A2563" t="s">
        <v>2589</v>
      </c>
      <c r="B2563" t="s">
        <v>9846</v>
      </c>
    </row>
    <row r="2564" spans="1:2" x14ac:dyDescent="0.25">
      <c r="A2564" t="s">
        <v>2590</v>
      </c>
      <c r="B2564" t="s">
        <v>9847</v>
      </c>
    </row>
    <row r="2565" spans="1:2" x14ac:dyDescent="0.25">
      <c r="A2565" t="s">
        <v>2591</v>
      </c>
      <c r="B2565" t="s">
        <v>9848</v>
      </c>
    </row>
    <row r="2566" spans="1:2" x14ac:dyDescent="0.25">
      <c r="A2566" t="s">
        <v>2592</v>
      </c>
      <c r="B2566" t="s">
        <v>9849</v>
      </c>
    </row>
    <row r="2567" spans="1:2" x14ac:dyDescent="0.25">
      <c r="A2567" t="s">
        <v>2593</v>
      </c>
      <c r="B2567" t="s">
        <v>9850</v>
      </c>
    </row>
    <row r="2568" spans="1:2" x14ac:dyDescent="0.25">
      <c r="A2568" t="s">
        <v>2594</v>
      </c>
      <c r="B2568" t="s">
        <v>9851</v>
      </c>
    </row>
    <row r="2569" spans="1:2" x14ac:dyDescent="0.25">
      <c r="A2569" t="s">
        <v>2595</v>
      </c>
      <c r="B2569" t="s">
        <v>9852</v>
      </c>
    </row>
    <row r="2570" spans="1:2" x14ac:dyDescent="0.25">
      <c r="A2570" t="s">
        <v>2596</v>
      </c>
      <c r="B2570" t="s">
        <v>9853</v>
      </c>
    </row>
    <row r="2571" spans="1:2" x14ac:dyDescent="0.25">
      <c r="A2571" t="s">
        <v>2597</v>
      </c>
      <c r="B2571" t="s">
        <v>9854</v>
      </c>
    </row>
    <row r="2572" spans="1:2" x14ac:dyDescent="0.25">
      <c r="A2572" t="s">
        <v>2598</v>
      </c>
      <c r="B2572" t="s">
        <v>9855</v>
      </c>
    </row>
    <row r="2573" spans="1:2" x14ac:dyDescent="0.25">
      <c r="A2573" t="s">
        <v>2599</v>
      </c>
      <c r="B2573" t="s">
        <v>9856</v>
      </c>
    </row>
    <row r="2574" spans="1:2" x14ac:dyDescent="0.25">
      <c r="A2574" t="s">
        <v>2600</v>
      </c>
      <c r="B2574" t="s">
        <v>9857</v>
      </c>
    </row>
    <row r="2575" spans="1:2" x14ac:dyDescent="0.25">
      <c r="A2575" t="s">
        <v>2601</v>
      </c>
      <c r="B2575" t="s">
        <v>9858</v>
      </c>
    </row>
    <row r="2576" spans="1:2" x14ac:dyDescent="0.25">
      <c r="A2576" t="s">
        <v>2602</v>
      </c>
      <c r="B2576" t="s">
        <v>9859</v>
      </c>
    </row>
    <row r="2577" spans="1:2" x14ac:dyDescent="0.25">
      <c r="A2577" t="s">
        <v>2603</v>
      </c>
      <c r="B2577" t="s">
        <v>9860</v>
      </c>
    </row>
    <row r="2578" spans="1:2" x14ac:dyDescent="0.25">
      <c r="A2578" t="s">
        <v>2604</v>
      </c>
      <c r="B2578" t="s">
        <v>9861</v>
      </c>
    </row>
    <row r="2579" spans="1:2" x14ac:dyDescent="0.25">
      <c r="A2579" t="s">
        <v>2605</v>
      </c>
      <c r="B2579" t="s">
        <v>9862</v>
      </c>
    </row>
    <row r="2580" spans="1:2" x14ac:dyDescent="0.25">
      <c r="A2580" t="s">
        <v>2606</v>
      </c>
      <c r="B2580" t="s">
        <v>9863</v>
      </c>
    </row>
    <row r="2581" spans="1:2" x14ac:dyDescent="0.25">
      <c r="A2581" t="s">
        <v>2607</v>
      </c>
      <c r="B2581" t="s">
        <v>9864</v>
      </c>
    </row>
    <row r="2582" spans="1:2" x14ac:dyDescent="0.25">
      <c r="A2582" t="s">
        <v>2608</v>
      </c>
      <c r="B2582" t="s">
        <v>9865</v>
      </c>
    </row>
    <row r="2583" spans="1:2" x14ac:dyDescent="0.25">
      <c r="A2583" t="s">
        <v>2609</v>
      </c>
      <c r="B2583" t="s">
        <v>9866</v>
      </c>
    </row>
    <row r="2584" spans="1:2" x14ac:dyDescent="0.25">
      <c r="A2584" t="s">
        <v>2610</v>
      </c>
      <c r="B2584" t="s">
        <v>9867</v>
      </c>
    </row>
    <row r="2585" spans="1:2" x14ac:dyDescent="0.25">
      <c r="A2585" t="s">
        <v>2611</v>
      </c>
      <c r="B2585" t="s">
        <v>9868</v>
      </c>
    </row>
    <row r="2586" spans="1:2" x14ac:dyDescent="0.25">
      <c r="A2586" t="s">
        <v>2612</v>
      </c>
      <c r="B2586" t="s">
        <v>9869</v>
      </c>
    </row>
    <row r="2587" spans="1:2" x14ac:dyDescent="0.25">
      <c r="A2587" t="s">
        <v>2613</v>
      </c>
      <c r="B2587" t="s">
        <v>9870</v>
      </c>
    </row>
    <row r="2588" spans="1:2" x14ac:dyDescent="0.25">
      <c r="A2588" t="s">
        <v>2614</v>
      </c>
      <c r="B2588" t="s">
        <v>9871</v>
      </c>
    </row>
    <row r="2589" spans="1:2" x14ac:dyDescent="0.25">
      <c r="A2589" t="s">
        <v>2615</v>
      </c>
      <c r="B2589" t="s">
        <v>9872</v>
      </c>
    </row>
    <row r="2590" spans="1:2" x14ac:dyDescent="0.25">
      <c r="A2590" t="s">
        <v>2616</v>
      </c>
      <c r="B2590" t="s">
        <v>9873</v>
      </c>
    </row>
    <row r="2591" spans="1:2" x14ac:dyDescent="0.25">
      <c r="A2591" t="s">
        <v>2617</v>
      </c>
      <c r="B2591" t="s">
        <v>9874</v>
      </c>
    </row>
    <row r="2592" spans="1:2" x14ac:dyDescent="0.25">
      <c r="A2592" t="s">
        <v>2618</v>
      </c>
      <c r="B2592" t="s">
        <v>9875</v>
      </c>
    </row>
    <row r="2593" spans="1:2" x14ac:dyDescent="0.25">
      <c r="A2593" t="s">
        <v>2619</v>
      </c>
      <c r="B2593" t="s">
        <v>9876</v>
      </c>
    </row>
    <row r="2594" spans="1:2" x14ac:dyDescent="0.25">
      <c r="A2594" t="s">
        <v>2620</v>
      </c>
      <c r="B2594" t="s">
        <v>9877</v>
      </c>
    </row>
    <row r="2595" spans="1:2" x14ac:dyDescent="0.25">
      <c r="A2595" t="s">
        <v>2621</v>
      </c>
      <c r="B2595" t="s">
        <v>9878</v>
      </c>
    </row>
    <row r="2596" spans="1:2" x14ac:dyDescent="0.25">
      <c r="A2596" t="s">
        <v>2622</v>
      </c>
      <c r="B2596" t="s">
        <v>9879</v>
      </c>
    </row>
    <row r="2597" spans="1:2" x14ac:dyDescent="0.25">
      <c r="A2597" t="s">
        <v>2623</v>
      </c>
      <c r="B2597" t="s">
        <v>9880</v>
      </c>
    </row>
    <row r="2598" spans="1:2" x14ac:dyDescent="0.25">
      <c r="A2598" t="s">
        <v>2624</v>
      </c>
      <c r="B2598" t="s">
        <v>9881</v>
      </c>
    </row>
    <row r="2599" spans="1:2" x14ac:dyDescent="0.25">
      <c r="A2599" t="s">
        <v>2625</v>
      </c>
      <c r="B2599" t="s">
        <v>9882</v>
      </c>
    </row>
    <row r="2600" spans="1:2" x14ac:dyDescent="0.25">
      <c r="A2600" t="s">
        <v>2626</v>
      </c>
      <c r="B2600" t="s">
        <v>9883</v>
      </c>
    </row>
    <row r="2601" spans="1:2" x14ac:dyDescent="0.25">
      <c r="A2601" t="s">
        <v>2627</v>
      </c>
      <c r="B2601" t="s">
        <v>9884</v>
      </c>
    </row>
    <row r="2602" spans="1:2" x14ac:dyDescent="0.25">
      <c r="A2602" t="s">
        <v>2628</v>
      </c>
      <c r="B2602" t="s">
        <v>9885</v>
      </c>
    </row>
    <row r="2603" spans="1:2" x14ac:dyDescent="0.25">
      <c r="A2603" t="s">
        <v>2629</v>
      </c>
      <c r="B2603" t="s">
        <v>9886</v>
      </c>
    </row>
    <row r="2604" spans="1:2" x14ac:dyDescent="0.25">
      <c r="A2604" t="s">
        <v>2630</v>
      </c>
      <c r="B2604" t="s">
        <v>9887</v>
      </c>
    </row>
    <row r="2605" spans="1:2" x14ac:dyDescent="0.25">
      <c r="A2605" t="s">
        <v>2631</v>
      </c>
      <c r="B2605" t="s">
        <v>9888</v>
      </c>
    </row>
    <row r="2606" spans="1:2" x14ac:dyDescent="0.25">
      <c r="A2606" t="s">
        <v>2632</v>
      </c>
      <c r="B2606" t="s">
        <v>9889</v>
      </c>
    </row>
    <row r="2607" spans="1:2" x14ac:dyDescent="0.25">
      <c r="A2607" t="s">
        <v>2633</v>
      </c>
      <c r="B2607" t="s">
        <v>9890</v>
      </c>
    </row>
    <row r="2608" spans="1:2" x14ac:dyDescent="0.25">
      <c r="A2608" t="s">
        <v>2634</v>
      </c>
      <c r="B2608" t="s">
        <v>9891</v>
      </c>
    </row>
    <row r="2609" spans="1:2" x14ac:dyDescent="0.25">
      <c r="A2609" t="s">
        <v>2635</v>
      </c>
      <c r="B2609" t="s">
        <v>9892</v>
      </c>
    </row>
    <row r="2610" spans="1:2" x14ac:dyDescent="0.25">
      <c r="A2610" t="s">
        <v>2636</v>
      </c>
      <c r="B2610" t="s">
        <v>9893</v>
      </c>
    </row>
    <row r="2611" spans="1:2" x14ac:dyDescent="0.25">
      <c r="A2611" t="s">
        <v>2637</v>
      </c>
      <c r="B2611" t="s">
        <v>9894</v>
      </c>
    </row>
    <row r="2612" spans="1:2" x14ac:dyDescent="0.25">
      <c r="A2612" t="s">
        <v>2638</v>
      </c>
      <c r="B2612" t="s">
        <v>9895</v>
      </c>
    </row>
    <row r="2613" spans="1:2" x14ac:dyDescent="0.25">
      <c r="A2613" t="s">
        <v>2639</v>
      </c>
      <c r="B2613" t="s">
        <v>9896</v>
      </c>
    </row>
    <row r="2614" spans="1:2" x14ac:dyDescent="0.25">
      <c r="A2614" t="s">
        <v>2640</v>
      </c>
      <c r="B2614" t="s">
        <v>9897</v>
      </c>
    </row>
    <row r="2615" spans="1:2" x14ac:dyDescent="0.25">
      <c r="A2615" t="s">
        <v>2641</v>
      </c>
      <c r="B2615" t="s">
        <v>9898</v>
      </c>
    </row>
    <row r="2616" spans="1:2" x14ac:dyDescent="0.25">
      <c r="A2616" t="s">
        <v>2642</v>
      </c>
      <c r="B2616" t="s">
        <v>9899</v>
      </c>
    </row>
    <row r="2617" spans="1:2" x14ac:dyDescent="0.25">
      <c r="A2617" t="s">
        <v>2643</v>
      </c>
      <c r="B2617" t="s">
        <v>9900</v>
      </c>
    </row>
    <row r="2618" spans="1:2" x14ac:dyDescent="0.25">
      <c r="A2618" t="s">
        <v>2644</v>
      </c>
      <c r="B2618" t="s">
        <v>9901</v>
      </c>
    </row>
    <row r="2619" spans="1:2" x14ac:dyDescent="0.25">
      <c r="A2619" t="s">
        <v>2645</v>
      </c>
      <c r="B2619" t="s">
        <v>9902</v>
      </c>
    </row>
    <row r="2620" spans="1:2" x14ac:dyDescent="0.25">
      <c r="A2620" t="s">
        <v>2646</v>
      </c>
      <c r="B2620" t="s">
        <v>9903</v>
      </c>
    </row>
    <row r="2621" spans="1:2" x14ac:dyDescent="0.25">
      <c r="A2621" t="s">
        <v>2647</v>
      </c>
      <c r="B2621" t="s">
        <v>9904</v>
      </c>
    </row>
    <row r="2622" spans="1:2" x14ac:dyDescent="0.25">
      <c r="A2622" t="s">
        <v>2648</v>
      </c>
      <c r="B2622" t="s">
        <v>9905</v>
      </c>
    </row>
    <row r="2623" spans="1:2" x14ac:dyDescent="0.25">
      <c r="A2623" t="s">
        <v>2649</v>
      </c>
      <c r="B2623" t="s">
        <v>9906</v>
      </c>
    </row>
    <row r="2624" spans="1:2" x14ac:dyDescent="0.25">
      <c r="A2624" t="s">
        <v>2650</v>
      </c>
      <c r="B2624" t="s">
        <v>9907</v>
      </c>
    </row>
    <row r="2625" spans="1:2" x14ac:dyDescent="0.25">
      <c r="A2625" t="s">
        <v>2651</v>
      </c>
      <c r="B2625" t="s">
        <v>9908</v>
      </c>
    </row>
    <row r="2626" spans="1:2" x14ac:dyDescent="0.25">
      <c r="A2626" t="s">
        <v>2652</v>
      </c>
      <c r="B2626" t="s">
        <v>9909</v>
      </c>
    </row>
    <row r="2627" spans="1:2" x14ac:dyDescent="0.25">
      <c r="A2627" t="s">
        <v>2653</v>
      </c>
      <c r="B2627" t="s">
        <v>9910</v>
      </c>
    </row>
    <row r="2628" spans="1:2" x14ac:dyDescent="0.25">
      <c r="A2628" t="s">
        <v>2654</v>
      </c>
      <c r="B2628" t="s">
        <v>9911</v>
      </c>
    </row>
    <row r="2629" spans="1:2" x14ac:dyDescent="0.25">
      <c r="A2629" t="s">
        <v>2655</v>
      </c>
      <c r="B2629" t="s">
        <v>9912</v>
      </c>
    </row>
    <row r="2630" spans="1:2" x14ac:dyDescent="0.25">
      <c r="A2630" t="s">
        <v>2656</v>
      </c>
      <c r="B2630" t="s">
        <v>9913</v>
      </c>
    </row>
    <row r="2631" spans="1:2" x14ac:dyDescent="0.25">
      <c r="A2631" t="s">
        <v>2657</v>
      </c>
      <c r="B2631" t="s">
        <v>9914</v>
      </c>
    </row>
    <row r="2632" spans="1:2" x14ac:dyDescent="0.25">
      <c r="A2632" t="s">
        <v>2658</v>
      </c>
      <c r="B2632" t="s">
        <v>9915</v>
      </c>
    </row>
    <row r="2633" spans="1:2" x14ac:dyDescent="0.25">
      <c r="A2633" t="s">
        <v>2659</v>
      </c>
      <c r="B2633" t="s">
        <v>9916</v>
      </c>
    </row>
    <row r="2634" spans="1:2" x14ac:dyDescent="0.25">
      <c r="A2634" t="s">
        <v>2660</v>
      </c>
      <c r="B2634" t="s">
        <v>9917</v>
      </c>
    </row>
    <row r="2635" spans="1:2" x14ac:dyDescent="0.25">
      <c r="A2635" t="s">
        <v>2661</v>
      </c>
      <c r="B2635" t="s">
        <v>9918</v>
      </c>
    </row>
    <row r="2636" spans="1:2" x14ac:dyDescent="0.25">
      <c r="A2636" t="s">
        <v>2662</v>
      </c>
      <c r="B2636" t="s">
        <v>9919</v>
      </c>
    </row>
    <row r="2637" spans="1:2" x14ac:dyDescent="0.25">
      <c r="A2637" t="s">
        <v>2663</v>
      </c>
      <c r="B2637" t="s">
        <v>9920</v>
      </c>
    </row>
    <row r="2638" spans="1:2" x14ac:dyDescent="0.25">
      <c r="A2638" t="s">
        <v>2664</v>
      </c>
      <c r="B2638" t="s">
        <v>9921</v>
      </c>
    </row>
    <row r="2639" spans="1:2" x14ac:dyDescent="0.25">
      <c r="A2639" t="s">
        <v>2665</v>
      </c>
      <c r="B2639" t="s">
        <v>9922</v>
      </c>
    </row>
    <row r="2640" spans="1:2" x14ac:dyDescent="0.25">
      <c r="A2640" t="s">
        <v>2666</v>
      </c>
      <c r="B2640" t="s">
        <v>9923</v>
      </c>
    </row>
    <row r="2641" spans="1:2" x14ac:dyDescent="0.25">
      <c r="A2641" t="s">
        <v>2667</v>
      </c>
      <c r="B2641" t="s">
        <v>9924</v>
      </c>
    </row>
    <row r="2642" spans="1:2" x14ac:dyDescent="0.25">
      <c r="A2642" t="s">
        <v>2668</v>
      </c>
      <c r="B2642" t="s">
        <v>9925</v>
      </c>
    </row>
    <row r="2643" spans="1:2" x14ac:dyDescent="0.25">
      <c r="A2643" t="s">
        <v>2669</v>
      </c>
      <c r="B2643" t="s">
        <v>9926</v>
      </c>
    </row>
    <row r="2644" spans="1:2" x14ac:dyDescent="0.25">
      <c r="A2644" t="s">
        <v>2670</v>
      </c>
      <c r="B2644" t="s">
        <v>9927</v>
      </c>
    </row>
    <row r="2645" spans="1:2" x14ac:dyDescent="0.25">
      <c r="A2645" t="s">
        <v>2671</v>
      </c>
      <c r="B2645" t="s">
        <v>9928</v>
      </c>
    </row>
    <row r="2646" spans="1:2" x14ac:dyDescent="0.25">
      <c r="A2646" t="s">
        <v>2672</v>
      </c>
      <c r="B2646" t="s">
        <v>9929</v>
      </c>
    </row>
    <row r="2647" spans="1:2" x14ac:dyDescent="0.25">
      <c r="A2647" t="s">
        <v>2673</v>
      </c>
      <c r="B2647" t="s">
        <v>9930</v>
      </c>
    </row>
    <row r="2648" spans="1:2" x14ac:dyDescent="0.25">
      <c r="A2648" t="s">
        <v>2674</v>
      </c>
      <c r="B2648" t="s">
        <v>9931</v>
      </c>
    </row>
    <row r="2649" spans="1:2" x14ac:dyDescent="0.25">
      <c r="A2649" t="s">
        <v>2675</v>
      </c>
      <c r="B2649" t="s">
        <v>9932</v>
      </c>
    </row>
    <row r="2650" spans="1:2" x14ac:dyDescent="0.25">
      <c r="A2650" t="s">
        <v>2676</v>
      </c>
      <c r="B2650" t="s">
        <v>9933</v>
      </c>
    </row>
    <row r="2651" spans="1:2" x14ac:dyDescent="0.25">
      <c r="A2651" t="s">
        <v>2677</v>
      </c>
      <c r="B2651" t="s">
        <v>9934</v>
      </c>
    </row>
    <row r="2652" spans="1:2" x14ac:dyDescent="0.25">
      <c r="A2652" t="s">
        <v>2678</v>
      </c>
      <c r="B2652" t="s">
        <v>9935</v>
      </c>
    </row>
    <row r="2653" spans="1:2" x14ac:dyDescent="0.25">
      <c r="A2653" t="s">
        <v>2679</v>
      </c>
      <c r="B2653" t="s">
        <v>9936</v>
      </c>
    </row>
    <row r="2654" spans="1:2" x14ac:dyDescent="0.25">
      <c r="A2654" t="s">
        <v>2680</v>
      </c>
      <c r="B2654" t="s">
        <v>9937</v>
      </c>
    </row>
    <row r="2655" spans="1:2" x14ac:dyDescent="0.25">
      <c r="A2655" t="s">
        <v>2681</v>
      </c>
      <c r="B2655" t="s">
        <v>9938</v>
      </c>
    </row>
    <row r="2656" spans="1:2" x14ac:dyDescent="0.25">
      <c r="A2656" t="s">
        <v>2682</v>
      </c>
      <c r="B2656" t="s">
        <v>9939</v>
      </c>
    </row>
    <row r="2657" spans="1:2" x14ac:dyDescent="0.25">
      <c r="A2657" t="s">
        <v>2683</v>
      </c>
      <c r="B2657" t="s">
        <v>9940</v>
      </c>
    </row>
    <row r="2658" spans="1:2" x14ac:dyDescent="0.25">
      <c r="A2658" t="s">
        <v>2684</v>
      </c>
      <c r="B2658" t="s">
        <v>9941</v>
      </c>
    </row>
    <row r="2659" spans="1:2" x14ac:dyDescent="0.25">
      <c r="A2659" t="s">
        <v>2685</v>
      </c>
      <c r="B2659" t="s">
        <v>9942</v>
      </c>
    </row>
    <row r="2660" spans="1:2" x14ac:dyDescent="0.25">
      <c r="A2660" t="s">
        <v>2686</v>
      </c>
      <c r="B2660" t="s">
        <v>9943</v>
      </c>
    </row>
    <row r="2661" spans="1:2" x14ac:dyDescent="0.25">
      <c r="A2661" t="s">
        <v>2687</v>
      </c>
      <c r="B2661" t="s">
        <v>9944</v>
      </c>
    </row>
    <row r="2662" spans="1:2" x14ac:dyDescent="0.25">
      <c r="A2662" t="s">
        <v>2688</v>
      </c>
      <c r="B2662" t="s">
        <v>9945</v>
      </c>
    </row>
    <row r="2663" spans="1:2" x14ac:dyDescent="0.25">
      <c r="A2663" t="s">
        <v>2689</v>
      </c>
      <c r="B2663" t="s">
        <v>9946</v>
      </c>
    </row>
    <row r="2664" spans="1:2" x14ac:dyDescent="0.25">
      <c r="A2664" t="s">
        <v>2690</v>
      </c>
      <c r="B2664" t="s">
        <v>9947</v>
      </c>
    </row>
    <row r="2665" spans="1:2" x14ac:dyDescent="0.25">
      <c r="A2665" t="s">
        <v>2691</v>
      </c>
      <c r="B2665" t="s">
        <v>9948</v>
      </c>
    </row>
    <row r="2666" spans="1:2" x14ac:dyDescent="0.25">
      <c r="A2666" t="s">
        <v>2692</v>
      </c>
      <c r="B2666" t="s">
        <v>9949</v>
      </c>
    </row>
    <row r="2667" spans="1:2" x14ac:dyDescent="0.25">
      <c r="A2667" t="s">
        <v>2693</v>
      </c>
      <c r="B2667" t="s">
        <v>9950</v>
      </c>
    </row>
    <row r="2668" spans="1:2" x14ac:dyDescent="0.25">
      <c r="A2668" t="s">
        <v>2694</v>
      </c>
      <c r="B2668" t="s">
        <v>9951</v>
      </c>
    </row>
    <row r="2669" spans="1:2" x14ac:dyDescent="0.25">
      <c r="A2669" t="s">
        <v>2695</v>
      </c>
      <c r="B2669" t="s">
        <v>9952</v>
      </c>
    </row>
    <row r="2670" spans="1:2" x14ac:dyDescent="0.25">
      <c r="A2670" t="s">
        <v>2696</v>
      </c>
      <c r="B2670" t="s">
        <v>9953</v>
      </c>
    </row>
    <row r="2671" spans="1:2" x14ac:dyDescent="0.25">
      <c r="A2671" t="s">
        <v>2697</v>
      </c>
      <c r="B2671" t="s">
        <v>9954</v>
      </c>
    </row>
    <row r="2672" spans="1:2" x14ac:dyDescent="0.25">
      <c r="A2672" t="s">
        <v>2698</v>
      </c>
      <c r="B2672" t="s">
        <v>9955</v>
      </c>
    </row>
    <row r="2673" spans="1:2" x14ac:dyDescent="0.25">
      <c r="A2673" t="s">
        <v>2699</v>
      </c>
      <c r="B2673" t="s">
        <v>9956</v>
      </c>
    </row>
    <row r="2674" spans="1:2" x14ac:dyDescent="0.25">
      <c r="A2674" t="s">
        <v>2700</v>
      </c>
      <c r="B2674" t="s">
        <v>9957</v>
      </c>
    </row>
    <row r="2675" spans="1:2" x14ac:dyDescent="0.25">
      <c r="A2675" t="s">
        <v>2701</v>
      </c>
      <c r="B2675" t="s">
        <v>9958</v>
      </c>
    </row>
    <row r="2676" spans="1:2" x14ac:dyDescent="0.25">
      <c r="A2676" t="s">
        <v>2702</v>
      </c>
      <c r="B2676" t="s">
        <v>9959</v>
      </c>
    </row>
    <row r="2677" spans="1:2" x14ac:dyDescent="0.25">
      <c r="A2677" t="s">
        <v>2703</v>
      </c>
      <c r="B2677" t="s">
        <v>9960</v>
      </c>
    </row>
    <row r="2678" spans="1:2" x14ac:dyDescent="0.25">
      <c r="A2678" t="s">
        <v>2704</v>
      </c>
      <c r="B2678" t="s">
        <v>9961</v>
      </c>
    </row>
    <row r="2679" spans="1:2" x14ac:dyDescent="0.25">
      <c r="A2679" t="s">
        <v>2705</v>
      </c>
      <c r="B2679" t="s">
        <v>9962</v>
      </c>
    </row>
    <row r="2680" spans="1:2" x14ac:dyDescent="0.25">
      <c r="A2680" t="s">
        <v>2706</v>
      </c>
      <c r="B2680" t="s">
        <v>9963</v>
      </c>
    </row>
    <row r="2681" spans="1:2" x14ac:dyDescent="0.25">
      <c r="A2681" t="s">
        <v>2707</v>
      </c>
      <c r="B2681" t="s">
        <v>9964</v>
      </c>
    </row>
    <row r="2682" spans="1:2" x14ac:dyDescent="0.25">
      <c r="A2682" t="s">
        <v>2708</v>
      </c>
      <c r="B2682" t="s">
        <v>9965</v>
      </c>
    </row>
    <row r="2683" spans="1:2" x14ac:dyDescent="0.25">
      <c r="A2683" t="s">
        <v>2709</v>
      </c>
      <c r="B2683" t="s">
        <v>9966</v>
      </c>
    </row>
    <row r="2684" spans="1:2" x14ac:dyDescent="0.25">
      <c r="A2684" t="s">
        <v>2710</v>
      </c>
      <c r="B2684" t="s">
        <v>9967</v>
      </c>
    </row>
    <row r="2685" spans="1:2" x14ac:dyDescent="0.25">
      <c r="A2685" t="s">
        <v>2711</v>
      </c>
      <c r="B2685" t="s">
        <v>9968</v>
      </c>
    </row>
    <row r="2686" spans="1:2" x14ac:dyDescent="0.25">
      <c r="A2686" t="s">
        <v>2712</v>
      </c>
      <c r="B2686" t="s">
        <v>9969</v>
      </c>
    </row>
    <row r="2687" spans="1:2" x14ac:dyDescent="0.25">
      <c r="A2687" t="s">
        <v>2713</v>
      </c>
      <c r="B2687" t="s">
        <v>9970</v>
      </c>
    </row>
    <row r="2688" spans="1:2" x14ac:dyDescent="0.25">
      <c r="A2688" t="s">
        <v>2714</v>
      </c>
      <c r="B2688" t="s">
        <v>9971</v>
      </c>
    </row>
    <row r="2689" spans="1:2" x14ac:dyDescent="0.25">
      <c r="A2689" t="s">
        <v>2715</v>
      </c>
      <c r="B2689" t="s">
        <v>9972</v>
      </c>
    </row>
    <row r="2690" spans="1:2" x14ac:dyDescent="0.25">
      <c r="A2690" t="s">
        <v>2716</v>
      </c>
      <c r="B2690" t="s">
        <v>9973</v>
      </c>
    </row>
    <row r="2691" spans="1:2" x14ac:dyDescent="0.25">
      <c r="A2691" t="s">
        <v>2717</v>
      </c>
      <c r="B2691" t="s">
        <v>9974</v>
      </c>
    </row>
    <row r="2692" spans="1:2" x14ac:dyDescent="0.25">
      <c r="A2692" t="s">
        <v>2718</v>
      </c>
      <c r="B2692" t="s">
        <v>9975</v>
      </c>
    </row>
    <row r="2693" spans="1:2" x14ac:dyDescent="0.25">
      <c r="A2693" t="s">
        <v>2719</v>
      </c>
      <c r="B2693" t="s">
        <v>9976</v>
      </c>
    </row>
    <row r="2694" spans="1:2" x14ac:dyDescent="0.25">
      <c r="A2694" t="s">
        <v>2720</v>
      </c>
      <c r="B2694" t="s">
        <v>9977</v>
      </c>
    </row>
    <row r="2695" spans="1:2" x14ac:dyDescent="0.25">
      <c r="A2695" t="s">
        <v>2721</v>
      </c>
      <c r="B2695" t="s">
        <v>9978</v>
      </c>
    </row>
    <row r="2696" spans="1:2" x14ac:dyDescent="0.25">
      <c r="A2696" t="s">
        <v>2722</v>
      </c>
      <c r="B2696" t="s">
        <v>9979</v>
      </c>
    </row>
    <row r="2697" spans="1:2" x14ac:dyDescent="0.25">
      <c r="A2697" t="s">
        <v>2723</v>
      </c>
      <c r="B2697" t="s">
        <v>9980</v>
      </c>
    </row>
    <row r="2698" spans="1:2" x14ac:dyDescent="0.25">
      <c r="A2698" t="s">
        <v>2724</v>
      </c>
      <c r="B2698" t="s">
        <v>9981</v>
      </c>
    </row>
    <row r="2699" spans="1:2" x14ac:dyDescent="0.25">
      <c r="A2699" t="s">
        <v>2725</v>
      </c>
      <c r="B2699" t="s">
        <v>9982</v>
      </c>
    </row>
    <row r="2700" spans="1:2" x14ac:dyDescent="0.25">
      <c r="A2700" t="s">
        <v>2726</v>
      </c>
      <c r="B2700" t="s">
        <v>9983</v>
      </c>
    </row>
    <row r="2701" spans="1:2" x14ac:dyDescent="0.25">
      <c r="A2701" t="s">
        <v>2727</v>
      </c>
      <c r="B2701" t="s">
        <v>9984</v>
      </c>
    </row>
    <row r="2702" spans="1:2" x14ac:dyDescent="0.25">
      <c r="A2702" t="s">
        <v>2728</v>
      </c>
      <c r="B2702" t="s">
        <v>9985</v>
      </c>
    </row>
    <row r="2703" spans="1:2" x14ac:dyDescent="0.25">
      <c r="A2703" t="s">
        <v>2729</v>
      </c>
      <c r="B2703" t="s">
        <v>9986</v>
      </c>
    </row>
    <row r="2704" spans="1:2" x14ac:dyDescent="0.25">
      <c r="A2704" t="s">
        <v>2730</v>
      </c>
      <c r="B2704" t="s">
        <v>9987</v>
      </c>
    </row>
    <row r="2705" spans="1:2" x14ac:dyDescent="0.25">
      <c r="A2705" t="s">
        <v>2731</v>
      </c>
      <c r="B2705" t="s">
        <v>9988</v>
      </c>
    </row>
    <row r="2706" spans="1:2" x14ac:dyDescent="0.25">
      <c r="A2706" t="s">
        <v>2732</v>
      </c>
      <c r="B2706" t="s">
        <v>9989</v>
      </c>
    </row>
    <row r="2707" spans="1:2" x14ac:dyDescent="0.25">
      <c r="A2707" t="s">
        <v>2733</v>
      </c>
      <c r="B2707" t="s">
        <v>9990</v>
      </c>
    </row>
    <row r="2708" spans="1:2" x14ac:dyDescent="0.25">
      <c r="A2708" t="s">
        <v>2734</v>
      </c>
      <c r="B2708" t="s">
        <v>9991</v>
      </c>
    </row>
    <row r="2709" spans="1:2" x14ac:dyDescent="0.25">
      <c r="A2709" t="s">
        <v>2735</v>
      </c>
      <c r="B2709" t="s">
        <v>9992</v>
      </c>
    </row>
    <row r="2710" spans="1:2" x14ac:dyDescent="0.25">
      <c r="A2710" t="s">
        <v>2736</v>
      </c>
      <c r="B2710" t="s">
        <v>9993</v>
      </c>
    </row>
    <row r="2711" spans="1:2" x14ac:dyDescent="0.25">
      <c r="A2711" t="s">
        <v>2737</v>
      </c>
      <c r="B2711" t="s">
        <v>9994</v>
      </c>
    </row>
    <row r="2712" spans="1:2" x14ac:dyDescent="0.25">
      <c r="A2712" t="s">
        <v>2738</v>
      </c>
      <c r="B2712" t="s">
        <v>9995</v>
      </c>
    </row>
    <row r="2713" spans="1:2" x14ac:dyDescent="0.25">
      <c r="A2713" t="s">
        <v>2739</v>
      </c>
      <c r="B2713" t="s">
        <v>9996</v>
      </c>
    </row>
    <row r="2714" spans="1:2" x14ac:dyDescent="0.25">
      <c r="A2714" t="s">
        <v>2740</v>
      </c>
      <c r="B2714" t="s">
        <v>9997</v>
      </c>
    </row>
    <row r="2715" spans="1:2" x14ac:dyDescent="0.25">
      <c r="A2715" t="s">
        <v>2741</v>
      </c>
      <c r="B2715" t="s">
        <v>9998</v>
      </c>
    </row>
    <row r="2716" spans="1:2" x14ac:dyDescent="0.25">
      <c r="A2716" t="s">
        <v>2742</v>
      </c>
      <c r="B2716" t="s">
        <v>9999</v>
      </c>
    </row>
    <row r="2717" spans="1:2" x14ac:dyDescent="0.25">
      <c r="A2717" t="s">
        <v>2743</v>
      </c>
      <c r="B2717" t="s">
        <v>10000</v>
      </c>
    </row>
    <row r="2718" spans="1:2" x14ac:dyDescent="0.25">
      <c r="A2718" t="s">
        <v>2744</v>
      </c>
      <c r="B2718" t="s">
        <v>10001</v>
      </c>
    </row>
    <row r="2719" spans="1:2" x14ac:dyDescent="0.25">
      <c r="A2719" t="s">
        <v>2745</v>
      </c>
      <c r="B2719" t="s">
        <v>10002</v>
      </c>
    </row>
    <row r="2720" spans="1:2" x14ac:dyDescent="0.25">
      <c r="A2720" t="s">
        <v>2746</v>
      </c>
      <c r="B2720" t="s">
        <v>10003</v>
      </c>
    </row>
    <row r="2721" spans="1:2" x14ac:dyDescent="0.25">
      <c r="A2721" t="s">
        <v>2747</v>
      </c>
      <c r="B2721" t="s">
        <v>10004</v>
      </c>
    </row>
    <row r="2722" spans="1:2" x14ac:dyDescent="0.25">
      <c r="A2722" t="s">
        <v>2748</v>
      </c>
      <c r="B2722" t="s">
        <v>10005</v>
      </c>
    </row>
    <row r="2723" spans="1:2" x14ac:dyDescent="0.25">
      <c r="A2723" t="s">
        <v>2749</v>
      </c>
      <c r="B2723" t="s">
        <v>10006</v>
      </c>
    </row>
    <row r="2724" spans="1:2" x14ac:dyDescent="0.25">
      <c r="A2724" t="s">
        <v>2750</v>
      </c>
      <c r="B2724" t="s">
        <v>10007</v>
      </c>
    </row>
    <row r="2725" spans="1:2" x14ac:dyDescent="0.25">
      <c r="A2725" t="s">
        <v>2751</v>
      </c>
      <c r="B2725" t="s">
        <v>10008</v>
      </c>
    </row>
    <row r="2726" spans="1:2" x14ac:dyDescent="0.25">
      <c r="A2726" t="s">
        <v>2752</v>
      </c>
      <c r="B2726" t="s">
        <v>10009</v>
      </c>
    </row>
    <row r="2727" spans="1:2" x14ac:dyDescent="0.25">
      <c r="A2727" t="s">
        <v>2753</v>
      </c>
      <c r="B2727" t="s">
        <v>10010</v>
      </c>
    </row>
    <row r="2728" spans="1:2" x14ac:dyDescent="0.25">
      <c r="A2728" t="s">
        <v>2754</v>
      </c>
      <c r="B2728" t="s">
        <v>10011</v>
      </c>
    </row>
    <row r="2729" spans="1:2" x14ac:dyDescent="0.25">
      <c r="A2729" t="s">
        <v>2755</v>
      </c>
      <c r="B2729" t="s">
        <v>10012</v>
      </c>
    </row>
    <row r="2730" spans="1:2" x14ac:dyDescent="0.25">
      <c r="A2730" t="s">
        <v>2756</v>
      </c>
      <c r="B2730" t="s">
        <v>10013</v>
      </c>
    </row>
    <row r="2731" spans="1:2" x14ac:dyDescent="0.25">
      <c r="A2731" t="s">
        <v>2757</v>
      </c>
      <c r="B2731" t="s">
        <v>10014</v>
      </c>
    </row>
    <row r="2732" spans="1:2" x14ac:dyDescent="0.25">
      <c r="A2732" t="s">
        <v>2758</v>
      </c>
      <c r="B2732" t="s">
        <v>10015</v>
      </c>
    </row>
    <row r="2733" spans="1:2" x14ac:dyDescent="0.25">
      <c r="A2733" t="s">
        <v>2759</v>
      </c>
      <c r="B2733" t="s">
        <v>10016</v>
      </c>
    </row>
    <row r="2734" spans="1:2" x14ac:dyDescent="0.25">
      <c r="A2734" t="s">
        <v>2760</v>
      </c>
      <c r="B2734" t="s">
        <v>10017</v>
      </c>
    </row>
    <row r="2735" spans="1:2" x14ac:dyDescent="0.25">
      <c r="A2735" t="s">
        <v>2761</v>
      </c>
      <c r="B2735" t="s">
        <v>10018</v>
      </c>
    </row>
    <row r="2736" spans="1:2" x14ac:dyDescent="0.25">
      <c r="A2736" t="s">
        <v>2762</v>
      </c>
      <c r="B2736" t="s">
        <v>10019</v>
      </c>
    </row>
    <row r="2737" spans="1:2" x14ac:dyDescent="0.25">
      <c r="A2737" t="s">
        <v>2763</v>
      </c>
      <c r="B2737" t="s">
        <v>10020</v>
      </c>
    </row>
    <row r="2738" spans="1:2" x14ac:dyDescent="0.25">
      <c r="A2738" t="s">
        <v>2764</v>
      </c>
      <c r="B2738" t="s">
        <v>10021</v>
      </c>
    </row>
    <row r="2739" spans="1:2" x14ac:dyDescent="0.25">
      <c r="A2739" t="s">
        <v>2765</v>
      </c>
      <c r="B2739" t="s">
        <v>10022</v>
      </c>
    </row>
    <row r="2740" spans="1:2" x14ac:dyDescent="0.25">
      <c r="A2740" t="s">
        <v>2766</v>
      </c>
      <c r="B2740" t="s">
        <v>10023</v>
      </c>
    </row>
    <row r="2741" spans="1:2" x14ac:dyDescent="0.25">
      <c r="A2741" t="s">
        <v>2767</v>
      </c>
      <c r="B2741" t="s">
        <v>10024</v>
      </c>
    </row>
    <row r="2742" spans="1:2" x14ac:dyDescent="0.25">
      <c r="A2742" t="s">
        <v>2768</v>
      </c>
      <c r="B2742" t="s">
        <v>10025</v>
      </c>
    </row>
    <row r="2743" spans="1:2" x14ac:dyDescent="0.25">
      <c r="A2743" t="s">
        <v>2769</v>
      </c>
      <c r="B2743" t="s">
        <v>10026</v>
      </c>
    </row>
    <row r="2744" spans="1:2" x14ac:dyDescent="0.25">
      <c r="A2744" t="s">
        <v>2770</v>
      </c>
      <c r="B2744" t="s">
        <v>10027</v>
      </c>
    </row>
    <row r="2745" spans="1:2" x14ac:dyDescent="0.25">
      <c r="A2745" t="s">
        <v>2771</v>
      </c>
      <c r="B2745" t="s">
        <v>10028</v>
      </c>
    </row>
    <row r="2746" spans="1:2" x14ac:dyDescent="0.25">
      <c r="A2746" t="s">
        <v>2772</v>
      </c>
      <c r="B2746" t="s">
        <v>10029</v>
      </c>
    </row>
    <row r="2747" spans="1:2" x14ac:dyDescent="0.25">
      <c r="A2747" t="s">
        <v>2773</v>
      </c>
      <c r="B2747" t="s">
        <v>10030</v>
      </c>
    </row>
    <row r="2748" spans="1:2" x14ac:dyDescent="0.25">
      <c r="A2748" t="s">
        <v>2774</v>
      </c>
      <c r="B2748" t="s">
        <v>10031</v>
      </c>
    </row>
    <row r="2749" spans="1:2" x14ac:dyDescent="0.25">
      <c r="A2749" t="s">
        <v>2775</v>
      </c>
      <c r="B2749" t="s">
        <v>10032</v>
      </c>
    </row>
    <row r="2750" spans="1:2" x14ac:dyDescent="0.25">
      <c r="A2750" t="s">
        <v>2776</v>
      </c>
      <c r="B2750" t="s">
        <v>10033</v>
      </c>
    </row>
    <row r="2751" spans="1:2" x14ac:dyDescent="0.25">
      <c r="A2751" t="s">
        <v>2777</v>
      </c>
      <c r="B2751" t="s">
        <v>10034</v>
      </c>
    </row>
    <row r="2752" spans="1:2" x14ac:dyDescent="0.25">
      <c r="A2752" t="s">
        <v>2778</v>
      </c>
      <c r="B2752" t="s">
        <v>10035</v>
      </c>
    </row>
    <row r="2753" spans="1:2" x14ac:dyDescent="0.25">
      <c r="A2753" t="s">
        <v>2779</v>
      </c>
      <c r="B2753" t="s">
        <v>10036</v>
      </c>
    </row>
    <row r="2754" spans="1:2" x14ac:dyDescent="0.25">
      <c r="A2754" t="s">
        <v>2780</v>
      </c>
      <c r="B2754" t="s">
        <v>10037</v>
      </c>
    </row>
    <row r="2755" spans="1:2" x14ac:dyDescent="0.25">
      <c r="A2755" t="s">
        <v>2781</v>
      </c>
      <c r="B2755" t="s">
        <v>10038</v>
      </c>
    </row>
    <row r="2756" spans="1:2" x14ac:dyDescent="0.25">
      <c r="A2756" t="s">
        <v>2782</v>
      </c>
      <c r="B2756" t="s">
        <v>10039</v>
      </c>
    </row>
    <row r="2757" spans="1:2" x14ac:dyDescent="0.25">
      <c r="A2757" t="s">
        <v>2783</v>
      </c>
      <c r="B2757" t="s">
        <v>10040</v>
      </c>
    </row>
    <row r="2758" spans="1:2" x14ac:dyDescent="0.25">
      <c r="A2758" t="s">
        <v>2784</v>
      </c>
      <c r="B2758" t="s">
        <v>10041</v>
      </c>
    </row>
    <row r="2759" spans="1:2" x14ac:dyDescent="0.25">
      <c r="A2759" t="s">
        <v>2785</v>
      </c>
      <c r="B2759" t="s">
        <v>10042</v>
      </c>
    </row>
    <row r="2760" spans="1:2" x14ac:dyDescent="0.25">
      <c r="A2760" t="s">
        <v>2786</v>
      </c>
      <c r="B2760" t="s">
        <v>10043</v>
      </c>
    </row>
    <row r="2761" spans="1:2" x14ac:dyDescent="0.25">
      <c r="A2761" t="s">
        <v>2787</v>
      </c>
      <c r="B2761" t="s">
        <v>10044</v>
      </c>
    </row>
    <row r="2762" spans="1:2" x14ac:dyDescent="0.25">
      <c r="A2762" t="s">
        <v>2788</v>
      </c>
      <c r="B2762" t="s">
        <v>10045</v>
      </c>
    </row>
    <row r="2763" spans="1:2" x14ac:dyDescent="0.25">
      <c r="A2763" t="s">
        <v>2789</v>
      </c>
      <c r="B2763" t="s">
        <v>10046</v>
      </c>
    </row>
    <row r="2764" spans="1:2" x14ac:dyDescent="0.25">
      <c r="A2764" t="s">
        <v>2790</v>
      </c>
      <c r="B2764" t="s">
        <v>10047</v>
      </c>
    </row>
    <row r="2765" spans="1:2" x14ac:dyDescent="0.25">
      <c r="A2765" t="s">
        <v>2791</v>
      </c>
      <c r="B2765" t="s">
        <v>10048</v>
      </c>
    </row>
    <row r="2766" spans="1:2" x14ac:dyDescent="0.25">
      <c r="A2766" t="s">
        <v>2792</v>
      </c>
      <c r="B2766" t="s">
        <v>10049</v>
      </c>
    </row>
    <row r="2767" spans="1:2" x14ac:dyDescent="0.25">
      <c r="A2767" t="s">
        <v>2793</v>
      </c>
      <c r="B2767" t="s">
        <v>10050</v>
      </c>
    </row>
    <row r="2768" spans="1:2" x14ac:dyDescent="0.25">
      <c r="A2768" t="s">
        <v>2794</v>
      </c>
      <c r="B2768" t="s">
        <v>10051</v>
      </c>
    </row>
    <row r="2769" spans="1:2" x14ac:dyDescent="0.25">
      <c r="A2769" t="s">
        <v>2795</v>
      </c>
      <c r="B2769" t="s">
        <v>10052</v>
      </c>
    </row>
    <row r="2770" spans="1:2" x14ac:dyDescent="0.25">
      <c r="A2770" t="s">
        <v>2796</v>
      </c>
      <c r="B2770" t="s">
        <v>10053</v>
      </c>
    </row>
    <row r="2771" spans="1:2" x14ac:dyDescent="0.25">
      <c r="A2771" t="s">
        <v>2797</v>
      </c>
      <c r="B2771" t="s">
        <v>10054</v>
      </c>
    </row>
    <row r="2772" spans="1:2" x14ac:dyDescent="0.25">
      <c r="A2772" t="s">
        <v>2798</v>
      </c>
      <c r="B2772" t="s">
        <v>10055</v>
      </c>
    </row>
    <row r="2773" spans="1:2" x14ac:dyDescent="0.25">
      <c r="A2773" t="s">
        <v>2799</v>
      </c>
      <c r="B2773" t="s">
        <v>10056</v>
      </c>
    </row>
    <row r="2774" spans="1:2" x14ac:dyDescent="0.25">
      <c r="A2774" t="s">
        <v>2800</v>
      </c>
      <c r="B2774" t="s">
        <v>10057</v>
      </c>
    </row>
    <row r="2775" spans="1:2" x14ac:dyDescent="0.25">
      <c r="A2775" t="s">
        <v>2801</v>
      </c>
      <c r="B2775" t="s">
        <v>10058</v>
      </c>
    </row>
    <row r="2776" spans="1:2" x14ac:dyDescent="0.25">
      <c r="A2776" t="s">
        <v>2802</v>
      </c>
      <c r="B2776" t="s">
        <v>10059</v>
      </c>
    </row>
    <row r="2777" spans="1:2" x14ac:dyDescent="0.25">
      <c r="A2777" t="s">
        <v>2803</v>
      </c>
      <c r="B2777" t="s">
        <v>10060</v>
      </c>
    </row>
    <row r="2778" spans="1:2" x14ac:dyDescent="0.25">
      <c r="A2778" t="s">
        <v>2804</v>
      </c>
      <c r="B2778" t="s">
        <v>10061</v>
      </c>
    </row>
    <row r="2779" spans="1:2" x14ac:dyDescent="0.25">
      <c r="A2779" t="s">
        <v>2805</v>
      </c>
      <c r="B2779" t="s">
        <v>10062</v>
      </c>
    </row>
    <row r="2780" spans="1:2" x14ac:dyDescent="0.25">
      <c r="A2780" t="s">
        <v>2806</v>
      </c>
      <c r="B2780" t="s">
        <v>10063</v>
      </c>
    </row>
    <row r="2781" spans="1:2" x14ac:dyDescent="0.25">
      <c r="A2781" t="s">
        <v>2807</v>
      </c>
      <c r="B2781" t="s">
        <v>10064</v>
      </c>
    </row>
    <row r="2782" spans="1:2" x14ac:dyDescent="0.25">
      <c r="A2782" t="s">
        <v>2808</v>
      </c>
      <c r="B2782" t="s">
        <v>10065</v>
      </c>
    </row>
    <row r="2783" spans="1:2" x14ac:dyDescent="0.25">
      <c r="A2783" t="s">
        <v>2809</v>
      </c>
      <c r="B2783" t="s">
        <v>10066</v>
      </c>
    </row>
    <row r="2784" spans="1:2" x14ac:dyDescent="0.25">
      <c r="A2784" t="s">
        <v>2810</v>
      </c>
      <c r="B2784" t="s">
        <v>10067</v>
      </c>
    </row>
    <row r="2785" spans="1:2" x14ac:dyDescent="0.25">
      <c r="A2785" t="s">
        <v>2811</v>
      </c>
      <c r="B2785" t="s">
        <v>10068</v>
      </c>
    </row>
    <row r="2786" spans="1:2" x14ac:dyDescent="0.25">
      <c r="A2786" t="s">
        <v>2812</v>
      </c>
      <c r="B2786" t="s">
        <v>10069</v>
      </c>
    </row>
    <row r="2787" spans="1:2" x14ac:dyDescent="0.25">
      <c r="A2787" t="s">
        <v>2813</v>
      </c>
      <c r="B2787" t="s">
        <v>10070</v>
      </c>
    </row>
    <row r="2788" spans="1:2" x14ac:dyDescent="0.25">
      <c r="A2788" t="s">
        <v>2814</v>
      </c>
      <c r="B2788" t="s">
        <v>10071</v>
      </c>
    </row>
    <row r="2789" spans="1:2" x14ac:dyDescent="0.25">
      <c r="A2789" t="s">
        <v>2815</v>
      </c>
      <c r="B2789" t="s">
        <v>10072</v>
      </c>
    </row>
    <row r="2790" spans="1:2" x14ac:dyDescent="0.25">
      <c r="A2790" t="s">
        <v>2816</v>
      </c>
      <c r="B2790" t="s">
        <v>10073</v>
      </c>
    </row>
    <row r="2791" spans="1:2" x14ac:dyDescent="0.25">
      <c r="A2791" t="s">
        <v>2817</v>
      </c>
      <c r="B2791" t="s">
        <v>10074</v>
      </c>
    </row>
    <row r="2792" spans="1:2" x14ac:dyDescent="0.25">
      <c r="A2792" t="s">
        <v>2818</v>
      </c>
      <c r="B2792" t="s">
        <v>10075</v>
      </c>
    </row>
    <row r="2793" spans="1:2" x14ac:dyDescent="0.25">
      <c r="A2793" t="s">
        <v>2819</v>
      </c>
      <c r="B2793" t="s">
        <v>10076</v>
      </c>
    </row>
    <row r="2794" spans="1:2" x14ac:dyDescent="0.25">
      <c r="A2794" t="s">
        <v>2820</v>
      </c>
      <c r="B2794" t="s">
        <v>10077</v>
      </c>
    </row>
    <row r="2795" spans="1:2" x14ac:dyDescent="0.25">
      <c r="A2795" t="s">
        <v>2821</v>
      </c>
      <c r="B2795" t="s">
        <v>10078</v>
      </c>
    </row>
    <row r="2796" spans="1:2" x14ac:dyDescent="0.25">
      <c r="A2796" t="s">
        <v>2822</v>
      </c>
      <c r="B2796" t="s">
        <v>10079</v>
      </c>
    </row>
    <row r="2797" spans="1:2" x14ac:dyDescent="0.25">
      <c r="A2797" t="s">
        <v>2823</v>
      </c>
      <c r="B2797" t="s">
        <v>10080</v>
      </c>
    </row>
    <row r="2798" spans="1:2" x14ac:dyDescent="0.25">
      <c r="A2798" t="s">
        <v>2824</v>
      </c>
      <c r="B2798" t="s">
        <v>10081</v>
      </c>
    </row>
    <row r="2799" spans="1:2" x14ac:dyDescent="0.25">
      <c r="A2799" t="s">
        <v>2825</v>
      </c>
      <c r="B2799" t="s">
        <v>10082</v>
      </c>
    </row>
    <row r="2800" spans="1:2" x14ac:dyDescent="0.25">
      <c r="A2800" t="s">
        <v>2826</v>
      </c>
      <c r="B2800" t="s">
        <v>10083</v>
      </c>
    </row>
    <row r="2801" spans="1:2" x14ac:dyDescent="0.25">
      <c r="A2801" t="s">
        <v>2827</v>
      </c>
      <c r="B2801" t="s">
        <v>10084</v>
      </c>
    </row>
    <row r="2802" spans="1:2" x14ac:dyDescent="0.25">
      <c r="A2802" t="s">
        <v>2828</v>
      </c>
      <c r="B2802" t="s">
        <v>10085</v>
      </c>
    </row>
    <row r="2803" spans="1:2" x14ac:dyDescent="0.25">
      <c r="A2803" t="s">
        <v>2829</v>
      </c>
      <c r="B2803" t="s">
        <v>10086</v>
      </c>
    </row>
    <row r="2804" spans="1:2" x14ac:dyDescent="0.25">
      <c r="A2804" t="s">
        <v>2830</v>
      </c>
      <c r="B2804" t="s">
        <v>10087</v>
      </c>
    </row>
    <row r="2805" spans="1:2" x14ac:dyDescent="0.25">
      <c r="A2805" t="s">
        <v>2831</v>
      </c>
      <c r="B2805" t="s">
        <v>10088</v>
      </c>
    </row>
    <row r="2806" spans="1:2" x14ac:dyDescent="0.25">
      <c r="A2806" t="s">
        <v>2832</v>
      </c>
      <c r="B2806" t="s">
        <v>10089</v>
      </c>
    </row>
    <row r="2807" spans="1:2" x14ac:dyDescent="0.25">
      <c r="A2807" t="s">
        <v>2833</v>
      </c>
      <c r="B2807" t="s">
        <v>10090</v>
      </c>
    </row>
    <row r="2808" spans="1:2" x14ac:dyDescent="0.25">
      <c r="A2808" t="s">
        <v>2834</v>
      </c>
      <c r="B2808" t="s">
        <v>10091</v>
      </c>
    </row>
    <row r="2809" spans="1:2" x14ac:dyDescent="0.25">
      <c r="A2809" t="s">
        <v>2835</v>
      </c>
      <c r="B2809" t="s">
        <v>10092</v>
      </c>
    </row>
    <row r="2810" spans="1:2" x14ac:dyDescent="0.25">
      <c r="A2810" t="s">
        <v>2836</v>
      </c>
      <c r="B2810" t="s">
        <v>10093</v>
      </c>
    </row>
    <row r="2811" spans="1:2" x14ac:dyDescent="0.25">
      <c r="A2811" t="s">
        <v>2837</v>
      </c>
      <c r="B2811" t="s">
        <v>10094</v>
      </c>
    </row>
    <row r="2812" spans="1:2" x14ac:dyDescent="0.25">
      <c r="A2812" t="s">
        <v>2838</v>
      </c>
      <c r="B2812" t="s">
        <v>10095</v>
      </c>
    </row>
    <row r="2813" spans="1:2" x14ac:dyDescent="0.25">
      <c r="A2813" t="s">
        <v>2839</v>
      </c>
      <c r="B2813" t="s">
        <v>10096</v>
      </c>
    </row>
    <row r="2814" spans="1:2" x14ac:dyDescent="0.25">
      <c r="A2814" t="s">
        <v>2840</v>
      </c>
      <c r="B2814" t="s">
        <v>10097</v>
      </c>
    </row>
    <row r="2815" spans="1:2" x14ac:dyDescent="0.25">
      <c r="A2815" t="s">
        <v>2841</v>
      </c>
      <c r="B2815" t="s">
        <v>10098</v>
      </c>
    </row>
    <row r="2816" spans="1:2" x14ac:dyDescent="0.25">
      <c r="A2816" t="s">
        <v>2842</v>
      </c>
      <c r="B2816" t="s">
        <v>10099</v>
      </c>
    </row>
    <row r="2817" spans="1:2" x14ac:dyDescent="0.25">
      <c r="A2817" t="s">
        <v>2843</v>
      </c>
      <c r="B2817" t="s">
        <v>10100</v>
      </c>
    </row>
    <row r="2818" spans="1:2" x14ac:dyDescent="0.25">
      <c r="A2818" t="s">
        <v>2844</v>
      </c>
      <c r="B2818" t="s">
        <v>10101</v>
      </c>
    </row>
    <row r="2819" spans="1:2" x14ac:dyDescent="0.25">
      <c r="A2819" t="s">
        <v>2845</v>
      </c>
      <c r="B2819" t="s">
        <v>10102</v>
      </c>
    </row>
    <row r="2820" spans="1:2" x14ac:dyDescent="0.25">
      <c r="A2820" t="s">
        <v>2846</v>
      </c>
      <c r="B2820" t="s">
        <v>10103</v>
      </c>
    </row>
    <row r="2821" spans="1:2" x14ac:dyDescent="0.25">
      <c r="A2821" t="s">
        <v>2847</v>
      </c>
      <c r="B2821" t="s">
        <v>10104</v>
      </c>
    </row>
    <row r="2822" spans="1:2" x14ac:dyDescent="0.25">
      <c r="A2822" t="s">
        <v>2848</v>
      </c>
      <c r="B2822" t="s">
        <v>10105</v>
      </c>
    </row>
    <row r="2823" spans="1:2" x14ac:dyDescent="0.25">
      <c r="A2823" t="s">
        <v>2849</v>
      </c>
      <c r="B2823" t="s">
        <v>10106</v>
      </c>
    </row>
    <row r="2824" spans="1:2" x14ac:dyDescent="0.25">
      <c r="A2824" t="s">
        <v>2850</v>
      </c>
      <c r="B2824" t="s">
        <v>10107</v>
      </c>
    </row>
    <row r="2825" spans="1:2" x14ac:dyDescent="0.25">
      <c r="A2825" t="s">
        <v>2851</v>
      </c>
      <c r="B2825" t="s">
        <v>10108</v>
      </c>
    </row>
    <row r="2826" spans="1:2" x14ac:dyDescent="0.25">
      <c r="A2826" t="s">
        <v>2852</v>
      </c>
      <c r="B2826" t="s">
        <v>10109</v>
      </c>
    </row>
    <row r="2827" spans="1:2" x14ac:dyDescent="0.25">
      <c r="A2827" t="s">
        <v>2853</v>
      </c>
      <c r="B2827" t="s">
        <v>10110</v>
      </c>
    </row>
    <row r="2828" spans="1:2" x14ac:dyDescent="0.25">
      <c r="A2828" t="s">
        <v>2854</v>
      </c>
      <c r="B2828" t="s">
        <v>10111</v>
      </c>
    </row>
    <row r="2829" spans="1:2" x14ac:dyDescent="0.25">
      <c r="A2829" t="s">
        <v>2855</v>
      </c>
      <c r="B2829" t="s">
        <v>10112</v>
      </c>
    </row>
    <row r="2830" spans="1:2" x14ac:dyDescent="0.25">
      <c r="A2830" t="s">
        <v>2856</v>
      </c>
      <c r="B2830" t="s">
        <v>10113</v>
      </c>
    </row>
    <row r="2831" spans="1:2" x14ac:dyDescent="0.25">
      <c r="A2831" t="s">
        <v>2857</v>
      </c>
      <c r="B2831" t="s">
        <v>10114</v>
      </c>
    </row>
    <row r="2832" spans="1:2" x14ac:dyDescent="0.25">
      <c r="A2832" t="s">
        <v>2858</v>
      </c>
      <c r="B2832" t="s">
        <v>10115</v>
      </c>
    </row>
    <row r="2833" spans="1:2" x14ac:dyDescent="0.25">
      <c r="A2833" t="s">
        <v>2859</v>
      </c>
      <c r="B2833" t="s">
        <v>10116</v>
      </c>
    </row>
    <row r="2834" spans="1:2" x14ac:dyDescent="0.25">
      <c r="A2834" t="s">
        <v>2860</v>
      </c>
      <c r="B2834" t="s">
        <v>10117</v>
      </c>
    </row>
    <row r="2835" spans="1:2" x14ac:dyDescent="0.25">
      <c r="A2835" t="s">
        <v>2861</v>
      </c>
      <c r="B2835" t="s">
        <v>10118</v>
      </c>
    </row>
    <row r="2836" spans="1:2" x14ac:dyDescent="0.25">
      <c r="A2836" t="s">
        <v>2862</v>
      </c>
      <c r="B2836" t="s">
        <v>10119</v>
      </c>
    </row>
    <row r="2837" spans="1:2" x14ac:dyDescent="0.25">
      <c r="A2837" t="s">
        <v>2863</v>
      </c>
      <c r="B2837" t="s">
        <v>10120</v>
      </c>
    </row>
    <row r="2838" spans="1:2" x14ac:dyDescent="0.25">
      <c r="A2838" t="s">
        <v>2864</v>
      </c>
      <c r="B2838" t="s">
        <v>10121</v>
      </c>
    </row>
    <row r="2839" spans="1:2" x14ac:dyDescent="0.25">
      <c r="A2839" t="s">
        <v>2865</v>
      </c>
      <c r="B2839" t="s">
        <v>10122</v>
      </c>
    </row>
    <row r="2840" spans="1:2" x14ac:dyDescent="0.25">
      <c r="A2840" t="s">
        <v>2866</v>
      </c>
      <c r="B2840" t="s">
        <v>10123</v>
      </c>
    </row>
    <row r="2841" spans="1:2" x14ac:dyDescent="0.25">
      <c r="A2841" t="s">
        <v>2867</v>
      </c>
      <c r="B2841" t="s">
        <v>10124</v>
      </c>
    </row>
    <row r="2842" spans="1:2" x14ac:dyDescent="0.25">
      <c r="A2842" t="s">
        <v>2868</v>
      </c>
      <c r="B2842" t="s">
        <v>10125</v>
      </c>
    </row>
    <row r="2843" spans="1:2" x14ac:dyDescent="0.25">
      <c r="A2843" t="s">
        <v>2869</v>
      </c>
      <c r="B2843" t="s">
        <v>10126</v>
      </c>
    </row>
    <row r="2844" spans="1:2" x14ac:dyDescent="0.25">
      <c r="A2844" t="s">
        <v>2870</v>
      </c>
      <c r="B2844" t="s">
        <v>10127</v>
      </c>
    </row>
    <row r="2845" spans="1:2" x14ac:dyDescent="0.25">
      <c r="A2845" t="s">
        <v>2871</v>
      </c>
      <c r="B2845" t="s">
        <v>10128</v>
      </c>
    </row>
    <row r="2846" spans="1:2" x14ac:dyDescent="0.25">
      <c r="A2846" t="s">
        <v>2872</v>
      </c>
      <c r="B2846" t="s">
        <v>10129</v>
      </c>
    </row>
    <row r="2847" spans="1:2" x14ac:dyDescent="0.25">
      <c r="A2847" t="s">
        <v>2873</v>
      </c>
      <c r="B2847" t="s">
        <v>10130</v>
      </c>
    </row>
    <row r="2848" spans="1:2" x14ac:dyDescent="0.25">
      <c r="A2848" t="s">
        <v>2874</v>
      </c>
      <c r="B2848" t="s">
        <v>10131</v>
      </c>
    </row>
    <row r="2849" spans="1:2" x14ac:dyDescent="0.25">
      <c r="A2849" t="s">
        <v>2875</v>
      </c>
      <c r="B2849" t="s">
        <v>10132</v>
      </c>
    </row>
    <row r="2850" spans="1:2" x14ac:dyDescent="0.25">
      <c r="A2850" t="s">
        <v>2876</v>
      </c>
      <c r="B2850" t="s">
        <v>10133</v>
      </c>
    </row>
    <row r="2851" spans="1:2" x14ac:dyDescent="0.25">
      <c r="A2851" t="s">
        <v>2877</v>
      </c>
      <c r="B2851" t="s">
        <v>10134</v>
      </c>
    </row>
    <row r="2852" spans="1:2" x14ac:dyDescent="0.25">
      <c r="A2852" t="s">
        <v>2878</v>
      </c>
      <c r="B2852" t="s">
        <v>10135</v>
      </c>
    </row>
    <row r="2853" spans="1:2" x14ac:dyDescent="0.25">
      <c r="A2853" t="s">
        <v>2879</v>
      </c>
      <c r="B2853" t="s">
        <v>10136</v>
      </c>
    </row>
    <row r="2854" spans="1:2" x14ac:dyDescent="0.25">
      <c r="A2854" t="s">
        <v>2880</v>
      </c>
      <c r="B2854" t="s">
        <v>10137</v>
      </c>
    </row>
    <row r="2855" spans="1:2" x14ac:dyDescent="0.25">
      <c r="A2855" t="s">
        <v>2881</v>
      </c>
      <c r="B2855" t="s">
        <v>10138</v>
      </c>
    </row>
    <row r="2856" spans="1:2" x14ac:dyDescent="0.25">
      <c r="A2856" t="s">
        <v>2882</v>
      </c>
      <c r="B2856" t="s">
        <v>10139</v>
      </c>
    </row>
    <row r="2857" spans="1:2" x14ac:dyDescent="0.25">
      <c r="A2857" t="s">
        <v>2883</v>
      </c>
      <c r="B2857" t="s">
        <v>10140</v>
      </c>
    </row>
    <row r="2858" spans="1:2" x14ac:dyDescent="0.25">
      <c r="A2858" t="s">
        <v>2884</v>
      </c>
      <c r="B2858" t="s">
        <v>10141</v>
      </c>
    </row>
    <row r="2859" spans="1:2" x14ac:dyDescent="0.25">
      <c r="A2859" t="s">
        <v>2885</v>
      </c>
      <c r="B2859" t="s">
        <v>10142</v>
      </c>
    </row>
    <row r="2860" spans="1:2" x14ac:dyDescent="0.25">
      <c r="A2860" t="s">
        <v>2886</v>
      </c>
      <c r="B2860" t="s">
        <v>10143</v>
      </c>
    </row>
    <row r="2861" spans="1:2" x14ac:dyDescent="0.25">
      <c r="A2861" t="s">
        <v>2887</v>
      </c>
      <c r="B2861" t="s">
        <v>10144</v>
      </c>
    </row>
    <row r="2862" spans="1:2" x14ac:dyDescent="0.25">
      <c r="A2862" t="s">
        <v>2888</v>
      </c>
      <c r="B2862" t="s">
        <v>10145</v>
      </c>
    </row>
    <row r="2863" spans="1:2" x14ac:dyDescent="0.25">
      <c r="A2863" t="s">
        <v>2889</v>
      </c>
      <c r="B2863" t="s">
        <v>10146</v>
      </c>
    </row>
    <row r="2864" spans="1:2" x14ac:dyDescent="0.25">
      <c r="A2864" t="s">
        <v>2890</v>
      </c>
      <c r="B2864" t="s">
        <v>10147</v>
      </c>
    </row>
    <row r="2865" spans="1:2" x14ac:dyDescent="0.25">
      <c r="A2865" t="s">
        <v>2891</v>
      </c>
      <c r="B2865" t="s">
        <v>10148</v>
      </c>
    </row>
    <row r="2866" spans="1:2" x14ac:dyDescent="0.25">
      <c r="A2866" t="s">
        <v>2892</v>
      </c>
      <c r="B2866" t="s">
        <v>10149</v>
      </c>
    </row>
    <row r="2867" spans="1:2" x14ac:dyDescent="0.25">
      <c r="A2867" t="s">
        <v>2893</v>
      </c>
      <c r="B2867" t="s">
        <v>10150</v>
      </c>
    </row>
    <row r="2868" spans="1:2" x14ac:dyDescent="0.25">
      <c r="A2868" t="s">
        <v>2894</v>
      </c>
      <c r="B2868" t="s">
        <v>10151</v>
      </c>
    </row>
    <row r="2869" spans="1:2" x14ac:dyDescent="0.25">
      <c r="A2869" t="s">
        <v>2895</v>
      </c>
      <c r="B2869" t="s">
        <v>10152</v>
      </c>
    </row>
    <row r="2870" spans="1:2" x14ac:dyDescent="0.25">
      <c r="A2870" t="s">
        <v>2896</v>
      </c>
      <c r="B2870" t="s">
        <v>10153</v>
      </c>
    </row>
    <row r="2871" spans="1:2" x14ac:dyDescent="0.25">
      <c r="A2871" t="s">
        <v>2897</v>
      </c>
      <c r="B2871" t="s">
        <v>10154</v>
      </c>
    </row>
    <row r="2872" spans="1:2" x14ac:dyDescent="0.25">
      <c r="A2872" t="s">
        <v>2898</v>
      </c>
      <c r="B2872" t="s">
        <v>10155</v>
      </c>
    </row>
    <row r="2873" spans="1:2" x14ac:dyDescent="0.25">
      <c r="A2873" t="s">
        <v>2899</v>
      </c>
      <c r="B2873" t="s">
        <v>10156</v>
      </c>
    </row>
    <row r="2874" spans="1:2" x14ac:dyDescent="0.25">
      <c r="A2874" t="s">
        <v>2900</v>
      </c>
      <c r="B2874" t="s">
        <v>10157</v>
      </c>
    </row>
    <row r="2875" spans="1:2" x14ac:dyDescent="0.25">
      <c r="A2875" t="s">
        <v>2901</v>
      </c>
      <c r="B2875" t="s">
        <v>10158</v>
      </c>
    </row>
    <row r="2876" spans="1:2" x14ac:dyDescent="0.25">
      <c r="A2876" t="s">
        <v>2902</v>
      </c>
      <c r="B2876" t="s">
        <v>10159</v>
      </c>
    </row>
    <row r="2877" spans="1:2" x14ac:dyDescent="0.25">
      <c r="A2877" t="s">
        <v>2903</v>
      </c>
      <c r="B2877" t="s">
        <v>10160</v>
      </c>
    </row>
    <row r="2878" spans="1:2" x14ac:dyDescent="0.25">
      <c r="A2878" t="s">
        <v>2904</v>
      </c>
      <c r="B2878" t="s">
        <v>10161</v>
      </c>
    </row>
    <row r="2879" spans="1:2" x14ac:dyDescent="0.25">
      <c r="A2879" t="s">
        <v>2905</v>
      </c>
      <c r="B2879" t="s">
        <v>10162</v>
      </c>
    </row>
    <row r="2880" spans="1:2" x14ac:dyDescent="0.25">
      <c r="A2880" t="s">
        <v>2906</v>
      </c>
      <c r="B2880" t="s">
        <v>10163</v>
      </c>
    </row>
    <row r="2881" spans="1:2" x14ac:dyDescent="0.25">
      <c r="A2881" t="s">
        <v>2907</v>
      </c>
      <c r="B2881" t="s">
        <v>10163</v>
      </c>
    </row>
    <row r="2882" spans="1:2" x14ac:dyDescent="0.25">
      <c r="A2882" t="s">
        <v>2908</v>
      </c>
      <c r="B2882" t="s">
        <v>10164</v>
      </c>
    </row>
    <row r="2883" spans="1:2" x14ac:dyDescent="0.25">
      <c r="A2883" t="s">
        <v>2909</v>
      </c>
      <c r="B2883" t="s">
        <v>10165</v>
      </c>
    </row>
    <row r="2884" spans="1:2" x14ac:dyDescent="0.25">
      <c r="A2884" t="s">
        <v>2910</v>
      </c>
      <c r="B2884" t="s">
        <v>10166</v>
      </c>
    </row>
    <row r="2885" spans="1:2" x14ac:dyDescent="0.25">
      <c r="A2885" t="s">
        <v>2911</v>
      </c>
      <c r="B2885" t="s">
        <v>10167</v>
      </c>
    </row>
    <row r="2886" spans="1:2" x14ac:dyDescent="0.25">
      <c r="A2886" t="s">
        <v>2912</v>
      </c>
      <c r="B2886" t="s">
        <v>10168</v>
      </c>
    </row>
    <row r="2887" spans="1:2" x14ac:dyDescent="0.25">
      <c r="A2887" t="s">
        <v>2913</v>
      </c>
      <c r="B2887" t="s">
        <v>10169</v>
      </c>
    </row>
    <row r="2888" spans="1:2" x14ac:dyDescent="0.25">
      <c r="A2888" t="s">
        <v>2914</v>
      </c>
      <c r="B2888" t="s">
        <v>10170</v>
      </c>
    </row>
    <row r="2889" spans="1:2" x14ac:dyDescent="0.25">
      <c r="A2889" t="s">
        <v>2915</v>
      </c>
      <c r="B2889" t="s">
        <v>10171</v>
      </c>
    </row>
    <row r="2890" spans="1:2" x14ac:dyDescent="0.25">
      <c r="A2890" t="s">
        <v>2916</v>
      </c>
      <c r="B2890" t="s">
        <v>10172</v>
      </c>
    </row>
    <row r="2891" spans="1:2" x14ac:dyDescent="0.25">
      <c r="A2891" t="s">
        <v>2917</v>
      </c>
      <c r="B2891" t="s">
        <v>10173</v>
      </c>
    </row>
    <row r="2892" spans="1:2" x14ac:dyDescent="0.25">
      <c r="A2892" t="s">
        <v>2918</v>
      </c>
      <c r="B2892" t="s">
        <v>10174</v>
      </c>
    </row>
    <row r="2893" spans="1:2" x14ac:dyDescent="0.25">
      <c r="A2893" t="s">
        <v>2919</v>
      </c>
      <c r="B2893" t="s">
        <v>10175</v>
      </c>
    </row>
    <row r="2894" spans="1:2" x14ac:dyDescent="0.25">
      <c r="A2894" t="s">
        <v>2920</v>
      </c>
      <c r="B2894" t="s">
        <v>10176</v>
      </c>
    </row>
    <row r="2895" spans="1:2" x14ac:dyDescent="0.25">
      <c r="A2895" t="s">
        <v>2921</v>
      </c>
      <c r="B2895" t="s">
        <v>10177</v>
      </c>
    </row>
    <row r="2896" spans="1:2" x14ac:dyDescent="0.25">
      <c r="A2896" t="s">
        <v>2922</v>
      </c>
      <c r="B2896" t="s">
        <v>10178</v>
      </c>
    </row>
    <row r="2897" spans="1:2" x14ac:dyDescent="0.25">
      <c r="A2897" t="s">
        <v>2923</v>
      </c>
      <c r="B2897" t="s">
        <v>10179</v>
      </c>
    </row>
    <row r="2898" spans="1:2" x14ac:dyDescent="0.25">
      <c r="A2898" t="s">
        <v>2924</v>
      </c>
      <c r="B2898" t="s">
        <v>10180</v>
      </c>
    </row>
    <row r="2899" spans="1:2" x14ac:dyDescent="0.25">
      <c r="A2899" t="s">
        <v>2925</v>
      </c>
      <c r="B2899" t="s">
        <v>10181</v>
      </c>
    </row>
    <row r="2900" spans="1:2" x14ac:dyDescent="0.25">
      <c r="A2900" t="s">
        <v>2926</v>
      </c>
      <c r="B2900" t="s">
        <v>10182</v>
      </c>
    </row>
    <row r="2901" spans="1:2" x14ac:dyDescent="0.25">
      <c r="A2901" t="s">
        <v>2927</v>
      </c>
      <c r="B2901" t="s">
        <v>10183</v>
      </c>
    </row>
    <row r="2902" spans="1:2" x14ac:dyDescent="0.25">
      <c r="A2902" t="s">
        <v>2928</v>
      </c>
      <c r="B2902" t="s">
        <v>10184</v>
      </c>
    </row>
    <row r="2903" spans="1:2" x14ac:dyDescent="0.25">
      <c r="A2903" t="s">
        <v>2929</v>
      </c>
      <c r="B2903" t="s">
        <v>10185</v>
      </c>
    </row>
    <row r="2904" spans="1:2" x14ac:dyDescent="0.25">
      <c r="A2904" t="s">
        <v>2930</v>
      </c>
      <c r="B2904" t="s">
        <v>10186</v>
      </c>
    </row>
    <row r="2905" spans="1:2" x14ac:dyDescent="0.25">
      <c r="A2905" t="s">
        <v>2931</v>
      </c>
      <c r="B2905" t="s">
        <v>10187</v>
      </c>
    </row>
    <row r="2906" spans="1:2" x14ac:dyDescent="0.25">
      <c r="A2906" t="s">
        <v>2932</v>
      </c>
      <c r="B2906" t="s">
        <v>10188</v>
      </c>
    </row>
    <row r="2907" spans="1:2" x14ac:dyDescent="0.25">
      <c r="A2907" t="s">
        <v>2933</v>
      </c>
      <c r="B2907" t="s">
        <v>10189</v>
      </c>
    </row>
    <row r="2908" spans="1:2" x14ac:dyDescent="0.25">
      <c r="A2908" t="s">
        <v>2934</v>
      </c>
      <c r="B2908" t="s">
        <v>10190</v>
      </c>
    </row>
    <row r="2909" spans="1:2" x14ac:dyDescent="0.25">
      <c r="A2909" t="s">
        <v>2935</v>
      </c>
      <c r="B2909" t="s">
        <v>10191</v>
      </c>
    </row>
    <row r="2910" spans="1:2" x14ac:dyDescent="0.25">
      <c r="A2910" t="s">
        <v>2936</v>
      </c>
      <c r="B2910" t="s">
        <v>10192</v>
      </c>
    </row>
    <row r="2911" spans="1:2" x14ac:dyDescent="0.25">
      <c r="A2911" t="s">
        <v>2937</v>
      </c>
      <c r="B2911" t="s">
        <v>10193</v>
      </c>
    </row>
    <row r="2912" spans="1:2" x14ac:dyDescent="0.25">
      <c r="A2912" t="s">
        <v>2938</v>
      </c>
      <c r="B2912" t="s">
        <v>10194</v>
      </c>
    </row>
    <row r="2913" spans="1:2" x14ac:dyDescent="0.25">
      <c r="A2913" t="s">
        <v>2939</v>
      </c>
      <c r="B2913" t="s">
        <v>10195</v>
      </c>
    </row>
    <row r="2914" spans="1:2" x14ac:dyDescent="0.25">
      <c r="A2914" t="s">
        <v>2940</v>
      </c>
      <c r="B2914" t="s">
        <v>10196</v>
      </c>
    </row>
    <row r="2915" spans="1:2" x14ac:dyDescent="0.25">
      <c r="A2915" t="s">
        <v>2941</v>
      </c>
      <c r="B2915" t="s">
        <v>10197</v>
      </c>
    </row>
    <row r="2916" spans="1:2" x14ac:dyDescent="0.25">
      <c r="A2916" t="s">
        <v>2942</v>
      </c>
      <c r="B2916" t="s">
        <v>10198</v>
      </c>
    </row>
    <row r="2917" spans="1:2" x14ac:dyDescent="0.25">
      <c r="A2917" t="s">
        <v>2943</v>
      </c>
      <c r="B2917" t="s">
        <v>10199</v>
      </c>
    </row>
    <row r="2918" spans="1:2" x14ac:dyDescent="0.25">
      <c r="A2918" t="s">
        <v>2944</v>
      </c>
      <c r="B2918" t="s">
        <v>10200</v>
      </c>
    </row>
    <row r="2919" spans="1:2" x14ac:dyDescent="0.25">
      <c r="A2919" t="s">
        <v>2945</v>
      </c>
      <c r="B2919" t="s">
        <v>10201</v>
      </c>
    </row>
    <row r="2920" spans="1:2" x14ac:dyDescent="0.25">
      <c r="A2920" t="s">
        <v>2946</v>
      </c>
      <c r="B2920" t="s">
        <v>10202</v>
      </c>
    </row>
    <row r="2921" spans="1:2" x14ac:dyDescent="0.25">
      <c r="A2921" t="s">
        <v>2947</v>
      </c>
      <c r="B2921" t="s">
        <v>10203</v>
      </c>
    </row>
    <row r="2922" spans="1:2" x14ac:dyDescent="0.25">
      <c r="A2922" t="s">
        <v>2948</v>
      </c>
      <c r="B2922" t="s">
        <v>10204</v>
      </c>
    </row>
    <row r="2923" spans="1:2" x14ac:dyDescent="0.25">
      <c r="A2923" t="s">
        <v>2949</v>
      </c>
      <c r="B2923" t="s">
        <v>10205</v>
      </c>
    </row>
    <row r="2924" spans="1:2" x14ac:dyDescent="0.25">
      <c r="A2924" t="s">
        <v>2950</v>
      </c>
      <c r="B2924" t="s">
        <v>10206</v>
      </c>
    </row>
    <row r="2925" spans="1:2" x14ac:dyDescent="0.25">
      <c r="A2925" t="s">
        <v>2951</v>
      </c>
      <c r="B2925" t="s">
        <v>10207</v>
      </c>
    </row>
    <row r="2926" spans="1:2" x14ac:dyDescent="0.25">
      <c r="A2926" t="s">
        <v>2952</v>
      </c>
      <c r="B2926" t="s">
        <v>10208</v>
      </c>
    </row>
    <row r="2927" spans="1:2" x14ac:dyDescent="0.25">
      <c r="A2927" t="s">
        <v>2953</v>
      </c>
      <c r="B2927" t="s">
        <v>10209</v>
      </c>
    </row>
    <row r="2928" spans="1:2" x14ac:dyDescent="0.25">
      <c r="A2928" t="s">
        <v>2954</v>
      </c>
      <c r="B2928" t="s">
        <v>10210</v>
      </c>
    </row>
    <row r="2929" spans="1:2" x14ac:dyDescent="0.25">
      <c r="A2929" t="s">
        <v>2955</v>
      </c>
      <c r="B2929" t="s">
        <v>10211</v>
      </c>
    </row>
    <row r="2930" spans="1:2" x14ac:dyDescent="0.25">
      <c r="A2930" t="s">
        <v>2956</v>
      </c>
      <c r="B2930" t="s">
        <v>10212</v>
      </c>
    </row>
    <row r="2931" spans="1:2" x14ac:dyDescent="0.25">
      <c r="A2931" t="s">
        <v>2957</v>
      </c>
      <c r="B2931" t="s">
        <v>10213</v>
      </c>
    </row>
    <row r="2932" spans="1:2" x14ac:dyDescent="0.25">
      <c r="A2932" t="s">
        <v>2958</v>
      </c>
      <c r="B2932" t="s">
        <v>10214</v>
      </c>
    </row>
    <row r="2933" spans="1:2" x14ac:dyDescent="0.25">
      <c r="A2933" t="s">
        <v>2959</v>
      </c>
      <c r="B2933" t="s">
        <v>10215</v>
      </c>
    </row>
    <row r="2934" spans="1:2" x14ac:dyDescent="0.25">
      <c r="A2934" t="s">
        <v>2960</v>
      </c>
      <c r="B2934" t="s">
        <v>10216</v>
      </c>
    </row>
    <row r="2935" spans="1:2" x14ac:dyDescent="0.25">
      <c r="A2935" t="s">
        <v>2961</v>
      </c>
      <c r="B2935" t="s">
        <v>10217</v>
      </c>
    </row>
    <row r="2936" spans="1:2" x14ac:dyDescent="0.25">
      <c r="A2936" t="s">
        <v>2962</v>
      </c>
      <c r="B2936" t="s">
        <v>10218</v>
      </c>
    </row>
    <row r="2937" spans="1:2" x14ac:dyDescent="0.25">
      <c r="A2937" t="s">
        <v>2963</v>
      </c>
      <c r="B2937" t="s">
        <v>10219</v>
      </c>
    </row>
    <row r="2938" spans="1:2" x14ac:dyDescent="0.25">
      <c r="A2938" t="s">
        <v>2964</v>
      </c>
      <c r="B2938" t="s">
        <v>10220</v>
      </c>
    </row>
    <row r="2939" spans="1:2" x14ac:dyDescent="0.25">
      <c r="A2939" t="s">
        <v>2965</v>
      </c>
      <c r="B2939" t="s">
        <v>10221</v>
      </c>
    </row>
    <row r="2940" spans="1:2" x14ac:dyDescent="0.25">
      <c r="A2940" t="s">
        <v>2966</v>
      </c>
      <c r="B2940" t="s">
        <v>10222</v>
      </c>
    </row>
    <row r="2941" spans="1:2" x14ac:dyDescent="0.25">
      <c r="A2941" t="s">
        <v>2967</v>
      </c>
      <c r="B2941" t="s">
        <v>10223</v>
      </c>
    </row>
    <row r="2942" spans="1:2" x14ac:dyDescent="0.25">
      <c r="A2942" t="s">
        <v>2968</v>
      </c>
      <c r="B2942" t="s">
        <v>10224</v>
      </c>
    </row>
    <row r="2943" spans="1:2" x14ac:dyDescent="0.25">
      <c r="A2943" t="s">
        <v>2969</v>
      </c>
      <c r="B2943" t="s">
        <v>10225</v>
      </c>
    </row>
    <row r="2944" spans="1:2" x14ac:dyDescent="0.25">
      <c r="A2944" t="s">
        <v>2970</v>
      </c>
      <c r="B2944" t="s">
        <v>10226</v>
      </c>
    </row>
    <row r="2945" spans="1:2" x14ac:dyDescent="0.25">
      <c r="A2945" t="s">
        <v>2971</v>
      </c>
      <c r="B2945" t="s">
        <v>10227</v>
      </c>
    </row>
    <row r="2946" spans="1:2" x14ac:dyDescent="0.25">
      <c r="A2946" t="s">
        <v>2972</v>
      </c>
      <c r="B2946" t="s">
        <v>10228</v>
      </c>
    </row>
    <row r="2947" spans="1:2" x14ac:dyDescent="0.25">
      <c r="A2947" t="s">
        <v>2973</v>
      </c>
      <c r="B2947" t="s">
        <v>10229</v>
      </c>
    </row>
    <row r="2948" spans="1:2" x14ac:dyDescent="0.25">
      <c r="A2948" t="s">
        <v>2974</v>
      </c>
      <c r="B2948" t="s">
        <v>10230</v>
      </c>
    </row>
    <row r="2949" spans="1:2" x14ac:dyDescent="0.25">
      <c r="A2949" t="s">
        <v>2975</v>
      </c>
      <c r="B2949" t="s">
        <v>10231</v>
      </c>
    </row>
    <row r="2950" spans="1:2" x14ac:dyDescent="0.25">
      <c r="A2950" t="s">
        <v>2976</v>
      </c>
      <c r="B2950" t="s">
        <v>10232</v>
      </c>
    </row>
    <row r="2951" spans="1:2" x14ac:dyDescent="0.25">
      <c r="A2951" t="s">
        <v>2977</v>
      </c>
      <c r="B2951" t="s">
        <v>10233</v>
      </c>
    </row>
    <row r="2952" spans="1:2" x14ac:dyDescent="0.25">
      <c r="A2952" t="s">
        <v>2978</v>
      </c>
      <c r="B2952" t="s">
        <v>10234</v>
      </c>
    </row>
    <row r="2953" spans="1:2" x14ac:dyDescent="0.25">
      <c r="A2953" t="s">
        <v>2979</v>
      </c>
      <c r="B2953" t="s">
        <v>10235</v>
      </c>
    </row>
    <row r="2954" spans="1:2" x14ac:dyDescent="0.25">
      <c r="A2954" t="s">
        <v>2980</v>
      </c>
      <c r="B2954" t="s">
        <v>10236</v>
      </c>
    </row>
    <row r="2955" spans="1:2" x14ac:dyDescent="0.25">
      <c r="A2955" t="s">
        <v>2981</v>
      </c>
      <c r="B2955" t="s">
        <v>10237</v>
      </c>
    </row>
    <row r="2956" spans="1:2" x14ac:dyDescent="0.25">
      <c r="A2956" t="s">
        <v>2982</v>
      </c>
      <c r="B2956" t="s">
        <v>10238</v>
      </c>
    </row>
    <row r="2957" spans="1:2" x14ac:dyDescent="0.25">
      <c r="A2957" t="s">
        <v>2983</v>
      </c>
      <c r="B2957" t="s">
        <v>10239</v>
      </c>
    </row>
    <row r="2958" spans="1:2" x14ac:dyDescent="0.25">
      <c r="A2958" t="s">
        <v>2984</v>
      </c>
      <c r="B2958" t="s">
        <v>10240</v>
      </c>
    </row>
    <row r="2959" spans="1:2" x14ac:dyDescent="0.25">
      <c r="A2959" t="s">
        <v>2985</v>
      </c>
      <c r="B2959" t="s">
        <v>10241</v>
      </c>
    </row>
    <row r="2960" spans="1:2" x14ac:dyDescent="0.25">
      <c r="A2960" t="s">
        <v>2986</v>
      </c>
      <c r="B2960" t="s">
        <v>10242</v>
      </c>
    </row>
    <row r="2961" spans="1:2" x14ac:dyDescent="0.25">
      <c r="A2961" t="s">
        <v>2987</v>
      </c>
      <c r="B2961" t="s">
        <v>10243</v>
      </c>
    </row>
    <row r="2962" spans="1:2" x14ac:dyDescent="0.25">
      <c r="A2962" t="s">
        <v>2988</v>
      </c>
      <c r="B2962" t="s">
        <v>10244</v>
      </c>
    </row>
    <row r="2963" spans="1:2" x14ac:dyDescent="0.25">
      <c r="A2963" t="s">
        <v>2989</v>
      </c>
      <c r="B2963" t="s">
        <v>10245</v>
      </c>
    </row>
    <row r="2964" spans="1:2" x14ac:dyDescent="0.25">
      <c r="A2964" t="s">
        <v>2990</v>
      </c>
      <c r="B2964" t="s">
        <v>10246</v>
      </c>
    </row>
    <row r="2965" spans="1:2" x14ac:dyDescent="0.25">
      <c r="A2965" t="s">
        <v>2991</v>
      </c>
      <c r="B2965" t="s">
        <v>10247</v>
      </c>
    </row>
    <row r="2966" spans="1:2" x14ac:dyDescent="0.25">
      <c r="A2966" t="s">
        <v>2992</v>
      </c>
      <c r="B2966" t="s">
        <v>10248</v>
      </c>
    </row>
    <row r="2967" spans="1:2" x14ac:dyDescent="0.25">
      <c r="A2967" t="s">
        <v>2993</v>
      </c>
      <c r="B2967" t="s">
        <v>10249</v>
      </c>
    </row>
    <row r="2968" spans="1:2" x14ac:dyDescent="0.25">
      <c r="A2968" t="s">
        <v>2994</v>
      </c>
      <c r="B2968" t="s">
        <v>10250</v>
      </c>
    </row>
    <row r="2969" spans="1:2" x14ac:dyDescent="0.25">
      <c r="A2969" t="s">
        <v>2995</v>
      </c>
      <c r="B2969" t="s">
        <v>10251</v>
      </c>
    </row>
    <row r="2970" spans="1:2" x14ac:dyDescent="0.25">
      <c r="A2970" t="s">
        <v>2996</v>
      </c>
      <c r="B2970" t="s">
        <v>10252</v>
      </c>
    </row>
    <row r="2971" spans="1:2" x14ac:dyDescent="0.25">
      <c r="A2971" t="s">
        <v>2997</v>
      </c>
      <c r="B2971" t="s">
        <v>10253</v>
      </c>
    </row>
    <row r="2972" spans="1:2" x14ac:dyDescent="0.25">
      <c r="A2972" t="s">
        <v>2998</v>
      </c>
      <c r="B2972" t="s">
        <v>10254</v>
      </c>
    </row>
    <row r="2973" spans="1:2" x14ac:dyDescent="0.25">
      <c r="A2973" t="s">
        <v>2999</v>
      </c>
      <c r="B2973" t="s">
        <v>10255</v>
      </c>
    </row>
    <row r="2974" spans="1:2" x14ac:dyDescent="0.25">
      <c r="A2974" t="s">
        <v>3000</v>
      </c>
      <c r="B2974" t="s">
        <v>10256</v>
      </c>
    </row>
    <row r="2975" spans="1:2" x14ac:dyDescent="0.25">
      <c r="A2975" t="s">
        <v>3001</v>
      </c>
      <c r="B2975" t="s">
        <v>10257</v>
      </c>
    </row>
    <row r="2976" spans="1:2" x14ac:dyDescent="0.25">
      <c r="A2976" t="s">
        <v>3002</v>
      </c>
      <c r="B2976" t="s">
        <v>10258</v>
      </c>
    </row>
    <row r="2977" spans="1:2" x14ac:dyDescent="0.25">
      <c r="A2977" t="s">
        <v>3003</v>
      </c>
      <c r="B2977" t="s">
        <v>10259</v>
      </c>
    </row>
    <row r="2978" spans="1:2" x14ac:dyDescent="0.25">
      <c r="A2978" t="s">
        <v>3004</v>
      </c>
      <c r="B2978" t="s">
        <v>10260</v>
      </c>
    </row>
    <row r="2979" spans="1:2" x14ac:dyDescent="0.25">
      <c r="A2979" t="s">
        <v>3005</v>
      </c>
      <c r="B2979" t="s">
        <v>10261</v>
      </c>
    </row>
    <row r="2980" spans="1:2" x14ac:dyDescent="0.25">
      <c r="A2980" t="s">
        <v>3006</v>
      </c>
      <c r="B2980" t="s">
        <v>10262</v>
      </c>
    </row>
    <row r="2981" spans="1:2" x14ac:dyDescent="0.25">
      <c r="A2981" t="s">
        <v>3007</v>
      </c>
      <c r="B2981" t="s">
        <v>10263</v>
      </c>
    </row>
    <row r="2982" spans="1:2" x14ac:dyDescent="0.25">
      <c r="A2982" t="s">
        <v>3008</v>
      </c>
      <c r="B2982" t="s">
        <v>10264</v>
      </c>
    </row>
    <row r="2983" spans="1:2" x14ac:dyDescent="0.25">
      <c r="A2983" t="s">
        <v>3009</v>
      </c>
      <c r="B2983" t="s">
        <v>10265</v>
      </c>
    </row>
    <row r="2984" spans="1:2" x14ac:dyDescent="0.25">
      <c r="A2984" t="s">
        <v>3010</v>
      </c>
      <c r="B2984" t="s">
        <v>10266</v>
      </c>
    </row>
    <row r="2985" spans="1:2" x14ac:dyDescent="0.25">
      <c r="A2985" t="s">
        <v>3011</v>
      </c>
      <c r="B2985" t="s">
        <v>10267</v>
      </c>
    </row>
    <row r="2986" spans="1:2" x14ac:dyDescent="0.25">
      <c r="A2986" t="s">
        <v>3012</v>
      </c>
      <c r="B2986" t="s">
        <v>10268</v>
      </c>
    </row>
    <row r="2987" spans="1:2" x14ac:dyDescent="0.25">
      <c r="A2987" t="s">
        <v>3013</v>
      </c>
      <c r="B2987" t="s">
        <v>10269</v>
      </c>
    </row>
    <row r="2988" spans="1:2" x14ac:dyDescent="0.25">
      <c r="A2988" t="s">
        <v>3014</v>
      </c>
      <c r="B2988" t="s">
        <v>10270</v>
      </c>
    </row>
    <row r="2989" spans="1:2" x14ac:dyDescent="0.25">
      <c r="A2989" t="s">
        <v>3015</v>
      </c>
      <c r="B2989" t="s">
        <v>10271</v>
      </c>
    </row>
    <row r="2990" spans="1:2" x14ac:dyDescent="0.25">
      <c r="A2990" t="s">
        <v>3016</v>
      </c>
      <c r="B2990" t="s">
        <v>10272</v>
      </c>
    </row>
    <row r="2991" spans="1:2" x14ac:dyDescent="0.25">
      <c r="A2991" t="s">
        <v>3017</v>
      </c>
      <c r="B2991" t="s">
        <v>10273</v>
      </c>
    </row>
    <row r="2992" spans="1:2" x14ac:dyDescent="0.25">
      <c r="A2992" t="s">
        <v>3018</v>
      </c>
      <c r="B2992" t="s">
        <v>10274</v>
      </c>
    </row>
    <row r="2993" spans="1:2" x14ac:dyDescent="0.25">
      <c r="A2993" t="s">
        <v>3019</v>
      </c>
      <c r="B2993" t="s">
        <v>10275</v>
      </c>
    </row>
    <row r="2994" spans="1:2" x14ac:dyDescent="0.25">
      <c r="A2994" t="s">
        <v>3020</v>
      </c>
      <c r="B2994" t="s">
        <v>10276</v>
      </c>
    </row>
    <row r="2995" spans="1:2" x14ac:dyDescent="0.25">
      <c r="A2995" t="s">
        <v>3021</v>
      </c>
      <c r="B2995" t="s">
        <v>10277</v>
      </c>
    </row>
    <row r="2996" spans="1:2" x14ac:dyDescent="0.25">
      <c r="A2996" t="s">
        <v>3022</v>
      </c>
      <c r="B2996" t="s">
        <v>10278</v>
      </c>
    </row>
    <row r="2997" spans="1:2" x14ac:dyDescent="0.25">
      <c r="A2997" t="s">
        <v>3023</v>
      </c>
      <c r="B2997" t="s">
        <v>10279</v>
      </c>
    </row>
    <row r="2998" spans="1:2" x14ac:dyDescent="0.25">
      <c r="A2998" t="s">
        <v>3024</v>
      </c>
      <c r="B2998" t="s">
        <v>10280</v>
      </c>
    </row>
    <row r="2999" spans="1:2" x14ac:dyDescent="0.25">
      <c r="A2999" t="s">
        <v>3025</v>
      </c>
      <c r="B2999" t="s">
        <v>10281</v>
      </c>
    </row>
    <row r="3000" spans="1:2" x14ac:dyDescent="0.25">
      <c r="A3000" t="s">
        <v>3026</v>
      </c>
      <c r="B3000" t="s">
        <v>10282</v>
      </c>
    </row>
    <row r="3001" spans="1:2" x14ac:dyDescent="0.25">
      <c r="A3001" t="s">
        <v>3027</v>
      </c>
      <c r="B3001" t="s">
        <v>10283</v>
      </c>
    </row>
    <row r="3002" spans="1:2" x14ac:dyDescent="0.25">
      <c r="A3002" t="s">
        <v>3028</v>
      </c>
      <c r="B3002" t="s">
        <v>10284</v>
      </c>
    </row>
    <row r="3003" spans="1:2" x14ac:dyDescent="0.25">
      <c r="A3003" t="s">
        <v>3029</v>
      </c>
      <c r="B3003" t="s">
        <v>10285</v>
      </c>
    </row>
    <row r="3004" spans="1:2" x14ac:dyDescent="0.25">
      <c r="A3004" t="s">
        <v>3030</v>
      </c>
      <c r="B3004" t="s">
        <v>10286</v>
      </c>
    </row>
    <row r="3005" spans="1:2" x14ac:dyDescent="0.25">
      <c r="A3005" t="s">
        <v>3031</v>
      </c>
      <c r="B3005" t="s">
        <v>10287</v>
      </c>
    </row>
    <row r="3006" spans="1:2" x14ac:dyDescent="0.25">
      <c r="A3006" t="s">
        <v>3032</v>
      </c>
      <c r="B3006" t="s">
        <v>10288</v>
      </c>
    </row>
    <row r="3007" spans="1:2" x14ac:dyDescent="0.25">
      <c r="A3007" t="s">
        <v>3033</v>
      </c>
      <c r="B3007" t="s">
        <v>10289</v>
      </c>
    </row>
    <row r="3008" spans="1:2" x14ac:dyDescent="0.25">
      <c r="A3008" t="s">
        <v>3034</v>
      </c>
      <c r="B3008" t="s">
        <v>10290</v>
      </c>
    </row>
    <row r="3009" spans="1:2" x14ac:dyDescent="0.25">
      <c r="A3009" t="s">
        <v>3035</v>
      </c>
      <c r="B3009" t="s">
        <v>10291</v>
      </c>
    </row>
    <row r="3010" spans="1:2" x14ac:dyDescent="0.25">
      <c r="A3010" t="s">
        <v>3036</v>
      </c>
      <c r="B3010" t="s">
        <v>10292</v>
      </c>
    </row>
    <row r="3011" spans="1:2" x14ac:dyDescent="0.25">
      <c r="A3011" t="s">
        <v>3037</v>
      </c>
      <c r="B3011" t="s">
        <v>10293</v>
      </c>
    </row>
    <row r="3012" spans="1:2" x14ac:dyDescent="0.25">
      <c r="A3012" t="s">
        <v>3038</v>
      </c>
      <c r="B3012" t="s">
        <v>10294</v>
      </c>
    </row>
    <row r="3013" spans="1:2" x14ac:dyDescent="0.25">
      <c r="A3013" t="s">
        <v>3039</v>
      </c>
      <c r="B3013" t="s">
        <v>10295</v>
      </c>
    </row>
    <row r="3014" spans="1:2" x14ac:dyDescent="0.25">
      <c r="A3014" t="s">
        <v>3040</v>
      </c>
      <c r="B3014" t="s">
        <v>10296</v>
      </c>
    </row>
    <row r="3015" spans="1:2" x14ac:dyDescent="0.25">
      <c r="A3015" t="s">
        <v>3041</v>
      </c>
      <c r="B3015" t="s">
        <v>10297</v>
      </c>
    </row>
    <row r="3016" spans="1:2" x14ac:dyDescent="0.25">
      <c r="A3016" t="s">
        <v>3042</v>
      </c>
      <c r="B3016" t="s">
        <v>10298</v>
      </c>
    </row>
    <row r="3017" spans="1:2" x14ac:dyDescent="0.25">
      <c r="A3017" t="s">
        <v>3043</v>
      </c>
      <c r="B3017" t="s">
        <v>10299</v>
      </c>
    </row>
    <row r="3018" spans="1:2" x14ac:dyDescent="0.25">
      <c r="A3018" t="s">
        <v>3044</v>
      </c>
      <c r="B3018" t="s">
        <v>10300</v>
      </c>
    </row>
    <row r="3019" spans="1:2" x14ac:dyDescent="0.25">
      <c r="A3019" t="s">
        <v>3045</v>
      </c>
      <c r="B3019" t="s">
        <v>10301</v>
      </c>
    </row>
    <row r="3020" spans="1:2" x14ac:dyDescent="0.25">
      <c r="A3020" t="s">
        <v>3046</v>
      </c>
      <c r="B3020" t="s">
        <v>10302</v>
      </c>
    </row>
    <row r="3021" spans="1:2" x14ac:dyDescent="0.25">
      <c r="A3021" t="s">
        <v>3047</v>
      </c>
      <c r="B3021" t="s">
        <v>10303</v>
      </c>
    </row>
    <row r="3022" spans="1:2" x14ac:dyDescent="0.25">
      <c r="A3022" t="s">
        <v>3048</v>
      </c>
      <c r="B3022" t="s">
        <v>10304</v>
      </c>
    </row>
    <row r="3023" spans="1:2" x14ac:dyDescent="0.25">
      <c r="A3023" t="s">
        <v>3049</v>
      </c>
      <c r="B3023" t="s">
        <v>10305</v>
      </c>
    </row>
    <row r="3024" spans="1:2" x14ac:dyDescent="0.25">
      <c r="A3024" t="s">
        <v>3050</v>
      </c>
      <c r="B3024" t="s">
        <v>10306</v>
      </c>
    </row>
    <row r="3025" spans="1:2" x14ac:dyDescent="0.25">
      <c r="A3025" t="s">
        <v>3051</v>
      </c>
      <c r="B3025" t="s">
        <v>10307</v>
      </c>
    </row>
    <row r="3026" spans="1:2" x14ac:dyDescent="0.25">
      <c r="A3026" t="s">
        <v>3052</v>
      </c>
      <c r="B3026" t="s">
        <v>10308</v>
      </c>
    </row>
    <row r="3027" spans="1:2" x14ac:dyDescent="0.25">
      <c r="A3027" t="s">
        <v>3053</v>
      </c>
      <c r="B3027" t="s">
        <v>10309</v>
      </c>
    </row>
    <row r="3028" spans="1:2" x14ac:dyDescent="0.25">
      <c r="A3028" t="s">
        <v>3054</v>
      </c>
      <c r="B3028" t="s">
        <v>10310</v>
      </c>
    </row>
    <row r="3029" spans="1:2" x14ac:dyDescent="0.25">
      <c r="A3029" t="s">
        <v>3055</v>
      </c>
      <c r="B3029" t="s">
        <v>10311</v>
      </c>
    </row>
    <row r="3030" spans="1:2" x14ac:dyDescent="0.25">
      <c r="A3030" t="s">
        <v>3056</v>
      </c>
      <c r="B3030" t="s">
        <v>10312</v>
      </c>
    </row>
    <row r="3031" spans="1:2" x14ac:dyDescent="0.25">
      <c r="A3031" t="s">
        <v>3057</v>
      </c>
      <c r="B3031" t="s">
        <v>10313</v>
      </c>
    </row>
    <row r="3032" spans="1:2" x14ac:dyDescent="0.25">
      <c r="A3032" t="s">
        <v>3058</v>
      </c>
      <c r="B3032" t="s">
        <v>10314</v>
      </c>
    </row>
    <row r="3033" spans="1:2" x14ac:dyDescent="0.25">
      <c r="A3033" t="s">
        <v>3059</v>
      </c>
      <c r="B3033" t="s">
        <v>10315</v>
      </c>
    </row>
    <row r="3034" spans="1:2" x14ac:dyDescent="0.25">
      <c r="A3034" t="s">
        <v>3060</v>
      </c>
      <c r="B3034" t="s">
        <v>10316</v>
      </c>
    </row>
    <row r="3035" spans="1:2" x14ac:dyDescent="0.25">
      <c r="A3035" t="s">
        <v>3061</v>
      </c>
      <c r="B3035" t="s">
        <v>10317</v>
      </c>
    </row>
    <row r="3036" spans="1:2" x14ac:dyDescent="0.25">
      <c r="A3036" t="s">
        <v>3062</v>
      </c>
      <c r="B3036" t="s">
        <v>10318</v>
      </c>
    </row>
    <row r="3037" spans="1:2" x14ac:dyDescent="0.25">
      <c r="A3037" t="s">
        <v>3063</v>
      </c>
      <c r="B3037" t="s">
        <v>10319</v>
      </c>
    </row>
    <row r="3038" spans="1:2" x14ac:dyDescent="0.25">
      <c r="A3038" t="s">
        <v>3064</v>
      </c>
      <c r="B3038" t="s">
        <v>10320</v>
      </c>
    </row>
    <row r="3039" spans="1:2" x14ac:dyDescent="0.25">
      <c r="A3039" t="s">
        <v>3065</v>
      </c>
      <c r="B3039" t="s">
        <v>10321</v>
      </c>
    </row>
    <row r="3040" spans="1:2" x14ac:dyDescent="0.25">
      <c r="A3040" t="s">
        <v>3066</v>
      </c>
      <c r="B3040" t="s">
        <v>10322</v>
      </c>
    </row>
    <row r="3041" spans="1:2" x14ac:dyDescent="0.25">
      <c r="A3041" t="s">
        <v>3067</v>
      </c>
      <c r="B3041" t="s">
        <v>10323</v>
      </c>
    </row>
    <row r="3042" spans="1:2" x14ac:dyDescent="0.25">
      <c r="A3042" t="s">
        <v>3068</v>
      </c>
      <c r="B3042" t="s">
        <v>10324</v>
      </c>
    </row>
    <row r="3043" spans="1:2" x14ac:dyDescent="0.25">
      <c r="A3043" t="s">
        <v>3069</v>
      </c>
      <c r="B3043" t="s">
        <v>10325</v>
      </c>
    </row>
    <row r="3044" spans="1:2" x14ac:dyDescent="0.25">
      <c r="A3044" t="s">
        <v>3070</v>
      </c>
      <c r="B3044" t="s">
        <v>10326</v>
      </c>
    </row>
    <row r="3045" spans="1:2" x14ac:dyDescent="0.25">
      <c r="A3045" t="s">
        <v>3071</v>
      </c>
      <c r="B3045" t="s">
        <v>10327</v>
      </c>
    </row>
    <row r="3046" spans="1:2" x14ac:dyDescent="0.25">
      <c r="A3046" t="s">
        <v>3072</v>
      </c>
      <c r="B3046" t="s">
        <v>10328</v>
      </c>
    </row>
    <row r="3047" spans="1:2" x14ac:dyDescent="0.25">
      <c r="A3047" t="s">
        <v>3073</v>
      </c>
      <c r="B3047" t="s">
        <v>10329</v>
      </c>
    </row>
    <row r="3048" spans="1:2" x14ac:dyDescent="0.25">
      <c r="A3048" t="s">
        <v>3074</v>
      </c>
      <c r="B3048" t="s">
        <v>10330</v>
      </c>
    </row>
    <row r="3049" spans="1:2" x14ac:dyDescent="0.25">
      <c r="A3049" t="s">
        <v>3075</v>
      </c>
      <c r="B3049" t="s">
        <v>10331</v>
      </c>
    </row>
    <row r="3050" spans="1:2" x14ac:dyDescent="0.25">
      <c r="A3050" t="s">
        <v>3076</v>
      </c>
      <c r="B3050" t="s">
        <v>10332</v>
      </c>
    </row>
    <row r="3051" spans="1:2" x14ac:dyDescent="0.25">
      <c r="A3051" t="s">
        <v>3077</v>
      </c>
      <c r="B3051" t="s">
        <v>10333</v>
      </c>
    </row>
    <row r="3052" spans="1:2" x14ac:dyDescent="0.25">
      <c r="A3052" t="s">
        <v>3078</v>
      </c>
      <c r="B3052" t="s">
        <v>10334</v>
      </c>
    </row>
    <row r="3053" spans="1:2" x14ac:dyDescent="0.25">
      <c r="A3053" t="s">
        <v>3079</v>
      </c>
      <c r="B3053" t="s">
        <v>10335</v>
      </c>
    </row>
    <row r="3054" spans="1:2" x14ac:dyDescent="0.25">
      <c r="A3054" t="s">
        <v>3080</v>
      </c>
      <c r="B3054" t="s">
        <v>10336</v>
      </c>
    </row>
    <row r="3055" spans="1:2" x14ac:dyDescent="0.25">
      <c r="A3055" t="s">
        <v>3081</v>
      </c>
      <c r="B3055" t="s">
        <v>10337</v>
      </c>
    </row>
    <row r="3056" spans="1:2" x14ac:dyDescent="0.25">
      <c r="A3056" t="s">
        <v>3082</v>
      </c>
      <c r="B3056" t="s">
        <v>10338</v>
      </c>
    </row>
    <row r="3057" spans="1:2" x14ac:dyDescent="0.25">
      <c r="A3057" t="s">
        <v>3083</v>
      </c>
      <c r="B3057" t="s">
        <v>10339</v>
      </c>
    </row>
    <row r="3058" spans="1:2" x14ac:dyDescent="0.25">
      <c r="A3058" t="s">
        <v>3084</v>
      </c>
      <c r="B3058" t="s">
        <v>10340</v>
      </c>
    </row>
    <row r="3059" spans="1:2" x14ac:dyDescent="0.25">
      <c r="A3059" t="s">
        <v>3085</v>
      </c>
      <c r="B3059" t="s">
        <v>10341</v>
      </c>
    </row>
    <row r="3060" spans="1:2" x14ac:dyDescent="0.25">
      <c r="A3060" t="s">
        <v>3086</v>
      </c>
      <c r="B3060" t="s">
        <v>10342</v>
      </c>
    </row>
    <row r="3061" spans="1:2" x14ac:dyDescent="0.25">
      <c r="A3061" t="s">
        <v>3087</v>
      </c>
      <c r="B3061" t="s">
        <v>10343</v>
      </c>
    </row>
    <row r="3062" spans="1:2" x14ac:dyDescent="0.25">
      <c r="A3062" t="s">
        <v>3088</v>
      </c>
      <c r="B3062" t="s">
        <v>10344</v>
      </c>
    </row>
    <row r="3063" spans="1:2" x14ac:dyDescent="0.25">
      <c r="A3063" t="s">
        <v>3089</v>
      </c>
      <c r="B3063" t="s">
        <v>10345</v>
      </c>
    </row>
    <row r="3064" spans="1:2" x14ac:dyDescent="0.25">
      <c r="A3064" t="s">
        <v>3090</v>
      </c>
      <c r="B3064" t="s">
        <v>10346</v>
      </c>
    </row>
    <row r="3065" spans="1:2" x14ac:dyDescent="0.25">
      <c r="A3065" t="s">
        <v>3091</v>
      </c>
      <c r="B3065" t="s">
        <v>10347</v>
      </c>
    </row>
    <row r="3066" spans="1:2" x14ac:dyDescent="0.25">
      <c r="A3066" t="s">
        <v>3092</v>
      </c>
      <c r="B3066" t="s">
        <v>10348</v>
      </c>
    </row>
    <row r="3067" spans="1:2" x14ac:dyDescent="0.25">
      <c r="A3067" t="s">
        <v>3093</v>
      </c>
      <c r="B3067" t="s">
        <v>10349</v>
      </c>
    </row>
    <row r="3068" spans="1:2" x14ac:dyDescent="0.25">
      <c r="A3068" t="s">
        <v>3094</v>
      </c>
      <c r="B3068" t="s">
        <v>10350</v>
      </c>
    </row>
    <row r="3069" spans="1:2" x14ac:dyDescent="0.25">
      <c r="A3069" t="s">
        <v>3095</v>
      </c>
      <c r="B3069" t="s">
        <v>10351</v>
      </c>
    </row>
    <row r="3070" spans="1:2" x14ac:dyDescent="0.25">
      <c r="A3070" t="s">
        <v>3096</v>
      </c>
      <c r="B3070" t="s">
        <v>10352</v>
      </c>
    </row>
    <row r="3071" spans="1:2" x14ac:dyDescent="0.25">
      <c r="A3071" t="s">
        <v>3097</v>
      </c>
      <c r="B3071" t="s">
        <v>10353</v>
      </c>
    </row>
    <row r="3072" spans="1:2" x14ac:dyDescent="0.25">
      <c r="A3072" t="s">
        <v>3098</v>
      </c>
      <c r="B3072" t="s">
        <v>10354</v>
      </c>
    </row>
    <row r="3073" spans="1:2" x14ac:dyDescent="0.25">
      <c r="A3073" t="s">
        <v>3099</v>
      </c>
      <c r="B3073" t="s">
        <v>10355</v>
      </c>
    </row>
    <row r="3074" spans="1:2" x14ac:dyDescent="0.25">
      <c r="A3074" t="s">
        <v>3100</v>
      </c>
      <c r="B3074" t="s">
        <v>10356</v>
      </c>
    </row>
    <row r="3075" spans="1:2" x14ac:dyDescent="0.25">
      <c r="A3075" t="s">
        <v>3101</v>
      </c>
      <c r="B3075" t="s">
        <v>10357</v>
      </c>
    </row>
    <row r="3076" spans="1:2" x14ac:dyDescent="0.25">
      <c r="A3076" t="s">
        <v>3102</v>
      </c>
      <c r="B3076" t="s">
        <v>10358</v>
      </c>
    </row>
    <row r="3077" spans="1:2" x14ac:dyDescent="0.25">
      <c r="A3077" t="s">
        <v>3103</v>
      </c>
      <c r="B3077" t="s">
        <v>10359</v>
      </c>
    </row>
    <row r="3078" spans="1:2" x14ac:dyDescent="0.25">
      <c r="A3078" t="s">
        <v>3104</v>
      </c>
      <c r="B3078" t="s">
        <v>10360</v>
      </c>
    </row>
    <row r="3079" spans="1:2" x14ac:dyDescent="0.25">
      <c r="A3079" t="s">
        <v>3105</v>
      </c>
      <c r="B3079" t="s">
        <v>10361</v>
      </c>
    </row>
    <row r="3080" spans="1:2" x14ac:dyDescent="0.25">
      <c r="A3080" t="s">
        <v>3106</v>
      </c>
      <c r="B3080" t="s">
        <v>10362</v>
      </c>
    </row>
    <row r="3081" spans="1:2" x14ac:dyDescent="0.25">
      <c r="A3081" t="s">
        <v>3107</v>
      </c>
      <c r="B3081" t="s">
        <v>10363</v>
      </c>
    </row>
    <row r="3082" spans="1:2" x14ac:dyDescent="0.25">
      <c r="A3082" t="s">
        <v>3108</v>
      </c>
      <c r="B3082" t="s">
        <v>10364</v>
      </c>
    </row>
    <row r="3083" spans="1:2" x14ac:dyDescent="0.25">
      <c r="A3083" t="s">
        <v>3109</v>
      </c>
      <c r="B3083" t="s">
        <v>10365</v>
      </c>
    </row>
    <row r="3084" spans="1:2" x14ac:dyDescent="0.25">
      <c r="A3084" t="s">
        <v>3110</v>
      </c>
      <c r="B3084" t="s">
        <v>10366</v>
      </c>
    </row>
    <row r="3085" spans="1:2" x14ac:dyDescent="0.25">
      <c r="A3085" t="s">
        <v>3111</v>
      </c>
      <c r="B3085" t="s">
        <v>10367</v>
      </c>
    </row>
    <row r="3086" spans="1:2" x14ac:dyDescent="0.25">
      <c r="A3086" t="s">
        <v>3112</v>
      </c>
      <c r="B3086" t="s">
        <v>10368</v>
      </c>
    </row>
    <row r="3087" spans="1:2" x14ac:dyDescent="0.25">
      <c r="A3087" t="s">
        <v>3113</v>
      </c>
      <c r="B3087" t="s">
        <v>10369</v>
      </c>
    </row>
    <row r="3088" spans="1:2" x14ac:dyDescent="0.25">
      <c r="A3088" t="s">
        <v>3114</v>
      </c>
      <c r="B3088" t="s">
        <v>10370</v>
      </c>
    </row>
    <row r="3089" spans="1:2" x14ac:dyDescent="0.25">
      <c r="A3089" t="s">
        <v>3115</v>
      </c>
      <c r="B3089" t="s">
        <v>10371</v>
      </c>
    </row>
    <row r="3090" spans="1:2" x14ac:dyDescent="0.25">
      <c r="A3090" t="s">
        <v>3116</v>
      </c>
      <c r="B3090" t="s">
        <v>10372</v>
      </c>
    </row>
    <row r="3091" spans="1:2" x14ac:dyDescent="0.25">
      <c r="A3091" t="s">
        <v>3117</v>
      </c>
      <c r="B3091" t="s">
        <v>10373</v>
      </c>
    </row>
    <row r="3092" spans="1:2" x14ac:dyDescent="0.25">
      <c r="A3092" t="s">
        <v>3118</v>
      </c>
      <c r="B3092" t="s">
        <v>10374</v>
      </c>
    </row>
    <row r="3093" spans="1:2" x14ac:dyDescent="0.25">
      <c r="A3093" t="s">
        <v>3119</v>
      </c>
      <c r="B3093" t="s">
        <v>10375</v>
      </c>
    </row>
    <row r="3094" spans="1:2" x14ac:dyDescent="0.25">
      <c r="A3094" t="s">
        <v>3120</v>
      </c>
      <c r="B3094" t="s">
        <v>10376</v>
      </c>
    </row>
    <row r="3095" spans="1:2" x14ac:dyDescent="0.25">
      <c r="A3095" t="s">
        <v>3121</v>
      </c>
      <c r="B3095" t="s">
        <v>10377</v>
      </c>
    </row>
    <row r="3096" spans="1:2" x14ac:dyDescent="0.25">
      <c r="A3096" t="s">
        <v>3122</v>
      </c>
      <c r="B3096" t="s">
        <v>10378</v>
      </c>
    </row>
    <row r="3097" spans="1:2" x14ac:dyDescent="0.25">
      <c r="A3097" t="s">
        <v>3123</v>
      </c>
      <c r="B3097" t="s">
        <v>10379</v>
      </c>
    </row>
    <row r="3098" spans="1:2" x14ac:dyDescent="0.25">
      <c r="A3098" t="s">
        <v>3124</v>
      </c>
      <c r="B3098" t="s">
        <v>10380</v>
      </c>
    </row>
    <row r="3099" spans="1:2" x14ac:dyDescent="0.25">
      <c r="A3099" t="s">
        <v>3125</v>
      </c>
      <c r="B3099" t="s">
        <v>10381</v>
      </c>
    </row>
    <row r="3100" spans="1:2" x14ac:dyDescent="0.25">
      <c r="A3100" t="s">
        <v>3126</v>
      </c>
      <c r="B3100" t="s">
        <v>10382</v>
      </c>
    </row>
    <row r="3101" spans="1:2" x14ac:dyDescent="0.25">
      <c r="A3101" t="s">
        <v>3127</v>
      </c>
      <c r="B3101" t="s">
        <v>10383</v>
      </c>
    </row>
    <row r="3102" spans="1:2" x14ac:dyDescent="0.25">
      <c r="A3102" t="s">
        <v>3128</v>
      </c>
      <c r="B3102" t="s">
        <v>10384</v>
      </c>
    </row>
    <row r="3103" spans="1:2" x14ac:dyDescent="0.25">
      <c r="A3103" t="s">
        <v>3129</v>
      </c>
      <c r="B3103" t="s">
        <v>10385</v>
      </c>
    </row>
    <row r="3104" spans="1:2" x14ac:dyDescent="0.25">
      <c r="A3104" t="s">
        <v>3130</v>
      </c>
      <c r="B3104" t="s">
        <v>10386</v>
      </c>
    </row>
    <row r="3105" spans="1:2" x14ac:dyDescent="0.25">
      <c r="A3105" t="s">
        <v>3131</v>
      </c>
      <c r="B3105" t="s">
        <v>10387</v>
      </c>
    </row>
    <row r="3106" spans="1:2" x14ac:dyDescent="0.25">
      <c r="A3106" t="s">
        <v>3132</v>
      </c>
      <c r="B3106" t="s">
        <v>10388</v>
      </c>
    </row>
    <row r="3107" spans="1:2" x14ac:dyDescent="0.25">
      <c r="A3107" t="s">
        <v>3133</v>
      </c>
      <c r="B3107" t="s">
        <v>10389</v>
      </c>
    </row>
    <row r="3108" spans="1:2" x14ac:dyDescent="0.25">
      <c r="A3108" t="s">
        <v>3134</v>
      </c>
      <c r="B3108" t="s">
        <v>10390</v>
      </c>
    </row>
    <row r="3109" spans="1:2" x14ac:dyDescent="0.25">
      <c r="A3109" t="s">
        <v>3135</v>
      </c>
      <c r="B3109" t="s">
        <v>10391</v>
      </c>
    </row>
    <row r="3110" spans="1:2" x14ac:dyDescent="0.25">
      <c r="A3110" t="s">
        <v>3136</v>
      </c>
      <c r="B3110" t="s">
        <v>10392</v>
      </c>
    </row>
    <row r="3111" spans="1:2" x14ac:dyDescent="0.25">
      <c r="A3111" t="s">
        <v>3137</v>
      </c>
      <c r="B3111" t="s">
        <v>10393</v>
      </c>
    </row>
    <row r="3112" spans="1:2" x14ac:dyDescent="0.25">
      <c r="A3112" t="s">
        <v>3138</v>
      </c>
      <c r="B3112" t="s">
        <v>10394</v>
      </c>
    </row>
    <row r="3113" spans="1:2" x14ac:dyDescent="0.25">
      <c r="A3113" t="s">
        <v>3139</v>
      </c>
      <c r="B3113" t="s">
        <v>10395</v>
      </c>
    </row>
    <row r="3114" spans="1:2" x14ac:dyDescent="0.25">
      <c r="A3114" t="s">
        <v>3140</v>
      </c>
      <c r="B3114" t="s">
        <v>10396</v>
      </c>
    </row>
    <row r="3115" spans="1:2" x14ac:dyDescent="0.25">
      <c r="A3115" t="s">
        <v>3141</v>
      </c>
      <c r="B3115" t="s">
        <v>10397</v>
      </c>
    </row>
    <row r="3116" spans="1:2" x14ac:dyDescent="0.25">
      <c r="A3116" t="s">
        <v>3142</v>
      </c>
      <c r="B3116" t="s">
        <v>10398</v>
      </c>
    </row>
    <row r="3117" spans="1:2" x14ac:dyDescent="0.25">
      <c r="A3117" t="s">
        <v>3143</v>
      </c>
      <c r="B3117" t="s">
        <v>10399</v>
      </c>
    </row>
    <row r="3118" spans="1:2" x14ac:dyDescent="0.25">
      <c r="A3118" t="s">
        <v>3144</v>
      </c>
      <c r="B3118" t="s">
        <v>10400</v>
      </c>
    </row>
    <row r="3119" spans="1:2" x14ac:dyDescent="0.25">
      <c r="A3119" t="s">
        <v>3145</v>
      </c>
      <c r="B3119" t="s">
        <v>10401</v>
      </c>
    </row>
    <row r="3120" spans="1:2" x14ac:dyDescent="0.25">
      <c r="A3120" t="s">
        <v>3146</v>
      </c>
      <c r="B3120" t="s">
        <v>10402</v>
      </c>
    </row>
    <row r="3121" spans="1:2" x14ac:dyDescent="0.25">
      <c r="A3121" t="s">
        <v>3147</v>
      </c>
      <c r="B3121" t="s">
        <v>10403</v>
      </c>
    </row>
    <row r="3122" spans="1:2" x14ac:dyDescent="0.25">
      <c r="A3122" t="s">
        <v>3148</v>
      </c>
      <c r="B3122" t="s">
        <v>10404</v>
      </c>
    </row>
    <row r="3123" spans="1:2" x14ac:dyDescent="0.25">
      <c r="A3123" t="s">
        <v>3149</v>
      </c>
      <c r="B3123" t="s">
        <v>10405</v>
      </c>
    </row>
    <row r="3124" spans="1:2" x14ac:dyDescent="0.25">
      <c r="A3124" t="s">
        <v>3150</v>
      </c>
      <c r="B3124" t="s">
        <v>10406</v>
      </c>
    </row>
    <row r="3125" spans="1:2" x14ac:dyDescent="0.25">
      <c r="A3125" t="s">
        <v>3151</v>
      </c>
      <c r="B3125" t="s">
        <v>10407</v>
      </c>
    </row>
    <row r="3126" spans="1:2" x14ac:dyDescent="0.25">
      <c r="A3126" t="s">
        <v>3152</v>
      </c>
      <c r="B3126" t="s">
        <v>10408</v>
      </c>
    </row>
    <row r="3127" spans="1:2" x14ac:dyDescent="0.25">
      <c r="A3127" t="s">
        <v>3153</v>
      </c>
      <c r="B3127" t="s">
        <v>10409</v>
      </c>
    </row>
    <row r="3128" spans="1:2" x14ac:dyDescent="0.25">
      <c r="A3128" t="s">
        <v>3154</v>
      </c>
      <c r="B3128" t="s">
        <v>10410</v>
      </c>
    </row>
    <row r="3129" spans="1:2" x14ac:dyDescent="0.25">
      <c r="A3129" t="s">
        <v>3155</v>
      </c>
      <c r="B3129" t="s">
        <v>10411</v>
      </c>
    </row>
    <row r="3130" spans="1:2" x14ac:dyDescent="0.25">
      <c r="A3130" t="s">
        <v>3156</v>
      </c>
      <c r="B3130" t="s">
        <v>10412</v>
      </c>
    </row>
    <row r="3131" spans="1:2" x14ac:dyDescent="0.25">
      <c r="A3131" t="s">
        <v>3157</v>
      </c>
      <c r="B3131" t="s">
        <v>10413</v>
      </c>
    </row>
    <row r="3132" spans="1:2" x14ac:dyDescent="0.25">
      <c r="A3132" t="s">
        <v>3158</v>
      </c>
      <c r="B3132" t="s">
        <v>10414</v>
      </c>
    </row>
    <row r="3133" spans="1:2" x14ac:dyDescent="0.25">
      <c r="A3133" t="s">
        <v>3159</v>
      </c>
      <c r="B3133" t="s">
        <v>10415</v>
      </c>
    </row>
    <row r="3134" spans="1:2" x14ac:dyDescent="0.25">
      <c r="A3134" t="s">
        <v>3160</v>
      </c>
      <c r="B3134" t="s">
        <v>10416</v>
      </c>
    </row>
    <row r="3135" spans="1:2" x14ac:dyDescent="0.25">
      <c r="A3135" t="s">
        <v>3161</v>
      </c>
      <c r="B3135" t="s">
        <v>10417</v>
      </c>
    </row>
    <row r="3136" spans="1:2" x14ac:dyDescent="0.25">
      <c r="A3136" t="s">
        <v>3162</v>
      </c>
      <c r="B3136" t="s">
        <v>10418</v>
      </c>
    </row>
    <row r="3137" spans="1:2" x14ac:dyDescent="0.25">
      <c r="A3137" t="s">
        <v>3163</v>
      </c>
      <c r="B3137" t="s">
        <v>10419</v>
      </c>
    </row>
    <row r="3138" spans="1:2" x14ac:dyDescent="0.25">
      <c r="A3138" t="s">
        <v>3164</v>
      </c>
      <c r="B3138" t="s">
        <v>10420</v>
      </c>
    </row>
    <row r="3139" spans="1:2" x14ac:dyDescent="0.25">
      <c r="A3139" t="s">
        <v>3165</v>
      </c>
      <c r="B3139" t="s">
        <v>10421</v>
      </c>
    </row>
    <row r="3140" spans="1:2" x14ac:dyDescent="0.25">
      <c r="A3140" t="s">
        <v>3166</v>
      </c>
      <c r="B3140" t="s">
        <v>10422</v>
      </c>
    </row>
    <row r="3141" spans="1:2" x14ac:dyDescent="0.25">
      <c r="A3141" t="s">
        <v>3167</v>
      </c>
      <c r="B3141" t="s">
        <v>10423</v>
      </c>
    </row>
    <row r="3142" spans="1:2" x14ac:dyDescent="0.25">
      <c r="A3142" t="s">
        <v>3168</v>
      </c>
      <c r="B3142" t="s">
        <v>10424</v>
      </c>
    </row>
    <row r="3143" spans="1:2" x14ac:dyDescent="0.25">
      <c r="A3143" t="s">
        <v>3169</v>
      </c>
      <c r="B3143" t="s">
        <v>10425</v>
      </c>
    </row>
    <row r="3144" spans="1:2" x14ac:dyDescent="0.25">
      <c r="A3144" t="s">
        <v>3170</v>
      </c>
      <c r="B3144" t="s">
        <v>10426</v>
      </c>
    </row>
    <row r="3145" spans="1:2" x14ac:dyDescent="0.25">
      <c r="A3145" t="s">
        <v>3171</v>
      </c>
      <c r="B3145" t="s">
        <v>10427</v>
      </c>
    </row>
    <row r="3146" spans="1:2" x14ac:dyDescent="0.25">
      <c r="A3146" t="s">
        <v>3172</v>
      </c>
      <c r="B3146" t="s">
        <v>10428</v>
      </c>
    </row>
    <row r="3147" spans="1:2" x14ac:dyDescent="0.25">
      <c r="A3147" t="s">
        <v>3173</v>
      </c>
      <c r="B3147" t="s">
        <v>10429</v>
      </c>
    </row>
    <row r="3148" spans="1:2" x14ac:dyDescent="0.25">
      <c r="A3148" t="s">
        <v>3174</v>
      </c>
      <c r="B3148" t="s">
        <v>10430</v>
      </c>
    </row>
    <row r="3149" spans="1:2" x14ac:dyDescent="0.25">
      <c r="A3149" t="s">
        <v>3175</v>
      </c>
      <c r="B3149" t="s">
        <v>10431</v>
      </c>
    </row>
    <row r="3150" spans="1:2" x14ac:dyDescent="0.25">
      <c r="A3150" t="s">
        <v>3176</v>
      </c>
      <c r="B3150" t="s">
        <v>10432</v>
      </c>
    </row>
    <row r="3151" spans="1:2" x14ac:dyDescent="0.25">
      <c r="A3151" t="s">
        <v>3177</v>
      </c>
      <c r="B3151" t="s">
        <v>10433</v>
      </c>
    </row>
    <row r="3152" spans="1:2" x14ac:dyDescent="0.25">
      <c r="A3152" t="s">
        <v>3178</v>
      </c>
      <c r="B3152" t="s">
        <v>10434</v>
      </c>
    </row>
    <row r="3153" spans="1:2" x14ac:dyDescent="0.25">
      <c r="A3153" t="s">
        <v>3179</v>
      </c>
      <c r="B3153" t="s">
        <v>10435</v>
      </c>
    </row>
    <row r="3154" spans="1:2" x14ac:dyDescent="0.25">
      <c r="A3154" t="s">
        <v>3180</v>
      </c>
      <c r="B3154" t="s">
        <v>10436</v>
      </c>
    </row>
    <row r="3155" spans="1:2" x14ac:dyDescent="0.25">
      <c r="A3155" t="s">
        <v>3181</v>
      </c>
      <c r="B3155" t="s">
        <v>10437</v>
      </c>
    </row>
    <row r="3156" spans="1:2" x14ac:dyDescent="0.25">
      <c r="A3156" t="s">
        <v>3182</v>
      </c>
      <c r="B3156" t="s">
        <v>10438</v>
      </c>
    </row>
    <row r="3157" spans="1:2" x14ac:dyDescent="0.25">
      <c r="A3157" t="s">
        <v>3183</v>
      </c>
      <c r="B3157" t="s">
        <v>10439</v>
      </c>
    </row>
    <row r="3158" spans="1:2" x14ac:dyDescent="0.25">
      <c r="A3158" t="s">
        <v>3184</v>
      </c>
      <c r="B3158" t="s">
        <v>10440</v>
      </c>
    </row>
    <row r="3159" spans="1:2" x14ac:dyDescent="0.25">
      <c r="A3159" t="s">
        <v>3185</v>
      </c>
      <c r="B3159" t="s">
        <v>10441</v>
      </c>
    </row>
    <row r="3160" spans="1:2" x14ac:dyDescent="0.25">
      <c r="A3160" t="s">
        <v>3186</v>
      </c>
      <c r="B3160" t="s">
        <v>10442</v>
      </c>
    </row>
    <row r="3161" spans="1:2" x14ac:dyDescent="0.25">
      <c r="A3161" t="s">
        <v>3187</v>
      </c>
      <c r="B3161" t="s">
        <v>10443</v>
      </c>
    </row>
    <row r="3162" spans="1:2" x14ac:dyDescent="0.25">
      <c r="A3162" t="s">
        <v>3188</v>
      </c>
      <c r="B3162" t="s">
        <v>10444</v>
      </c>
    </row>
    <row r="3163" spans="1:2" x14ac:dyDescent="0.25">
      <c r="A3163" t="s">
        <v>3189</v>
      </c>
      <c r="B3163" t="s">
        <v>10445</v>
      </c>
    </row>
    <row r="3164" spans="1:2" x14ac:dyDescent="0.25">
      <c r="A3164" t="s">
        <v>3190</v>
      </c>
      <c r="B3164" t="s">
        <v>10446</v>
      </c>
    </row>
    <row r="3165" spans="1:2" x14ac:dyDescent="0.25">
      <c r="A3165" t="s">
        <v>3191</v>
      </c>
      <c r="B3165" t="s">
        <v>10447</v>
      </c>
    </row>
    <row r="3166" spans="1:2" x14ac:dyDescent="0.25">
      <c r="A3166" t="s">
        <v>3192</v>
      </c>
      <c r="B3166" t="s">
        <v>10448</v>
      </c>
    </row>
    <row r="3167" spans="1:2" x14ac:dyDescent="0.25">
      <c r="A3167" t="s">
        <v>3193</v>
      </c>
      <c r="B3167" t="s">
        <v>10449</v>
      </c>
    </row>
    <row r="3168" spans="1:2" x14ac:dyDescent="0.25">
      <c r="A3168" t="s">
        <v>3194</v>
      </c>
      <c r="B3168" t="s">
        <v>10450</v>
      </c>
    </row>
    <row r="3169" spans="1:2" x14ac:dyDescent="0.25">
      <c r="A3169" t="s">
        <v>3195</v>
      </c>
      <c r="B3169" t="s">
        <v>10451</v>
      </c>
    </row>
    <row r="3170" spans="1:2" x14ac:dyDescent="0.25">
      <c r="A3170" t="s">
        <v>3196</v>
      </c>
      <c r="B3170" t="s">
        <v>10452</v>
      </c>
    </row>
    <row r="3171" spans="1:2" x14ac:dyDescent="0.25">
      <c r="A3171" t="s">
        <v>3197</v>
      </c>
      <c r="B3171" t="s">
        <v>10453</v>
      </c>
    </row>
    <row r="3172" spans="1:2" x14ac:dyDescent="0.25">
      <c r="A3172" t="s">
        <v>3198</v>
      </c>
      <c r="B3172" t="s">
        <v>10454</v>
      </c>
    </row>
    <row r="3173" spans="1:2" x14ac:dyDescent="0.25">
      <c r="A3173" t="s">
        <v>3199</v>
      </c>
      <c r="B3173" t="s">
        <v>10455</v>
      </c>
    </row>
    <row r="3174" spans="1:2" x14ac:dyDescent="0.25">
      <c r="A3174" t="s">
        <v>3200</v>
      </c>
      <c r="B3174" t="s">
        <v>10456</v>
      </c>
    </row>
    <row r="3175" spans="1:2" x14ac:dyDescent="0.25">
      <c r="A3175" t="s">
        <v>3201</v>
      </c>
      <c r="B3175" t="s">
        <v>10457</v>
      </c>
    </row>
    <row r="3176" spans="1:2" x14ac:dyDescent="0.25">
      <c r="A3176" t="s">
        <v>3202</v>
      </c>
      <c r="B3176" t="s">
        <v>10458</v>
      </c>
    </row>
    <row r="3177" spans="1:2" x14ac:dyDescent="0.25">
      <c r="A3177" t="s">
        <v>3203</v>
      </c>
      <c r="B3177" t="s">
        <v>10459</v>
      </c>
    </row>
    <row r="3178" spans="1:2" x14ac:dyDescent="0.25">
      <c r="A3178" t="s">
        <v>3204</v>
      </c>
      <c r="B3178" t="s">
        <v>10460</v>
      </c>
    </row>
    <row r="3179" spans="1:2" x14ac:dyDescent="0.25">
      <c r="A3179" t="s">
        <v>3205</v>
      </c>
      <c r="B3179" t="s">
        <v>10461</v>
      </c>
    </row>
    <row r="3180" spans="1:2" x14ac:dyDescent="0.25">
      <c r="A3180" t="s">
        <v>3206</v>
      </c>
      <c r="B3180" t="s">
        <v>10462</v>
      </c>
    </row>
    <row r="3181" spans="1:2" x14ac:dyDescent="0.25">
      <c r="A3181" t="s">
        <v>3207</v>
      </c>
      <c r="B3181" t="s">
        <v>10463</v>
      </c>
    </row>
    <row r="3182" spans="1:2" x14ac:dyDescent="0.25">
      <c r="A3182" t="s">
        <v>3208</v>
      </c>
      <c r="B3182" t="s">
        <v>10464</v>
      </c>
    </row>
    <row r="3183" spans="1:2" x14ac:dyDescent="0.25">
      <c r="A3183" t="s">
        <v>3209</v>
      </c>
      <c r="B3183" t="s">
        <v>10465</v>
      </c>
    </row>
    <row r="3184" spans="1:2" x14ac:dyDescent="0.25">
      <c r="A3184" t="s">
        <v>3210</v>
      </c>
      <c r="B3184" t="s">
        <v>10466</v>
      </c>
    </row>
    <row r="3185" spans="1:2" x14ac:dyDescent="0.25">
      <c r="A3185" t="s">
        <v>3211</v>
      </c>
      <c r="B3185" t="s">
        <v>10467</v>
      </c>
    </row>
    <row r="3186" spans="1:2" x14ac:dyDescent="0.25">
      <c r="A3186" t="s">
        <v>3212</v>
      </c>
      <c r="B3186" t="s">
        <v>10468</v>
      </c>
    </row>
    <row r="3187" spans="1:2" x14ac:dyDescent="0.25">
      <c r="A3187" t="s">
        <v>3213</v>
      </c>
      <c r="B3187" t="s">
        <v>10469</v>
      </c>
    </row>
    <row r="3188" spans="1:2" x14ac:dyDescent="0.25">
      <c r="A3188" t="s">
        <v>3214</v>
      </c>
      <c r="B3188" t="s">
        <v>10470</v>
      </c>
    </row>
    <row r="3189" spans="1:2" x14ac:dyDescent="0.25">
      <c r="A3189" t="s">
        <v>3215</v>
      </c>
      <c r="B3189" t="s">
        <v>10471</v>
      </c>
    </row>
    <row r="3190" spans="1:2" x14ac:dyDescent="0.25">
      <c r="A3190" t="s">
        <v>3216</v>
      </c>
      <c r="B3190" t="s">
        <v>10472</v>
      </c>
    </row>
    <row r="3191" spans="1:2" x14ac:dyDescent="0.25">
      <c r="A3191" t="s">
        <v>3217</v>
      </c>
      <c r="B3191" t="s">
        <v>10473</v>
      </c>
    </row>
    <row r="3192" spans="1:2" x14ac:dyDescent="0.25">
      <c r="A3192" t="s">
        <v>3218</v>
      </c>
      <c r="B3192" t="s">
        <v>10474</v>
      </c>
    </row>
    <row r="3193" spans="1:2" x14ac:dyDescent="0.25">
      <c r="A3193" t="s">
        <v>3219</v>
      </c>
      <c r="B3193" t="s">
        <v>10475</v>
      </c>
    </row>
    <row r="3194" spans="1:2" x14ac:dyDescent="0.25">
      <c r="A3194" t="s">
        <v>3220</v>
      </c>
      <c r="B3194" t="s">
        <v>10476</v>
      </c>
    </row>
    <row r="3195" spans="1:2" x14ac:dyDescent="0.25">
      <c r="A3195" t="s">
        <v>3221</v>
      </c>
      <c r="B3195" t="s">
        <v>10477</v>
      </c>
    </row>
    <row r="3196" spans="1:2" x14ac:dyDescent="0.25">
      <c r="A3196" t="s">
        <v>3222</v>
      </c>
      <c r="B3196" t="s">
        <v>10478</v>
      </c>
    </row>
    <row r="3197" spans="1:2" x14ac:dyDescent="0.25">
      <c r="A3197" t="s">
        <v>3223</v>
      </c>
      <c r="B3197" t="s">
        <v>10479</v>
      </c>
    </row>
    <row r="3198" spans="1:2" x14ac:dyDescent="0.25">
      <c r="A3198" t="s">
        <v>3224</v>
      </c>
      <c r="B3198" t="s">
        <v>10480</v>
      </c>
    </row>
    <row r="3199" spans="1:2" x14ac:dyDescent="0.25">
      <c r="A3199" t="s">
        <v>3225</v>
      </c>
      <c r="B3199" t="s">
        <v>10481</v>
      </c>
    </row>
    <row r="3200" spans="1:2" x14ac:dyDescent="0.25">
      <c r="A3200" t="s">
        <v>3226</v>
      </c>
      <c r="B3200" t="s">
        <v>10482</v>
      </c>
    </row>
    <row r="3201" spans="1:2" x14ac:dyDescent="0.25">
      <c r="A3201" t="s">
        <v>3227</v>
      </c>
      <c r="B3201" t="s">
        <v>10483</v>
      </c>
    </row>
    <row r="3202" spans="1:2" x14ac:dyDescent="0.25">
      <c r="A3202" t="s">
        <v>3228</v>
      </c>
      <c r="B3202" t="s">
        <v>10484</v>
      </c>
    </row>
    <row r="3203" spans="1:2" x14ac:dyDescent="0.25">
      <c r="A3203" t="s">
        <v>3229</v>
      </c>
      <c r="B3203" t="s">
        <v>10485</v>
      </c>
    </row>
    <row r="3204" spans="1:2" x14ac:dyDescent="0.25">
      <c r="A3204" t="s">
        <v>3230</v>
      </c>
      <c r="B3204" t="s">
        <v>10486</v>
      </c>
    </row>
    <row r="3205" spans="1:2" x14ac:dyDescent="0.25">
      <c r="A3205" t="s">
        <v>3231</v>
      </c>
      <c r="B3205" t="s">
        <v>10487</v>
      </c>
    </row>
    <row r="3206" spans="1:2" x14ac:dyDescent="0.25">
      <c r="A3206" t="s">
        <v>3232</v>
      </c>
      <c r="B3206" t="s">
        <v>10488</v>
      </c>
    </row>
    <row r="3207" spans="1:2" x14ac:dyDescent="0.25">
      <c r="A3207" t="s">
        <v>3233</v>
      </c>
      <c r="B3207" t="s">
        <v>10489</v>
      </c>
    </row>
    <row r="3208" spans="1:2" x14ac:dyDescent="0.25">
      <c r="A3208" t="s">
        <v>3234</v>
      </c>
      <c r="B3208" t="s">
        <v>10490</v>
      </c>
    </row>
    <row r="3209" spans="1:2" x14ac:dyDescent="0.25">
      <c r="A3209" t="s">
        <v>3235</v>
      </c>
      <c r="B3209" t="s">
        <v>10491</v>
      </c>
    </row>
    <row r="3210" spans="1:2" x14ac:dyDescent="0.25">
      <c r="A3210" t="s">
        <v>3236</v>
      </c>
      <c r="B3210" t="s">
        <v>10492</v>
      </c>
    </row>
    <row r="3211" spans="1:2" x14ac:dyDescent="0.25">
      <c r="A3211" t="s">
        <v>3237</v>
      </c>
      <c r="B3211" t="s">
        <v>10493</v>
      </c>
    </row>
    <row r="3212" spans="1:2" x14ac:dyDescent="0.25">
      <c r="A3212" t="s">
        <v>3238</v>
      </c>
      <c r="B3212" t="s">
        <v>10494</v>
      </c>
    </row>
    <row r="3213" spans="1:2" x14ac:dyDescent="0.25">
      <c r="A3213" t="s">
        <v>3239</v>
      </c>
      <c r="B3213" t="s">
        <v>10495</v>
      </c>
    </row>
    <row r="3214" spans="1:2" x14ac:dyDescent="0.25">
      <c r="A3214" t="s">
        <v>3240</v>
      </c>
      <c r="B3214" t="s">
        <v>10496</v>
      </c>
    </row>
    <row r="3215" spans="1:2" x14ac:dyDescent="0.25">
      <c r="A3215" t="s">
        <v>3241</v>
      </c>
      <c r="B3215" t="s">
        <v>10497</v>
      </c>
    </row>
    <row r="3216" spans="1:2" x14ac:dyDescent="0.25">
      <c r="A3216" t="s">
        <v>3242</v>
      </c>
      <c r="B3216" t="s">
        <v>10498</v>
      </c>
    </row>
    <row r="3217" spans="1:2" x14ac:dyDescent="0.25">
      <c r="A3217" t="s">
        <v>3243</v>
      </c>
      <c r="B3217" t="s">
        <v>10499</v>
      </c>
    </row>
    <row r="3218" spans="1:2" x14ac:dyDescent="0.25">
      <c r="A3218" t="s">
        <v>3244</v>
      </c>
      <c r="B3218" t="s">
        <v>10500</v>
      </c>
    </row>
    <row r="3219" spans="1:2" x14ac:dyDescent="0.25">
      <c r="A3219" t="s">
        <v>3245</v>
      </c>
      <c r="B3219" t="s">
        <v>10501</v>
      </c>
    </row>
    <row r="3220" spans="1:2" x14ac:dyDescent="0.25">
      <c r="A3220" t="s">
        <v>3246</v>
      </c>
      <c r="B3220" t="s">
        <v>10502</v>
      </c>
    </row>
    <row r="3221" spans="1:2" x14ac:dyDescent="0.25">
      <c r="A3221" t="s">
        <v>3247</v>
      </c>
      <c r="B3221" t="s">
        <v>10503</v>
      </c>
    </row>
    <row r="3222" spans="1:2" x14ac:dyDescent="0.25">
      <c r="A3222" t="s">
        <v>3248</v>
      </c>
      <c r="B3222" t="s">
        <v>10504</v>
      </c>
    </row>
    <row r="3223" spans="1:2" x14ac:dyDescent="0.25">
      <c r="A3223" t="s">
        <v>3249</v>
      </c>
      <c r="B3223" t="s">
        <v>10505</v>
      </c>
    </row>
    <row r="3224" spans="1:2" x14ac:dyDescent="0.25">
      <c r="A3224" t="s">
        <v>3250</v>
      </c>
      <c r="B3224" t="s">
        <v>10506</v>
      </c>
    </row>
    <row r="3225" spans="1:2" x14ac:dyDescent="0.25">
      <c r="A3225" t="s">
        <v>3251</v>
      </c>
      <c r="B3225" t="s">
        <v>10507</v>
      </c>
    </row>
    <row r="3226" spans="1:2" x14ac:dyDescent="0.25">
      <c r="A3226" t="s">
        <v>3252</v>
      </c>
      <c r="B3226" t="s">
        <v>10508</v>
      </c>
    </row>
    <row r="3227" spans="1:2" x14ac:dyDescent="0.25">
      <c r="A3227" t="s">
        <v>3253</v>
      </c>
      <c r="B3227" t="s">
        <v>10509</v>
      </c>
    </row>
    <row r="3228" spans="1:2" x14ac:dyDescent="0.25">
      <c r="A3228" t="s">
        <v>3254</v>
      </c>
      <c r="B3228" t="s">
        <v>10510</v>
      </c>
    </row>
    <row r="3229" spans="1:2" x14ac:dyDescent="0.25">
      <c r="A3229" t="s">
        <v>3255</v>
      </c>
      <c r="B3229" t="s">
        <v>10511</v>
      </c>
    </row>
    <row r="3230" spans="1:2" x14ac:dyDescent="0.25">
      <c r="A3230" t="s">
        <v>3256</v>
      </c>
      <c r="B3230" t="s">
        <v>10512</v>
      </c>
    </row>
    <row r="3231" spans="1:2" x14ac:dyDescent="0.25">
      <c r="A3231" t="s">
        <v>3257</v>
      </c>
      <c r="B3231" t="s">
        <v>10513</v>
      </c>
    </row>
    <row r="3232" spans="1:2" x14ac:dyDescent="0.25">
      <c r="A3232" t="s">
        <v>3258</v>
      </c>
      <c r="B3232" t="s">
        <v>10514</v>
      </c>
    </row>
    <row r="3233" spans="1:2" x14ac:dyDescent="0.25">
      <c r="A3233" t="s">
        <v>3259</v>
      </c>
      <c r="B3233" t="s">
        <v>10515</v>
      </c>
    </row>
    <row r="3234" spans="1:2" x14ac:dyDescent="0.25">
      <c r="A3234" t="s">
        <v>3260</v>
      </c>
      <c r="B3234" t="s">
        <v>10516</v>
      </c>
    </row>
    <row r="3235" spans="1:2" x14ac:dyDescent="0.25">
      <c r="A3235" t="s">
        <v>3261</v>
      </c>
      <c r="B3235" t="s">
        <v>10517</v>
      </c>
    </row>
    <row r="3236" spans="1:2" x14ac:dyDescent="0.25">
      <c r="A3236" t="s">
        <v>3262</v>
      </c>
      <c r="B3236" t="s">
        <v>10518</v>
      </c>
    </row>
    <row r="3237" spans="1:2" x14ac:dyDescent="0.25">
      <c r="A3237" t="s">
        <v>3263</v>
      </c>
      <c r="B3237" t="s">
        <v>10519</v>
      </c>
    </row>
    <row r="3238" spans="1:2" x14ac:dyDescent="0.25">
      <c r="A3238" t="s">
        <v>3264</v>
      </c>
      <c r="B3238" t="s">
        <v>10520</v>
      </c>
    </row>
    <row r="3239" spans="1:2" x14ac:dyDescent="0.25">
      <c r="A3239" t="s">
        <v>3265</v>
      </c>
      <c r="B3239" t="s">
        <v>10521</v>
      </c>
    </row>
    <row r="3240" spans="1:2" x14ac:dyDescent="0.25">
      <c r="A3240" t="s">
        <v>3266</v>
      </c>
      <c r="B3240" t="s">
        <v>10522</v>
      </c>
    </row>
    <row r="3241" spans="1:2" x14ac:dyDescent="0.25">
      <c r="A3241" t="s">
        <v>3267</v>
      </c>
      <c r="B3241" t="s">
        <v>10523</v>
      </c>
    </row>
    <row r="3242" spans="1:2" x14ac:dyDescent="0.25">
      <c r="A3242" t="s">
        <v>3268</v>
      </c>
      <c r="B3242" t="s">
        <v>10524</v>
      </c>
    </row>
    <row r="3243" spans="1:2" x14ac:dyDescent="0.25">
      <c r="A3243" t="s">
        <v>3269</v>
      </c>
      <c r="B3243" t="s">
        <v>10525</v>
      </c>
    </row>
    <row r="3244" spans="1:2" x14ac:dyDescent="0.25">
      <c r="A3244" t="s">
        <v>3270</v>
      </c>
      <c r="B3244" t="s">
        <v>10526</v>
      </c>
    </row>
    <row r="3245" spans="1:2" x14ac:dyDescent="0.25">
      <c r="A3245" t="s">
        <v>3271</v>
      </c>
      <c r="B3245" t="s">
        <v>10527</v>
      </c>
    </row>
    <row r="3246" spans="1:2" x14ac:dyDescent="0.25">
      <c r="A3246" t="s">
        <v>3272</v>
      </c>
      <c r="B3246" t="s">
        <v>10528</v>
      </c>
    </row>
    <row r="3247" spans="1:2" x14ac:dyDescent="0.25">
      <c r="A3247" t="s">
        <v>3273</v>
      </c>
      <c r="B3247" t="s">
        <v>10529</v>
      </c>
    </row>
    <row r="3248" spans="1:2" x14ac:dyDescent="0.25">
      <c r="A3248" t="s">
        <v>3274</v>
      </c>
      <c r="B3248" t="s">
        <v>10530</v>
      </c>
    </row>
    <row r="3249" spans="1:2" x14ac:dyDescent="0.25">
      <c r="A3249" t="s">
        <v>3275</v>
      </c>
      <c r="B3249" t="s">
        <v>10531</v>
      </c>
    </row>
    <row r="3250" spans="1:2" x14ac:dyDescent="0.25">
      <c r="A3250" t="s">
        <v>3276</v>
      </c>
      <c r="B3250" t="s">
        <v>10532</v>
      </c>
    </row>
    <row r="3251" spans="1:2" x14ac:dyDescent="0.25">
      <c r="A3251" t="s">
        <v>3277</v>
      </c>
      <c r="B3251" t="s">
        <v>10533</v>
      </c>
    </row>
    <row r="3252" spans="1:2" x14ac:dyDescent="0.25">
      <c r="A3252" t="s">
        <v>3278</v>
      </c>
      <c r="B3252" t="s">
        <v>10534</v>
      </c>
    </row>
    <row r="3253" spans="1:2" x14ac:dyDescent="0.25">
      <c r="A3253" t="s">
        <v>3279</v>
      </c>
      <c r="B3253" t="s">
        <v>10535</v>
      </c>
    </row>
    <row r="3254" spans="1:2" x14ac:dyDescent="0.25">
      <c r="A3254" t="s">
        <v>3280</v>
      </c>
      <c r="B3254" t="s">
        <v>10536</v>
      </c>
    </row>
    <row r="3255" spans="1:2" x14ac:dyDescent="0.25">
      <c r="A3255" t="s">
        <v>3281</v>
      </c>
      <c r="B3255" t="s">
        <v>10537</v>
      </c>
    </row>
    <row r="3256" spans="1:2" x14ac:dyDescent="0.25">
      <c r="A3256" t="s">
        <v>3282</v>
      </c>
      <c r="B3256" t="s">
        <v>10538</v>
      </c>
    </row>
    <row r="3257" spans="1:2" x14ac:dyDescent="0.25">
      <c r="A3257" t="s">
        <v>3283</v>
      </c>
      <c r="B3257" t="s">
        <v>10539</v>
      </c>
    </row>
    <row r="3258" spans="1:2" x14ac:dyDescent="0.25">
      <c r="A3258" t="s">
        <v>3284</v>
      </c>
      <c r="B3258" t="s">
        <v>10540</v>
      </c>
    </row>
    <row r="3259" spans="1:2" x14ac:dyDescent="0.25">
      <c r="A3259" t="s">
        <v>3285</v>
      </c>
      <c r="B3259" t="s">
        <v>10541</v>
      </c>
    </row>
    <row r="3260" spans="1:2" x14ac:dyDescent="0.25">
      <c r="A3260" t="s">
        <v>3286</v>
      </c>
      <c r="B3260" t="s">
        <v>10542</v>
      </c>
    </row>
    <row r="3261" spans="1:2" x14ac:dyDescent="0.25">
      <c r="A3261" t="s">
        <v>3287</v>
      </c>
      <c r="B3261" t="s">
        <v>10543</v>
      </c>
    </row>
    <row r="3262" spans="1:2" x14ac:dyDescent="0.25">
      <c r="A3262" t="s">
        <v>3288</v>
      </c>
      <c r="B3262" t="s">
        <v>10544</v>
      </c>
    </row>
    <row r="3263" spans="1:2" x14ac:dyDescent="0.25">
      <c r="A3263" t="s">
        <v>3289</v>
      </c>
      <c r="B3263" t="s">
        <v>10545</v>
      </c>
    </row>
    <row r="3264" spans="1:2" x14ac:dyDescent="0.25">
      <c r="A3264" t="s">
        <v>3290</v>
      </c>
      <c r="B3264" t="s">
        <v>10546</v>
      </c>
    </row>
    <row r="3265" spans="1:2" x14ac:dyDescent="0.25">
      <c r="A3265" t="s">
        <v>3291</v>
      </c>
      <c r="B3265" t="s">
        <v>10547</v>
      </c>
    </row>
    <row r="3266" spans="1:2" x14ac:dyDescent="0.25">
      <c r="A3266" t="s">
        <v>3292</v>
      </c>
      <c r="B3266" t="s">
        <v>10548</v>
      </c>
    </row>
    <row r="3267" spans="1:2" x14ac:dyDescent="0.25">
      <c r="A3267" t="s">
        <v>3293</v>
      </c>
      <c r="B3267" t="s">
        <v>10549</v>
      </c>
    </row>
    <row r="3268" spans="1:2" x14ac:dyDescent="0.25">
      <c r="A3268" t="s">
        <v>3294</v>
      </c>
      <c r="B3268" t="s">
        <v>10550</v>
      </c>
    </row>
    <row r="3269" spans="1:2" x14ac:dyDescent="0.25">
      <c r="A3269" t="s">
        <v>3295</v>
      </c>
      <c r="B3269" t="s">
        <v>10551</v>
      </c>
    </row>
    <row r="3270" spans="1:2" x14ac:dyDescent="0.25">
      <c r="A3270" t="s">
        <v>3296</v>
      </c>
      <c r="B3270" t="s">
        <v>10552</v>
      </c>
    </row>
    <row r="3271" spans="1:2" x14ac:dyDescent="0.25">
      <c r="A3271" t="s">
        <v>3297</v>
      </c>
      <c r="B3271" t="s">
        <v>10553</v>
      </c>
    </row>
    <row r="3272" spans="1:2" x14ac:dyDescent="0.25">
      <c r="A3272" t="s">
        <v>3298</v>
      </c>
      <c r="B3272" t="s">
        <v>10554</v>
      </c>
    </row>
    <row r="3273" spans="1:2" x14ac:dyDescent="0.25">
      <c r="A3273" t="s">
        <v>3299</v>
      </c>
      <c r="B3273" t="s">
        <v>10555</v>
      </c>
    </row>
    <row r="3274" spans="1:2" x14ac:dyDescent="0.25">
      <c r="A3274" t="s">
        <v>3300</v>
      </c>
      <c r="B3274" t="s">
        <v>10556</v>
      </c>
    </row>
    <row r="3275" spans="1:2" x14ac:dyDescent="0.25">
      <c r="A3275" t="s">
        <v>3301</v>
      </c>
      <c r="B3275" t="s">
        <v>10557</v>
      </c>
    </row>
    <row r="3276" spans="1:2" x14ac:dyDescent="0.25">
      <c r="A3276" t="s">
        <v>3302</v>
      </c>
      <c r="B3276" t="s">
        <v>10558</v>
      </c>
    </row>
    <row r="3277" spans="1:2" x14ac:dyDescent="0.25">
      <c r="A3277" t="s">
        <v>3303</v>
      </c>
      <c r="B3277" t="s">
        <v>10559</v>
      </c>
    </row>
    <row r="3278" spans="1:2" x14ac:dyDescent="0.25">
      <c r="A3278" t="s">
        <v>3304</v>
      </c>
      <c r="B3278" t="s">
        <v>10560</v>
      </c>
    </row>
    <row r="3279" spans="1:2" x14ac:dyDescent="0.25">
      <c r="A3279" t="s">
        <v>3305</v>
      </c>
      <c r="B3279" t="s">
        <v>10561</v>
      </c>
    </row>
    <row r="3280" spans="1:2" x14ac:dyDescent="0.25">
      <c r="A3280" t="s">
        <v>3306</v>
      </c>
      <c r="B3280" t="s">
        <v>10562</v>
      </c>
    </row>
    <row r="3281" spans="1:2" x14ac:dyDescent="0.25">
      <c r="A3281" t="s">
        <v>3307</v>
      </c>
      <c r="B3281" t="s">
        <v>10563</v>
      </c>
    </row>
    <row r="3282" spans="1:2" x14ac:dyDescent="0.25">
      <c r="A3282" t="s">
        <v>3308</v>
      </c>
      <c r="B3282" t="s">
        <v>10564</v>
      </c>
    </row>
    <row r="3283" spans="1:2" x14ac:dyDescent="0.25">
      <c r="A3283" t="s">
        <v>3309</v>
      </c>
      <c r="B3283" t="s">
        <v>10565</v>
      </c>
    </row>
    <row r="3284" spans="1:2" x14ac:dyDescent="0.25">
      <c r="A3284" t="s">
        <v>3310</v>
      </c>
      <c r="B3284" t="s">
        <v>10566</v>
      </c>
    </row>
    <row r="3285" spans="1:2" x14ac:dyDescent="0.25">
      <c r="A3285" t="s">
        <v>3311</v>
      </c>
      <c r="B3285" t="s">
        <v>10567</v>
      </c>
    </row>
    <row r="3286" spans="1:2" x14ac:dyDescent="0.25">
      <c r="A3286" t="s">
        <v>3312</v>
      </c>
      <c r="B3286" t="s">
        <v>10568</v>
      </c>
    </row>
    <row r="3287" spans="1:2" x14ac:dyDescent="0.25">
      <c r="A3287" t="s">
        <v>3313</v>
      </c>
      <c r="B3287" t="s">
        <v>10569</v>
      </c>
    </row>
    <row r="3288" spans="1:2" x14ac:dyDescent="0.25">
      <c r="A3288" t="s">
        <v>3314</v>
      </c>
      <c r="B3288" t="s">
        <v>10570</v>
      </c>
    </row>
    <row r="3289" spans="1:2" x14ac:dyDescent="0.25">
      <c r="A3289" t="s">
        <v>3315</v>
      </c>
      <c r="B3289" t="s">
        <v>10571</v>
      </c>
    </row>
    <row r="3290" spans="1:2" x14ac:dyDescent="0.25">
      <c r="A3290" t="s">
        <v>3316</v>
      </c>
      <c r="B3290" t="s">
        <v>10572</v>
      </c>
    </row>
    <row r="3291" spans="1:2" x14ac:dyDescent="0.25">
      <c r="A3291" t="s">
        <v>3317</v>
      </c>
      <c r="B3291" t="s">
        <v>10573</v>
      </c>
    </row>
    <row r="3292" spans="1:2" x14ac:dyDescent="0.25">
      <c r="A3292" t="s">
        <v>3318</v>
      </c>
      <c r="B3292" t="s">
        <v>10574</v>
      </c>
    </row>
    <row r="3293" spans="1:2" x14ac:dyDescent="0.25">
      <c r="A3293" t="s">
        <v>3319</v>
      </c>
      <c r="B3293" t="s">
        <v>10575</v>
      </c>
    </row>
    <row r="3294" spans="1:2" x14ac:dyDescent="0.25">
      <c r="A3294" t="s">
        <v>3320</v>
      </c>
      <c r="B3294" t="s">
        <v>10576</v>
      </c>
    </row>
    <row r="3295" spans="1:2" x14ac:dyDescent="0.25">
      <c r="A3295" t="s">
        <v>3321</v>
      </c>
      <c r="B3295" t="s">
        <v>10577</v>
      </c>
    </row>
    <row r="3296" spans="1:2" x14ac:dyDescent="0.25">
      <c r="A3296" t="s">
        <v>3322</v>
      </c>
      <c r="B3296" t="s">
        <v>10578</v>
      </c>
    </row>
    <row r="3297" spans="1:2" x14ac:dyDescent="0.25">
      <c r="A3297" t="s">
        <v>3323</v>
      </c>
      <c r="B3297" t="s">
        <v>10579</v>
      </c>
    </row>
    <row r="3298" spans="1:2" x14ac:dyDescent="0.25">
      <c r="A3298" t="s">
        <v>3324</v>
      </c>
      <c r="B3298" t="s">
        <v>10580</v>
      </c>
    </row>
    <row r="3299" spans="1:2" x14ac:dyDescent="0.25">
      <c r="A3299" t="s">
        <v>3325</v>
      </c>
      <c r="B3299" t="s">
        <v>10581</v>
      </c>
    </row>
    <row r="3300" spans="1:2" x14ac:dyDescent="0.25">
      <c r="A3300" t="s">
        <v>3326</v>
      </c>
      <c r="B3300" t="s">
        <v>10582</v>
      </c>
    </row>
    <row r="3301" spans="1:2" x14ac:dyDescent="0.25">
      <c r="A3301" t="s">
        <v>3327</v>
      </c>
      <c r="B3301" t="s">
        <v>10583</v>
      </c>
    </row>
    <row r="3302" spans="1:2" x14ac:dyDescent="0.25">
      <c r="A3302" t="s">
        <v>3328</v>
      </c>
      <c r="B3302" t="s">
        <v>10584</v>
      </c>
    </row>
    <row r="3303" spans="1:2" x14ac:dyDescent="0.25">
      <c r="A3303" t="s">
        <v>3329</v>
      </c>
      <c r="B3303" t="s">
        <v>10585</v>
      </c>
    </row>
    <row r="3304" spans="1:2" x14ac:dyDescent="0.25">
      <c r="A3304" t="s">
        <v>3330</v>
      </c>
      <c r="B3304" t="s">
        <v>10586</v>
      </c>
    </row>
    <row r="3305" spans="1:2" x14ac:dyDescent="0.25">
      <c r="A3305" t="s">
        <v>3331</v>
      </c>
      <c r="B3305" t="s">
        <v>10587</v>
      </c>
    </row>
    <row r="3306" spans="1:2" x14ac:dyDescent="0.25">
      <c r="A3306" t="s">
        <v>3332</v>
      </c>
      <c r="B3306" t="s">
        <v>10588</v>
      </c>
    </row>
    <row r="3307" spans="1:2" x14ac:dyDescent="0.25">
      <c r="A3307" t="s">
        <v>3333</v>
      </c>
      <c r="B3307" t="s">
        <v>10589</v>
      </c>
    </row>
    <row r="3308" spans="1:2" x14ac:dyDescent="0.25">
      <c r="A3308" t="s">
        <v>3334</v>
      </c>
      <c r="B3308" t="s">
        <v>10590</v>
      </c>
    </row>
    <row r="3309" spans="1:2" x14ac:dyDescent="0.25">
      <c r="A3309" t="s">
        <v>3335</v>
      </c>
      <c r="B3309" t="s">
        <v>10591</v>
      </c>
    </row>
    <row r="3310" spans="1:2" x14ac:dyDescent="0.25">
      <c r="A3310" t="s">
        <v>3336</v>
      </c>
      <c r="B3310" t="s">
        <v>10592</v>
      </c>
    </row>
    <row r="3311" spans="1:2" x14ac:dyDescent="0.25">
      <c r="A3311" t="s">
        <v>3337</v>
      </c>
      <c r="B3311" t="s">
        <v>10593</v>
      </c>
    </row>
    <row r="3312" spans="1:2" x14ac:dyDescent="0.25">
      <c r="A3312" t="s">
        <v>3338</v>
      </c>
      <c r="B3312" t="s">
        <v>10594</v>
      </c>
    </row>
    <row r="3313" spans="1:2" x14ac:dyDescent="0.25">
      <c r="A3313" t="s">
        <v>3339</v>
      </c>
      <c r="B3313" t="s">
        <v>10595</v>
      </c>
    </row>
    <row r="3314" spans="1:2" x14ac:dyDescent="0.25">
      <c r="A3314" t="s">
        <v>3340</v>
      </c>
      <c r="B3314" t="s">
        <v>10596</v>
      </c>
    </row>
    <row r="3315" spans="1:2" x14ac:dyDescent="0.25">
      <c r="A3315" t="s">
        <v>3341</v>
      </c>
      <c r="B3315" t="s">
        <v>10597</v>
      </c>
    </row>
    <row r="3316" spans="1:2" x14ac:dyDescent="0.25">
      <c r="A3316" t="s">
        <v>3342</v>
      </c>
      <c r="B3316" t="s">
        <v>10598</v>
      </c>
    </row>
    <row r="3317" spans="1:2" x14ac:dyDescent="0.25">
      <c r="A3317" t="s">
        <v>3343</v>
      </c>
      <c r="B3317" t="s">
        <v>10599</v>
      </c>
    </row>
    <row r="3318" spans="1:2" x14ac:dyDescent="0.25">
      <c r="A3318" t="s">
        <v>3344</v>
      </c>
      <c r="B3318" t="s">
        <v>10600</v>
      </c>
    </row>
    <row r="3319" spans="1:2" x14ac:dyDescent="0.25">
      <c r="A3319" t="s">
        <v>3345</v>
      </c>
      <c r="B3319" t="s">
        <v>10601</v>
      </c>
    </row>
    <row r="3320" spans="1:2" x14ac:dyDescent="0.25">
      <c r="A3320" t="s">
        <v>3346</v>
      </c>
      <c r="B3320" t="s">
        <v>10602</v>
      </c>
    </row>
    <row r="3321" spans="1:2" x14ac:dyDescent="0.25">
      <c r="A3321" t="s">
        <v>3347</v>
      </c>
      <c r="B3321" t="s">
        <v>10603</v>
      </c>
    </row>
    <row r="3322" spans="1:2" x14ac:dyDescent="0.25">
      <c r="A3322" t="s">
        <v>3348</v>
      </c>
      <c r="B3322" t="s">
        <v>10604</v>
      </c>
    </row>
    <row r="3323" spans="1:2" x14ac:dyDescent="0.25">
      <c r="A3323" t="s">
        <v>3349</v>
      </c>
      <c r="B3323" t="s">
        <v>10605</v>
      </c>
    </row>
    <row r="3324" spans="1:2" x14ac:dyDescent="0.25">
      <c r="A3324" t="s">
        <v>3350</v>
      </c>
      <c r="B3324" t="s">
        <v>10606</v>
      </c>
    </row>
    <row r="3325" spans="1:2" x14ac:dyDescent="0.25">
      <c r="A3325" t="s">
        <v>3351</v>
      </c>
      <c r="B3325" t="s">
        <v>10607</v>
      </c>
    </row>
    <row r="3326" spans="1:2" x14ac:dyDescent="0.25">
      <c r="A3326" t="s">
        <v>3352</v>
      </c>
      <c r="B3326" t="s">
        <v>10608</v>
      </c>
    </row>
    <row r="3327" spans="1:2" x14ac:dyDescent="0.25">
      <c r="A3327" t="s">
        <v>3353</v>
      </c>
      <c r="B3327" t="s">
        <v>10609</v>
      </c>
    </row>
    <row r="3328" spans="1:2" x14ac:dyDescent="0.25">
      <c r="A3328" t="s">
        <v>3354</v>
      </c>
      <c r="B3328" t="s">
        <v>10610</v>
      </c>
    </row>
    <row r="3329" spans="1:2" x14ac:dyDescent="0.25">
      <c r="A3329" t="s">
        <v>3355</v>
      </c>
      <c r="B3329" t="s">
        <v>10611</v>
      </c>
    </row>
    <row r="3330" spans="1:2" x14ac:dyDescent="0.25">
      <c r="A3330" t="s">
        <v>3356</v>
      </c>
      <c r="B3330" t="s">
        <v>10612</v>
      </c>
    </row>
    <row r="3331" spans="1:2" x14ac:dyDescent="0.25">
      <c r="A3331" t="s">
        <v>3357</v>
      </c>
      <c r="B3331" t="s">
        <v>10613</v>
      </c>
    </row>
    <row r="3332" spans="1:2" x14ac:dyDescent="0.25">
      <c r="A3332" t="s">
        <v>3358</v>
      </c>
      <c r="B3332" t="s">
        <v>10614</v>
      </c>
    </row>
    <row r="3333" spans="1:2" x14ac:dyDescent="0.25">
      <c r="A3333" t="s">
        <v>3359</v>
      </c>
      <c r="B3333" t="s">
        <v>10615</v>
      </c>
    </row>
    <row r="3334" spans="1:2" x14ac:dyDescent="0.25">
      <c r="A3334" t="s">
        <v>3360</v>
      </c>
      <c r="B3334" t="s">
        <v>10616</v>
      </c>
    </row>
    <row r="3335" spans="1:2" x14ac:dyDescent="0.25">
      <c r="A3335" t="s">
        <v>3361</v>
      </c>
      <c r="B3335" t="s">
        <v>10617</v>
      </c>
    </row>
    <row r="3336" spans="1:2" x14ac:dyDescent="0.25">
      <c r="A3336" t="s">
        <v>3362</v>
      </c>
      <c r="B3336" t="s">
        <v>10618</v>
      </c>
    </row>
    <row r="3337" spans="1:2" x14ac:dyDescent="0.25">
      <c r="A3337" t="s">
        <v>3363</v>
      </c>
      <c r="B3337" t="s">
        <v>10619</v>
      </c>
    </row>
    <row r="3338" spans="1:2" x14ac:dyDescent="0.25">
      <c r="A3338" t="s">
        <v>3364</v>
      </c>
      <c r="B3338" t="s">
        <v>10620</v>
      </c>
    </row>
    <row r="3339" spans="1:2" x14ac:dyDescent="0.25">
      <c r="A3339" t="s">
        <v>3365</v>
      </c>
      <c r="B3339" t="s">
        <v>10621</v>
      </c>
    </row>
    <row r="3340" spans="1:2" x14ac:dyDescent="0.25">
      <c r="A3340" t="s">
        <v>3366</v>
      </c>
      <c r="B3340" t="s">
        <v>10622</v>
      </c>
    </row>
    <row r="3341" spans="1:2" x14ac:dyDescent="0.25">
      <c r="A3341" t="s">
        <v>3367</v>
      </c>
      <c r="B3341" t="s">
        <v>10623</v>
      </c>
    </row>
    <row r="3342" spans="1:2" x14ac:dyDescent="0.25">
      <c r="A3342" t="s">
        <v>3368</v>
      </c>
      <c r="B3342" t="s">
        <v>10624</v>
      </c>
    </row>
    <row r="3343" spans="1:2" x14ac:dyDescent="0.25">
      <c r="A3343" t="s">
        <v>3369</v>
      </c>
      <c r="B3343" t="s">
        <v>10625</v>
      </c>
    </row>
    <row r="3344" spans="1:2" x14ac:dyDescent="0.25">
      <c r="A3344" t="s">
        <v>3370</v>
      </c>
      <c r="B3344" t="s">
        <v>10626</v>
      </c>
    </row>
    <row r="3345" spans="1:2" x14ac:dyDescent="0.25">
      <c r="A3345" t="s">
        <v>3371</v>
      </c>
      <c r="B3345" t="s">
        <v>10627</v>
      </c>
    </row>
    <row r="3346" spans="1:2" x14ac:dyDescent="0.25">
      <c r="A3346" t="s">
        <v>3372</v>
      </c>
      <c r="B3346" t="s">
        <v>10628</v>
      </c>
    </row>
    <row r="3347" spans="1:2" x14ac:dyDescent="0.25">
      <c r="A3347" t="s">
        <v>3373</v>
      </c>
      <c r="B3347" t="s">
        <v>10629</v>
      </c>
    </row>
    <row r="3348" spans="1:2" x14ac:dyDescent="0.25">
      <c r="A3348" t="s">
        <v>3374</v>
      </c>
      <c r="B3348" t="s">
        <v>10630</v>
      </c>
    </row>
    <row r="3349" spans="1:2" x14ac:dyDescent="0.25">
      <c r="A3349" t="s">
        <v>3375</v>
      </c>
      <c r="B3349" t="s">
        <v>10631</v>
      </c>
    </row>
    <row r="3350" spans="1:2" x14ac:dyDescent="0.25">
      <c r="A3350" t="s">
        <v>3376</v>
      </c>
      <c r="B3350" t="s">
        <v>10632</v>
      </c>
    </row>
    <row r="3351" spans="1:2" x14ac:dyDescent="0.25">
      <c r="A3351" t="s">
        <v>3377</v>
      </c>
      <c r="B3351" t="s">
        <v>10633</v>
      </c>
    </row>
    <row r="3352" spans="1:2" x14ac:dyDescent="0.25">
      <c r="A3352" t="s">
        <v>3378</v>
      </c>
      <c r="B3352" t="s">
        <v>10634</v>
      </c>
    </row>
    <row r="3353" spans="1:2" x14ac:dyDescent="0.25">
      <c r="A3353" t="s">
        <v>3379</v>
      </c>
      <c r="B3353" t="s">
        <v>10635</v>
      </c>
    </row>
    <row r="3354" spans="1:2" x14ac:dyDescent="0.25">
      <c r="A3354" t="s">
        <v>3380</v>
      </c>
      <c r="B3354" t="s">
        <v>10636</v>
      </c>
    </row>
    <row r="3355" spans="1:2" x14ac:dyDescent="0.25">
      <c r="A3355" t="s">
        <v>3381</v>
      </c>
      <c r="B3355" t="s">
        <v>10637</v>
      </c>
    </row>
    <row r="3356" spans="1:2" x14ac:dyDescent="0.25">
      <c r="A3356" t="s">
        <v>3382</v>
      </c>
      <c r="B3356" t="s">
        <v>10638</v>
      </c>
    </row>
    <row r="3357" spans="1:2" x14ac:dyDescent="0.25">
      <c r="A3357" t="s">
        <v>3383</v>
      </c>
      <c r="B3357" t="s">
        <v>10639</v>
      </c>
    </row>
    <row r="3358" spans="1:2" x14ac:dyDescent="0.25">
      <c r="A3358" t="s">
        <v>3384</v>
      </c>
      <c r="B3358" t="s">
        <v>10640</v>
      </c>
    </row>
    <row r="3359" spans="1:2" x14ac:dyDescent="0.25">
      <c r="A3359" t="s">
        <v>3385</v>
      </c>
      <c r="B3359" t="s">
        <v>10641</v>
      </c>
    </row>
    <row r="3360" spans="1:2" x14ac:dyDescent="0.25">
      <c r="A3360" t="s">
        <v>3386</v>
      </c>
      <c r="B3360" t="s">
        <v>10642</v>
      </c>
    </row>
    <row r="3361" spans="1:2" x14ac:dyDescent="0.25">
      <c r="A3361" t="s">
        <v>3387</v>
      </c>
      <c r="B3361" t="s">
        <v>10643</v>
      </c>
    </row>
    <row r="3362" spans="1:2" x14ac:dyDescent="0.25">
      <c r="A3362" t="s">
        <v>3388</v>
      </c>
      <c r="B3362" t="s">
        <v>10644</v>
      </c>
    </row>
    <row r="3363" spans="1:2" x14ac:dyDescent="0.25">
      <c r="A3363" t="s">
        <v>3389</v>
      </c>
      <c r="B3363" t="s">
        <v>10645</v>
      </c>
    </row>
    <row r="3364" spans="1:2" x14ac:dyDescent="0.25">
      <c r="A3364" t="s">
        <v>3390</v>
      </c>
      <c r="B3364" t="s">
        <v>10646</v>
      </c>
    </row>
    <row r="3365" spans="1:2" x14ac:dyDescent="0.25">
      <c r="A3365" t="s">
        <v>3391</v>
      </c>
      <c r="B3365" t="s">
        <v>10647</v>
      </c>
    </row>
    <row r="3366" spans="1:2" x14ac:dyDescent="0.25">
      <c r="A3366" t="s">
        <v>3392</v>
      </c>
      <c r="B3366" t="s">
        <v>10648</v>
      </c>
    </row>
    <row r="3367" spans="1:2" x14ac:dyDescent="0.25">
      <c r="A3367" t="s">
        <v>3393</v>
      </c>
      <c r="B3367" t="s">
        <v>10649</v>
      </c>
    </row>
    <row r="3368" spans="1:2" x14ac:dyDescent="0.25">
      <c r="A3368" t="s">
        <v>3394</v>
      </c>
      <c r="B3368" t="s">
        <v>10650</v>
      </c>
    </row>
    <row r="3369" spans="1:2" x14ac:dyDescent="0.25">
      <c r="A3369" t="s">
        <v>3395</v>
      </c>
      <c r="B3369" t="s">
        <v>10651</v>
      </c>
    </row>
    <row r="3370" spans="1:2" x14ac:dyDescent="0.25">
      <c r="A3370" t="s">
        <v>3396</v>
      </c>
      <c r="B3370" t="s">
        <v>10652</v>
      </c>
    </row>
    <row r="3371" spans="1:2" x14ac:dyDescent="0.25">
      <c r="A3371" t="s">
        <v>3397</v>
      </c>
      <c r="B3371" t="s">
        <v>10653</v>
      </c>
    </row>
    <row r="3372" spans="1:2" x14ac:dyDescent="0.25">
      <c r="A3372" t="s">
        <v>3398</v>
      </c>
      <c r="B3372" t="s">
        <v>10654</v>
      </c>
    </row>
    <row r="3373" spans="1:2" x14ac:dyDescent="0.25">
      <c r="A3373" t="s">
        <v>3399</v>
      </c>
      <c r="B3373" t="s">
        <v>10655</v>
      </c>
    </row>
    <row r="3374" spans="1:2" x14ac:dyDescent="0.25">
      <c r="A3374" t="s">
        <v>3400</v>
      </c>
      <c r="B3374" t="s">
        <v>10656</v>
      </c>
    </row>
    <row r="3375" spans="1:2" x14ac:dyDescent="0.25">
      <c r="A3375" t="s">
        <v>3401</v>
      </c>
      <c r="B3375" t="s">
        <v>10657</v>
      </c>
    </row>
    <row r="3376" spans="1:2" x14ac:dyDescent="0.25">
      <c r="A3376" t="s">
        <v>3402</v>
      </c>
      <c r="B3376" t="s">
        <v>10658</v>
      </c>
    </row>
    <row r="3377" spans="1:2" x14ac:dyDescent="0.25">
      <c r="A3377" t="s">
        <v>3403</v>
      </c>
      <c r="B3377" t="s">
        <v>10659</v>
      </c>
    </row>
    <row r="3378" spans="1:2" x14ac:dyDescent="0.25">
      <c r="A3378" t="s">
        <v>3404</v>
      </c>
      <c r="B3378" t="s">
        <v>10660</v>
      </c>
    </row>
    <row r="3379" spans="1:2" x14ac:dyDescent="0.25">
      <c r="A3379" t="s">
        <v>3405</v>
      </c>
      <c r="B3379" t="s">
        <v>10661</v>
      </c>
    </row>
    <row r="3380" spans="1:2" x14ac:dyDescent="0.25">
      <c r="A3380" t="s">
        <v>3406</v>
      </c>
      <c r="B3380" t="s">
        <v>10662</v>
      </c>
    </row>
    <row r="3381" spans="1:2" x14ac:dyDescent="0.25">
      <c r="A3381" t="s">
        <v>3407</v>
      </c>
      <c r="B3381" t="s">
        <v>10663</v>
      </c>
    </row>
    <row r="3382" spans="1:2" x14ac:dyDescent="0.25">
      <c r="A3382" t="s">
        <v>3408</v>
      </c>
      <c r="B3382" t="s">
        <v>10664</v>
      </c>
    </row>
    <row r="3383" spans="1:2" x14ac:dyDescent="0.25">
      <c r="A3383" t="s">
        <v>3409</v>
      </c>
      <c r="B3383" t="s">
        <v>10665</v>
      </c>
    </row>
    <row r="3384" spans="1:2" x14ac:dyDescent="0.25">
      <c r="A3384" t="s">
        <v>3410</v>
      </c>
      <c r="B3384" t="s">
        <v>10666</v>
      </c>
    </row>
    <row r="3385" spans="1:2" x14ac:dyDescent="0.25">
      <c r="A3385" t="s">
        <v>3411</v>
      </c>
      <c r="B3385" t="s">
        <v>10667</v>
      </c>
    </row>
    <row r="3386" spans="1:2" x14ac:dyDescent="0.25">
      <c r="A3386" t="s">
        <v>3412</v>
      </c>
      <c r="B3386" t="s">
        <v>10668</v>
      </c>
    </row>
    <row r="3387" spans="1:2" x14ac:dyDescent="0.25">
      <c r="A3387" t="s">
        <v>3413</v>
      </c>
      <c r="B3387" t="s">
        <v>10669</v>
      </c>
    </row>
    <row r="3388" spans="1:2" x14ac:dyDescent="0.25">
      <c r="A3388" t="s">
        <v>3414</v>
      </c>
      <c r="B3388" t="s">
        <v>10670</v>
      </c>
    </row>
    <row r="3389" spans="1:2" x14ac:dyDescent="0.25">
      <c r="A3389" t="s">
        <v>3415</v>
      </c>
      <c r="B3389" t="s">
        <v>10671</v>
      </c>
    </row>
    <row r="3390" spans="1:2" x14ac:dyDescent="0.25">
      <c r="A3390" t="s">
        <v>3416</v>
      </c>
      <c r="B3390" t="s">
        <v>10672</v>
      </c>
    </row>
    <row r="3391" spans="1:2" x14ac:dyDescent="0.25">
      <c r="A3391" t="s">
        <v>3417</v>
      </c>
      <c r="B3391" t="s">
        <v>10673</v>
      </c>
    </row>
    <row r="3392" spans="1:2" x14ac:dyDescent="0.25">
      <c r="A3392" t="s">
        <v>3418</v>
      </c>
      <c r="B3392" t="s">
        <v>10674</v>
      </c>
    </row>
    <row r="3393" spans="1:2" x14ac:dyDescent="0.25">
      <c r="A3393" t="s">
        <v>3419</v>
      </c>
      <c r="B3393" t="s">
        <v>10675</v>
      </c>
    </row>
    <row r="3394" spans="1:2" x14ac:dyDescent="0.25">
      <c r="A3394" t="s">
        <v>3420</v>
      </c>
      <c r="B3394" t="s">
        <v>10676</v>
      </c>
    </row>
    <row r="3395" spans="1:2" x14ac:dyDescent="0.25">
      <c r="A3395" t="s">
        <v>3421</v>
      </c>
      <c r="B3395" t="s">
        <v>10677</v>
      </c>
    </row>
    <row r="3396" spans="1:2" x14ac:dyDescent="0.25">
      <c r="A3396" t="s">
        <v>3422</v>
      </c>
      <c r="B3396" t="s">
        <v>10678</v>
      </c>
    </row>
    <row r="3397" spans="1:2" x14ac:dyDescent="0.25">
      <c r="A3397" t="s">
        <v>3423</v>
      </c>
      <c r="B3397" t="s">
        <v>10679</v>
      </c>
    </row>
    <row r="3398" spans="1:2" x14ac:dyDescent="0.25">
      <c r="A3398" t="s">
        <v>3424</v>
      </c>
      <c r="B3398" t="s">
        <v>10680</v>
      </c>
    </row>
    <row r="3399" spans="1:2" x14ac:dyDescent="0.25">
      <c r="A3399" t="s">
        <v>3425</v>
      </c>
      <c r="B3399" t="s">
        <v>10681</v>
      </c>
    </row>
    <row r="3400" spans="1:2" x14ac:dyDescent="0.25">
      <c r="A3400" t="s">
        <v>3426</v>
      </c>
      <c r="B3400" t="s">
        <v>10682</v>
      </c>
    </row>
    <row r="3401" spans="1:2" x14ac:dyDescent="0.25">
      <c r="A3401" t="s">
        <v>3427</v>
      </c>
      <c r="B3401" t="s">
        <v>10683</v>
      </c>
    </row>
    <row r="3402" spans="1:2" x14ac:dyDescent="0.25">
      <c r="A3402" t="s">
        <v>3428</v>
      </c>
      <c r="B3402" t="s">
        <v>10684</v>
      </c>
    </row>
    <row r="3403" spans="1:2" x14ac:dyDescent="0.25">
      <c r="A3403" t="s">
        <v>3429</v>
      </c>
      <c r="B3403" t="s">
        <v>10685</v>
      </c>
    </row>
    <row r="3404" spans="1:2" x14ac:dyDescent="0.25">
      <c r="A3404" t="s">
        <v>3430</v>
      </c>
      <c r="B3404" t="s">
        <v>10686</v>
      </c>
    </row>
    <row r="3405" spans="1:2" x14ac:dyDescent="0.25">
      <c r="A3405" t="s">
        <v>3431</v>
      </c>
      <c r="B3405" t="s">
        <v>10687</v>
      </c>
    </row>
    <row r="3406" spans="1:2" x14ac:dyDescent="0.25">
      <c r="A3406" t="s">
        <v>3432</v>
      </c>
      <c r="B3406" t="s">
        <v>10688</v>
      </c>
    </row>
    <row r="3407" spans="1:2" x14ac:dyDescent="0.25">
      <c r="A3407" t="s">
        <v>3433</v>
      </c>
      <c r="B3407" t="s">
        <v>10689</v>
      </c>
    </row>
    <row r="3408" spans="1:2" x14ac:dyDescent="0.25">
      <c r="A3408" t="s">
        <v>3434</v>
      </c>
      <c r="B3408" t="s">
        <v>10690</v>
      </c>
    </row>
    <row r="3409" spans="1:2" x14ac:dyDescent="0.25">
      <c r="A3409" t="s">
        <v>3435</v>
      </c>
      <c r="B3409" t="s">
        <v>10691</v>
      </c>
    </row>
    <row r="3410" spans="1:2" x14ac:dyDescent="0.25">
      <c r="A3410" t="s">
        <v>3436</v>
      </c>
      <c r="B3410" t="s">
        <v>10692</v>
      </c>
    </row>
    <row r="3411" spans="1:2" x14ac:dyDescent="0.25">
      <c r="A3411" t="s">
        <v>3437</v>
      </c>
      <c r="B3411" t="s">
        <v>10693</v>
      </c>
    </row>
    <row r="3412" spans="1:2" x14ac:dyDescent="0.25">
      <c r="A3412" t="s">
        <v>3438</v>
      </c>
      <c r="B3412" t="s">
        <v>10694</v>
      </c>
    </row>
    <row r="3413" spans="1:2" x14ac:dyDescent="0.25">
      <c r="A3413" t="s">
        <v>3439</v>
      </c>
      <c r="B3413" t="s">
        <v>10695</v>
      </c>
    </row>
    <row r="3414" spans="1:2" x14ac:dyDescent="0.25">
      <c r="A3414" t="s">
        <v>3440</v>
      </c>
      <c r="B3414" t="s">
        <v>10696</v>
      </c>
    </row>
    <row r="3415" spans="1:2" x14ac:dyDescent="0.25">
      <c r="A3415" t="s">
        <v>3441</v>
      </c>
      <c r="B3415" t="s">
        <v>10697</v>
      </c>
    </row>
    <row r="3416" spans="1:2" x14ac:dyDescent="0.25">
      <c r="A3416" t="s">
        <v>3442</v>
      </c>
      <c r="B3416" t="s">
        <v>10698</v>
      </c>
    </row>
    <row r="3417" spans="1:2" x14ac:dyDescent="0.25">
      <c r="A3417" t="s">
        <v>3443</v>
      </c>
      <c r="B3417" t="s">
        <v>10699</v>
      </c>
    </row>
    <row r="3418" spans="1:2" x14ac:dyDescent="0.25">
      <c r="A3418" t="s">
        <v>3444</v>
      </c>
      <c r="B3418" t="s">
        <v>10700</v>
      </c>
    </row>
    <row r="3419" spans="1:2" x14ac:dyDescent="0.25">
      <c r="A3419" t="s">
        <v>3445</v>
      </c>
      <c r="B3419" t="s">
        <v>10701</v>
      </c>
    </row>
    <row r="3420" spans="1:2" x14ac:dyDescent="0.25">
      <c r="A3420" t="s">
        <v>3446</v>
      </c>
      <c r="B3420" t="s">
        <v>10702</v>
      </c>
    </row>
    <row r="3421" spans="1:2" x14ac:dyDescent="0.25">
      <c r="A3421" t="s">
        <v>3447</v>
      </c>
      <c r="B3421" t="s">
        <v>10703</v>
      </c>
    </row>
    <row r="3422" spans="1:2" x14ac:dyDescent="0.25">
      <c r="A3422" t="s">
        <v>3448</v>
      </c>
      <c r="B3422" t="s">
        <v>10704</v>
      </c>
    </row>
    <row r="3423" spans="1:2" x14ac:dyDescent="0.25">
      <c r="A3423" t="s">
        <v>3449</v>
      </c>
      <c r="B3423" t="s">
        <v>10705</v>
      </c>
    </row>
    <row r="3424" spans="1:2" x14ac:dyDescent="0.25">
      <c r="A3424" t="s">
        <v>3450</v>
      </c>
      <c r="B3424" t="s">
        <v>10706</v>
      </c>
    </row>
    <row r="3425" spans="1:2" x14ac:dyDescent="0.25">
      <c r="A3425" t="s">
        <v>3451</v>
      </c>
      <c r="B3425" t="s">
        <v>10707</v>
      </c>
    </row>
    <row r="3426" spans="1:2" x14ac:dyDescent="0.25">
      <c r="A3426" t="s">
        <v>3452</v>
      </c>
      <c r="B3426" t="s">
        <v>10708</v>
      </c>
    </row>
    <row r="3427" spans="1:2" x14ac:dyDescent="0.25">
      <c r="A3427" t="s">
        <v>3453</v>
      </c>
      <c r="B3427" t="s">
        <v>10709</v>
      </c>
    </row>
    <row r="3428" spans="1:2" x14ac:dyDescent="0.25">
      <c r="A3428" t="s">
        <v>3454</v>
      </c>
      <c r="B3428" t="s">
        <v>10710</v>
      </c>
    </row>
    <row r="3429" spans="1:2" x14ac:dyDescent="0.25">
      <c r="A3429" t="s">
        <v>3455</v>
      </c>
      <c r="B3429" t="s">
        <v>10711</v>
      </c>
    </row>
    <row r="3430" spans="1:2" x14ac:dyDescent="0.25">
      <c r="A3430" t="s">
        <v>3456</v>
      </c>
      <c r="B3430" t="s">
        <v>10712</v>
      </c>
    </row>
    <row r="3431" spans="1:2" x14ac:dyDescent="0.25">
      <c r="A3431" t="s">
        <v>3457</v>
      </c>
      <c r="B3431" t="s">
        <v>10713</v>
      </c>
    </row>
    <row r="3432" spans="1:2" x14ac:dyDescent="0.25">
      <c r="A3432" t="s">
        <v>3458</v>
      </c>
      <c r="B3432" t="s">
        <v>10714</v>
      </c>
    </row>
    <row r="3433" spans="1:2" x14ac:dyDescent="0.25">
      <c r="A3433" t="s">
        <v>3459</v>
      </c>
      <c r="B3433" t="s">
        <v>10715</v>
      </c>
    </row>
    <row r="3434" spans="1:2" x14ac:dyDescent="0.25">
      <c r="A3434" t="s">
        <v>3460</v>
      </c>
      <c r="B3434" t="s">
        <v>10716</v>
      </c>
    </row>
    <row r="3435" spans="1:2" x14ac:dyDescent="0.25">
      <c r="A3435" t="s">
        <v>3461</v>
      </c>
      <c r="B3435" t="s">
        <v>10717</v>
      </c>
    </row>
    <row r="3436" spans="1:2" x14ac:dyDescent="0.25">
      <c r="A3436" t="s">
        <v>3462</v>
      </c>
      <c r="B3436" t="s">
        <v>10718</v>
      </c>
    </row>
    <row r="3437" spans="1:2" x14ac:dyDescent="0.25">
      <c r="A3437" t="s">
        <v>3463</v>
      </c>
      <c r="B3437" t="s">
        <v>10719</v>
      </c>
    </row>
    <row r="3438" spans="1:2" x14ac:dyDescent="0.25">
      <c r="A3438" t="s">
        <v>3464</v>
      </c>
      <c r="B3438" t="s">
        <v>10720</v>
      </c>
    </row>
    <row r="3439" spans="1:2" x14ac:dyDescent="0.25">
      <c r="A3439" t="s">
        <v>3465</v>
      </c>
      <c r="B3439" t="s">
        <v>10721</v>
      </c>
    </row>
    <row r="3440" spans="1:2" x14ac:dyDescent="0.25">
      <c r="A3440" t="s">
        <v>3466</v>
      </c>
      <c r="B3440" t="s">
        <v>10722</v>
      </c>
    </row>
    <row r="3441" spans="1:2" x14ac:dyDescent="0.25">
      <c r="A3441" t="s">
        <v>3467</v>
      </c>
      <c r="B3441" t="s">
        <v>10723</v>
      </c>
    </row>
    <row r="3442" spans="1:2" x14ac:dyDescent="0.25">
      <c r="A3442" t="s">
        <v>3468</v>
      </c>
      <c r="B3442" t="s">
        <v>10724</v>
      </c>
    </row>
    <row r="3443" spans="1:2" x14ac:dyDescent="0.25">
      <c r="A3443" t="s">
        <v>3469</v>
      </c>
      <c r="B3443" t="s">
        <v>10725</v>
      </c>
    </row>
    <row r="3444" spans="1:2" x14ac:dyDescent="0.25">
      <c r="A3444" t="s">
        <v>3470</v>
      </c>
      <c r="B3444" t="s">
        <v>10726</v>
      </c>
    </row>
    <row r="3445" spans="1:2" x14ac:dyDescent="0.25">
      <c r="A3445" t="s">
        <v>3471</v>
      </c>
      <c r="B3445" t="s">
        <v>10727</v>
      </c>
    </row>
    <row r="3446" spans="1:2" x14ac:dyDescent="0.25">
      <c r="A3446" t="s">
        <v>3472</v>
      </c>
      <c r="B3446" t="s">
        <v>10728</v>
      </c>
    </row>
    <row r="3447" spans="1:2" x14ac:dyDescent="0.25">
      <c r="A3447" t="s">
        <v>3473</v>
      </c>
      <c r="B3447" t="s">
        <v>10729</v>
      </c>
    </row>
    <row r="3448" spans="1:2" x14ac:dyDescent="0.25">
      <c r="A3448" t="s">
        <v>3474</v>
      </c>
      <c r="B3448" t="s">
        <v>10730</v>
      </c>
    </row>
    <row r="3449" spans="1:2" x14ac:dyDescent="0.25">
      <c r="A3449" t="s">
        <v>3475</v>
      </c>
      <c r="B3449" t="s">
        <v>10731</v>
      </c>
    </row>
    <row r="3450" spans="1:2" x14ac:dyDescent="0.25">
      <c r="A3450" t="s">
        <v>3476</v>
      </c>
      <c r="B3450" t="s">
        <v>10732</v>
      </c>
    </row>
    <row r="3451" spans="1:2" x14ac:dyDescent="0.25">
      <c r="A3451" t="s">
        <v>3477</v>
      </c>
      <c r="B3451" t="s">
        <v>10733</v>
      </c>
    </row>
    <row r="3452" spans="1:2" x14ac:dyDescent="0.25">
      <c r="A3452" t="s">
        <v>3478</v>
      </c>
      <c r="B3452" t="s">
        <v>10734</v>
      </c>
    </row>
    <row r="3453" spans="1:2" x14ac:dyDescent="0.25">
      <c r="A3453" t="s">
        <v>3479</v>
      </c>
      <c r="B3453" t="s">
        <v>10735</v>
      </c>
    </row>
    <row r="3454" spans="1:2" x14ac:dyDescent="0.25">
      <c r="A3454" t="s">
        <v>3480</v>
      </c>
      <c r="B3454" t="s">
        <v>10736</v>
      </c>
    </row>
    <row r="3455" spans="1:2" x14ac:dyDescent="0.25">
      <c r="A3455" t="s">
        <v>3481</v>
      </c>
      <c r="B3455" t="s">
        <v>10737</v>
      </c>
    </row>
    <row r="3456" spans="1:2" x14ac:dyDescent="0.25">
      <c r="A3456" t="s">
        <v>3482</v>
      </c>
      <c r="B3456" t="s">
        <v>10738</v>
      </c>
    </row>
    <row r="3457" spans="1:2" x14ac:dyDescent="0.25">
      <c r="A3457" t="s">
        <v>3483</v>
      </c>
      <c r="B3457" t="s">
        <v>10739</v>
      </c>
    </row>
    <row r="3458" spans="1:2" x14ac:dyDescent="0.25">
      <c r="A3458" t="s">
        <v>3484</v>
      </c>
      <c r="B3458" t="s">
        <v>10740</v>
      </c>
    </row>
    <row r="3459" spans="1:2" x14ac:dyDescent="0.25">
      <c r="A3459" t="s">
        <v>3485</v>
      </c>
      <c r="B3459" t="s">
        <v>10741</v>
      </c>
    </row>
    <row r="3460" spans="1:2" x14ac:dyDescent="0.25">
      <c r="A3460" t="s">
        <v>3486</v>
      </c>
      <c r="B3460" t="s">
        <v>10742</v>
      </c>
    </row>
    <row r="3461" spans="1:2" x14ac:dyDescent="0.25">
      <c r="A3461" t="s">
        <v>3487</v>
      </c>
      <c r="B3461" t="s">
        <v>10743</v>
      </c>
    </row>
    <row r="3462" spans="1:2" x14ac:dyDescent="0.25">
      <c r="A3462" t="s">
        <v>3488</v>
      </c>
      <c r="B3462" t="s">
        <v>10744</v>
      </c>
    </row>
    <row r="3463" spans="1:2" x14ac:dyDescent="0.25">
      <c r="A3463" t="s">
        <v>3489</v>
      </c>
      <c r="B3463" t="s">
        <v>10745</v>
      </c>
    </row>
    <row r="3464" spans="1:2" x14ac:dyDescent="0.25">
      <c r="A3464" t="s">
        <v>3490</v>
      </c>
      <c r="B3464" t="s">
        <v>10746</v>
      </c>
    </row>
    <row r="3465" spans="1:2" x14ac:dyDescent="0.25">
      <c r="A3465" t="s">
        <v>3491</v>
      </c>
      <c r="B3465" t="s">
        <v>10747</v>
      </c>
    </row>
    <row r="3466" spans="1:2" x14ac:dyDescent="0.25">
      <c r="A3466" t="s">
        <v>3492</v>
      </c>
      <c r="B3466" t="s">
        <v>10748</v>
      </c>
    </row>
    <row r="3467" spans="1:2" x14ac:dyDescent="0.25">
      <c r="A3467" t="s">
        <v>3493</v>
      </c>
      <c r="B3467" t="s">
        <v>10749</v>
      </c>
    </row>
    <row r="3468" spans="1:2" x14ac:dyDescent="0.25">
      <c r="A3468" t="s">
        <v>3494</v>
      </c>
      <c r="B3468" t="s">
        <v>10750</v>
      </c>
    </row>
    <row r="3469" spans="1:2" x14ac:dyDescent="0.25">
      <c r="A3469" t="s">
        <v>3495</v>
      </c>
      <c r="B3469" t="s">
        <v>10751</v>
      </c>
    </row>
    <row r="3470" spans="1:2" x14ac:dyDescent="0.25">
      <c r="A3470" t="s">
        <v>3496</v>
      </c>
      <c r="B3470" t="s">
        <v>10752</v>
      </c>
    </row>
    <row r="3471" spans="1:2" x14ac:dyDescent="0.25">
      <c r="A3471" t="s">
        <v>3497</v>
      </c>
      <c r="B3471" t="s">
        <v>10753</v>
      </c>
    </row>
    <row r="3472" spans="1:2" x14ac:dyDescent="0.25">
      <c r="A3472" t="s">
        <v>3498</v>
      </c>
      <c r="B3472" t="s">
        <v>10754</v>
      </c>
    </row>
    <row r="3473" spans="1:2" x14ac:dyDescent="0.25">
      <c r="A3473" t="s">
        <v>3499</v>
      </c>
      <c r="B3473" t="s">
        <v>10755</v>
      </c>
    </row>
    <row r="3474" spans="1:2" x14ac:dyDescent="0.25">
      <c r="A3474" t="s">
        <v>3500</v>
      </c>
      <c r="B3474" t="s">
        <v>10756</v>
      </c>
    </row>
    <row r="3475" spans="1:2" x14ac:dyDescent="0.25">
      <c r="A3475" t="s">
        <v>3501</v>
      </c>
      <c r="B3475" t="s">
        <v>10757</v>
      </c>
    </row>
    <row r="3476" spans="1:2" x14ac:dyDescent="0.25">
      <c r="A3476" t="s">
        <v>3502</v>
      </c>
      <c r="B3476" t="s">
        <v>10758</v>
      </c>
    </row>
    <row r="3477" spans="1:2" x14ac:dyDescent="0.25">
      <c r="A3477" t="s">
        <v>3503</v>
      </c>
      <c r="B3477" t="s">
        <v>10759</v>
      </c>
    </row>
    <row r="3478" spans="1:2" x14ac:dyDescent="0.25">
      <c r="A3478" t="s">
        <v>3504</v>
      </c>
      <c r="B3478" t="s">
        <v>10760</v>
      </c>
    </row>
    <row r="3479" spans="1:2" x14ac:dyDescent="0.25">
      <c r="A3479" t="s">
        <v>3505</v>
      </c>
      <c r="B3479" t="s">
        <v>10761</v>
      </c>
    </row>
    <row r="3480" spans="1:2" x14ac:dyDescent="0.25">
      <c r="A3480" t="s">
        <v>3506</v>
      </c>
      <c r="B3480" t="s">
        <v>10762</v>
      </c>
    </row>
    <row r="3481" spans="1:2" x14ac:dyDescent="0.25">
      <c r="A3481" t="s">
        <v>3507</v>
      </c>
      <c r="B3481" t="s">
        <v>10763</v>
      </c>
    </row>
    <row r="3482" spans="1:2" x14ac:dyDescent="0.25">
      <c r="A3482" t="s">
        <v>3508</v>
      </c>
      <c r="B3482" t="s">
        <v>10764</v>
      </c>
    </row>
    <row r="3483" spans="1:2" x14ac:dyDescent="0.25">
      <c r="A3483" t="s">
        <v>3509</v>
      </c>
      <c r="B3483" t="s">
        <v>10765</v>
      </c>
    </row>
    <row r="3484" spans="1:2" x14ac:dyDescent="0.25">
      <c r="A3484" t="s">
        <v>3510</v>
      </c>
      <c r="B3484" t="s">
        <v>10766</v>
      </c>
    </row>
    <row r="3485" spans="1:2" x14ac:dyDescent="0.25">
      <c r="A3485" t="s">
        <v>3511</v>
      </c>
      <c r="B3485" t="s">
        <v>10767</v>
      </c>
    </row>
    <row r="3486" spans="1:2" x14ac:dyDescent="0.25">
      <c r="A3486" t="s">
        <v>3512</v>
      </c>
      <c r="B3486" t="s">
        <v>10768</v>
      </c>
    </row>
    <row r="3487" spans="1:2" x14ac:dyDescent="0.25">
      <c r="A3487" t="s">
        <v>3513</v>
      </c>
      <c r="B3487" t="s">
        <v>10769</v>
      </c>
    </row>
    <row r="3488" spans="1:2" x14ac:dyDescent="0.25">
      <c r="A3488" t="s">
        <v>3514</v>
      </c>
      <c r="B3488" t="s">
        <v>10770</v>
      </c>
    </row>
    <row r="3489" spans="1:2" x14ac:dyDescent="0.25">
      <c r="A3489" t="s">
        <v>3515</v>
      </c>
      <c r="B3489" t="s">
        <v>10771</v>
      </c>
    </row>
    <row r="3490" spans="1:2" x14ac:dyDescent="0.25">
      <c r="A3490" t="s">
        <v>3516</v>
      </c>
      <c r="B3490" t="s">
        <v>10772</v>
      </c>
    </row>
    <row r="3491" spans="1:2" x14ac:dyDescent="0.25">
      <c r="A3491" t="s">
        <v>3517</v>
      </c>
      <c r="B3491" t="s">
        <v>10773</v>
      </c>
    </row>
    <row r="3492" spans="1:2" x14ac:dyDescent="0.25">
      <c r="A3492" t="s">
        <v>3518</v>
      </c>
      <c r="B3492" t="s">
        <v>10774</v>
      </c>
    </row>
    <row r="3493" spans="1:2" x14ac:dyDescent="0.25">
      <c r="A3493" t="s">
        <v>3519</v>
      </c>
      <c r="B3493" t="s">
        <v>10775</v>
      </c>
    </row>
    <row r="3494" spans="1:2" x14ac:dyDescent="0.25">
      <c r="A3494" t="s">
        <v>3520</v>
      </c>
      <c r="B3494" t="s">
        <v>10776</v>
      </c>
    </row>
    <row r="3495" spans="1:2" x14ac:dyDescent="0.25">
      <c r="A3495" t="s">
        <v>3521</v>
      </c>
      <c r="B3495" t="s">
        <v>10777</v>
      </c>
    </row>
    <row r="3496" spans="1:2" x14ac:dyDescent="0.25">
      <c r="A3496" t="s">
        <v>3522</v>
      </c>
      <c r="B3496" t="s">
        <v>10778</v>
      </c>
    </row>
    <row r="3497" spans="1:2" x14ac:dyDescent="0.25">
      <c r="A3497" t="s">
        <v>3523</v>
      </c>
      <c r="B3497" t="s">
        <v>10779</v>
      </c>
    </row>
    <row r="3498" spans="1:2" x14ac:dyDescent="0.25">
      <c r="A3498" t="s">
        <v>3524</v>
      </c>
      <c r="B3498" t="s">
        <v>10780</v>
      </c>
    </row>
    <row r="3499" spans="1:2" x14ac:dyDescent="0.25">
      <c r="A3499" t="s">
        <v>3525</v>
      </c>
      <c r="B3499" t="s">
        <v>10781</v>
      </c>
    </row>
    <row r="3500" spans="1:2" x14ac:dyDescent="0.25">
      <c r="A3500" t="s">
        <v>3526</v>
      </c>
      <c r="B3500" t="s">
        <v>10782</v>
      </c>
    </row>
    <row r="3501" spans="1:2" x14ac:dyDescent="0.25">
      <c r="A3501" t="s">
        <v>3527</v>
      </c>
      <c r="B3501" t="s">
        <v>10783</v>
      </c>
    </row>
    <row r="3502" spans="1:2" x14ac:dyDescent="0.25">
      <c r="A3502" t="s">
        <v>3528</v>
      </c>
      <c r="B3502" t="s">
        <v>10784</v>
      </c>
    </row>
    <row r="3503" spans="1:2" x14ac:dyDescent="0.25">
      <c r="A3503" t="s">
        <v>3529</v>
      </c>
      <c r="B3503" t="s">
        <v>10785</v>
      </c>
    </row>
    <row r="3504" spans="1:2" x14ac:dyDescent="0.25">
      <c r="A3504" t="s">
        <v>3530</v>
      </c>
      <c r="B3504" t="s">
        <v>10786</v>
      </c>
    </row>
    <row r="3505" spans="1:2" x14ac:dyDescent="0.25">
      <c r="A3505" t="s">
        <v>3531</v>
      </c>
      <c r="B3505" t="s">
        <v>10787</v>
      </c>
    </row>
    <row r="3506" spans="1:2" x14ac:dyDescent="0.25">
      <c r="A3506" t="s">
        <v>3532</v>
      </c>
      <c r="B3506" t="s">
        <v>10788</v>
      </c>
    </row>
    <row r="3507" spans="1:2" x14ac:dyDescent="0.25">
      <c r="A3507" t="s">
        <v>3533</v>
      </c>
      <c r="B3507" t="s">
        <v>10789</v>
      </c>
    </row>
    <row r="3508" spans="1:2" x14ac:dyDescent="0.25">
      <c r="A3508" t="s">
        <v>3534</v>
      </c>
      <c r="B3508" t="s">
        <v>10790</v>
      </c>
    </row>
    <row r="3509" spans="1:2" x14ac:dyDescent="0.25">
      <c r="A3509" t="s">
        <v>3535</v>
      </c>
      <c r="B3509" t="s">
        <v>10791</v>
      </c>
    </row>
    <row r="3510" spans="1:2" x14ac:dyDescent="0.25">
      <c r="A3510" t="s">
        <v>3536</v>
      </c>
      <c r="B3510" t="s">
        <v>10792</v>
      </c>
    </row>
    <row r="3511" spans="1:2" x14ac:dyDescent="0.25">
      <c r="A3511" t="s">
        <v>3537</v>
      </c>
      <c r="B3511" t="s">
        <v>10793</v>
      </c>
    </row>
    <row r="3512" spans="1:2" x14ac:dyDescent="0.25">
      <c r="A3512" t="s">
        <v>3538</v>
      </c>
      <c r="B3512" t="s">
        <v>10794</v>
      </c>
    </row>
    <row r="3513" spans="1:2" x14ac:dyDescent="0.25">
      <c r="A3513" t="s">
        <v>3539</v>
      </c>
      <c r="B3513" t="s">
        <v>10795</v>
      </c>
    </row>
    <row r="3514" spans="1:2" x14ac:dyDescent="0.25">
      <c r="A3514" t="s">
        <v>3540</v>
      </c>
      <c r="B3514" t="s">
        <v>10796</v>
      </c>
    </row>
    <row r="3515" spans="1:2" x14ac:dyDescent="0.25">
      <c r="A3515" t="s">
        <v>3541</v>
      </c>
      <c r="B3515" t="s">
        <v>10797</v>
      </c>
    </row>
    <row r="3516" spans="1:2" x14ac:dyDescent="0.25">
      <c r="A3516" t="s">
        <v>3542</v>
      </c>
      <c r="B3516" t="s">
        <v>10798</v>
      </c>
    </row>
    <row r="3517" spans="1:2" x14ac:dyDescent="0.25">
      <c r="A3517" t="s">
        <v>3543</v>
      </c>
      <c r="B3517" t="s">
        <v>10799</v>
      </c>
    </row>
    <row r="3518" spans="1:2" x14ac:dyDescent="0.25">
      <c r="A3518" t="s">
        <v>3544</v>
      </c>
      <c r="B3518" t="s">
        <v>10800</v>
      </c>
    </row>
    <row r="3519" spans="1:2" x14ac:dyDescent="0.25">
      <c r="A3519" t="s">
        <v>3545</v>
      </c>
      <c r="B3519" t="s">
        <v>10801</v>
      </c>
    </row>
    <row r="3520" spans="1:2" x14ac:dyDescent="0.25">
      <c r="A3520" t="s">
        <v>3546</v>
      </c>
      <c r="B3520" t="s">
        <v>10802</v>
      </c>
    </row>
    <row r="3521" spans="1:2" x14ac:dyDescent="0.25">
      <c r="A3521" t="s">
        <v>3547</v>
      </c>
      <c r="B3521" t="s">
        <v>10803</v>
      </c>
    </row>
    <row r="3522" spans="1:2" x14ac:dyDescent="0.25">
      <c r="A3522" t="s">
        <v>3548</v>
      </c>
      <c r="B3522" t="s">
        <v>10804</v>
      </c>
    </row>
    <row r="3523" spans="1:2" x14ac:dyDescent="0.25">
      <c r="A3523" t="s">
        <v>3549</v>
      </c>
      <c r="B3523" t="s">
        <v>10805</v>
      </c>
    </row>
    <row r="3524" spans="1:2" x14ac:dyDescent="0.25">
      <c r="A3524" t="s">
        <v>3550</v>
      </c>
      <c r="B3524" t="s">
        <v>10806</v>
      </c>
    </row>
    <row r="3525" spans="1:2" x14ac:dyDescent="0.25">
      <c r="A3525" t="s">
        <v>3551</v>
      </c>
      <c r="B3525" t="s">
        <v>10807</v>
      </c>
    </row>
    <row r="3526" spans="1:2" x14ac:dyDescent="0.25">
      <c r="A3526" t="s">
        <v>3552</v>
      </c>
      <c r="B3526" t="s">
        <v>10808</v>
      </c>
    </row>
    <row r="3527" spans="1:2" x14ac:dyDescent="0.25">
      <c r="A3527" t="s">
        <v>3553</v>
      </c>
      <c r="B3527" t="s">
        <v>10809</v>
      </c>
    </row>
    <row r="3528" spans="1:2" x14ac:dyDescent="0.25">
      <c r="A3528" t="s">
        <v>3554</v>
      </c>
      <c r="B3528" t="s">
        <v>10810</v>
      </c>
    </row>
    <row r="3529" spans="1:2" x14ac:dyDescent="0.25">
      <c r="A3529" t="s">
        <v>3555</v>
      </c>
      <c r="B3529" t="s">
        <v>10811</v>
      </c>
    </row>
    <row r="3530" spans="1:2" x14ac:dyDescent="0.25">
      <c r="A3530" t="s">
        <v>3556</v>
      </c>
      <c r="B3530" t="s">
        <v>10812</v>
      </c>
    </row>
    <row r="3531" spans="1:2" x14ac:dyDescent="0.25">
      <c r="A3531" t="s">
        <v>3557</v>
      </c>
      <c r="B3531" t="s">
        <v>10813</v>
      </c>
    </row>
    <row r="3532" spans="1:2" x14ac:dyDescent="0.25">
      <c r="A3532" t="s">
        <v>3558</v>
      </c>
      <c r="B3532" t="s">
        <v>10814</v>
      </c>
    </row>
    <row r="3533" spans="1:2" x14ac:dyDescent="0.25">
      <c r="A3533" t="s">
        <v>3559</v>
      </c>
      <c r="B3533" t="s">
        <v>10815</v>
      </c>
    </row>
    <row r="3534" spans="1:2" x14ac:dyDescent="0.25">
      <c r="A3534" t="s">
        <v>3560</v>
      </c>
      <c r="B3534" t="s">
        <v>10816</v>
      </c>
    </row>
    <row r="3535" spans="1:2" x14ac:dyDescent="0.25">
      <c r="A3535" t="s">
        <v>3561</v>
      </c>
      <c r="B3535" t="s">
        <v>10817</v>
      </c>
    </row>
    <row r="3536" spans="1:2" x14ac:dyDescent="0.25">
      <c r="A3536" t="s">
        <v>3562</v>
      </c>
      <c r="B3536" t="s">
        <v>10818</v>
      </c>
    </row>
    <row r="3537" spans="1:2" x14ac:dyDescent="0.25">
      <c r="A3537" t="s">
        <v>3563</v>
      </c>
      <c r="B3537" t="s">
        <v>10819</v>
      </c>
    </row>
    <row r="3538" spans="1:2" x14ac:dyDescent="0.25">
      <c r="A3538" t="s">
        <v>3564</v>
      </c>
      <c r="B3538" t="s">
        <v>10820</v>
      </c>
    </row>
    <row r="3539" spans="1:2" x14ac:dyDescent="0.25">
      <c r="A3539" t="s">
        <v>3565</v>
      </c>
      <c r="B3539" t="s">
        <v>10821</v>
      </c>
    </row>
    <row r="3540" spans="1:2" x14ac:dyDescent="0.25">
      <c r="A3540" t="s">
        <v>3566</v>
      </c>
      <c r="B3540" t="s">
        <v>10822</v>
      </c>
    </row>
    <row r="3541" spans="1:2" x14ac:dyDescent="0.25">
      <c r="A3541" t="s">
        <v>3567</v>
      </c>
      <c r="B3541" t="s">
        <v>10823</v>
      </c>
    </row>
    <row r="3542" spans="1:2" x14ac:dyDescent="0.25">
      <c r="A3542" t="s">
        <v>3568</v>
      </c>
      <c r="B3542" t="s">
        <v>10824</v>
      </c>
    </row>
    <row r="3543" spans="1:2" x14ac:dyDescent="0.25">
      <c r="A3543" t="s">
        <v>3569</v>
      </c>
      <c r="B3543" t="s">
        <v>10825</v>
      </c>
    </row>
    <row r="3544" spans="1:2" x14ac:dyDescent="0.25">
      <c r="A3544" t="s">
        <v>3570</v>
      </c>
      <c r="B3544" t="s">
        <v>10826</v>
      </c>
    </row>
    <row r="3545" spans="1:2" x14ac:dyDescent="0.25">
      <c r="A3545" t="s">
        <v>3571</v>
      </c>
      <c r="B3545" t="s">
        <v>10827</v>
      </c>
    </row>
    <row r="3546" spans="1:2" x14ac:dyDescent="0.25">
      <c r="A3546" t="s">
        <v>3572</v>
      </c>
      <c r="B3546" t="s">
        <v>10828</v>
      </c>
    </row>
    <row r="3547" spans="1:2" x14ac:dyDescent="0.25">
      <c r="A3547" t="s">
        <v>3573</v>
      </c>
      <c r="B3547" t="s">
        <v>10829</v>
      </c>
    </row>
    <row r="3548" spans="1:2" x14ac:dyDescent="0.25">
      <c r="A3548" t="s">
        <v>3574</v>
      </c>
      <c r="B3548" t="s">
        <v>10830</v>
      </c>
    </row>
    <row r="3549" spans="1:2" x14ac:dyDescent="0.25">
      <c r="A3549" t="s">
        <v>3575</v>
      </c>
      <c r="B3549" t="s">
        <v>10831</v>
      </c>
    </row>
    <row r="3550" spans="1:2" x14ac:dyDescent="0.25">
      <c r="A3550" t="s">
        <v>3576</v>
      </c>
      <c r="B3550" t="s">
        <v>10832</v>
      </c>
    </row>
    <row r="3551" spans="1:2" x14ac:dyDescent="0.25">
      <c r="A3551" t="s">
        <v>3577</v>
      </c>
      <c r="B3551" t="s">
        <v>10833</v>
      </c>
    </row>
    <row r="3552" spans="1:2" x14ac:dyDescent="0.25">
      <c r="A3552" t="s">
        <v>3578</v>
      </c>
      <c r="B3552" t="s">
        <v>10834</v>
      </c>
    </row>
    <row r="3553" spans="1:2" x14ac:dyDescent="0.25">
      <c r="A3553" t="s">
        <v>3579</v>
      </c>
      <c r="B3553" t="s">
        <v>10835</v>
      </c>
    </row>
    <row r="3554" spans="1:2" x14ac:dyDescent="0.25">
      <c r="A3554" t="s">
        <v>3580</v>
      </c>
      <c r="B3554" t="s">
        <v>10836</v>
      </c>
    </row>
    <row r="3555" spans="1:2" x14ac:dyDescent="0.25">
      <c r="A3555" t="s">
        <v>3581</v>
      </c>
      <c r="B3555" t="s">
        <v>10837</v>
      </c>
    </row>
    <row r="3556" spans="1:2" x14ac:dyDescent="0.25">
      <c r="A3556" t="s">
        <v>3582</v>
      </c>
      <c r="B3556" t="s">
        <v>10838</v>
      </c>
    </row>
    <row r="3557" spans="1:2" x14ac:dyDescent="0.25">
      <c r="A3557" t="s">
        <v>3583</v>
      </c>
      <c r="B3557" t="s">
        <v>10839</v>
      </c>
    </row>
    <row r="3558" spans="1:2" x14ac:dyDescent="0.25">
      <c r="A3558" t="s">
        <v>3584</v>
      </c>
      <c r="B3558" t="s">
        <v>10840</v>
      </c>
    </row>
    <row r="3559" spans="1:2" x14ac:dyDescent="0.25">
      <c r="A3559" t="s">
        <v>3585</v>
      </c>
      <c r="B3559" t="s">
        <v>10841</v>
      </c>
    </row>
    <row r="3560" spans="1:2" x14ac:dyDescent="0.25">
      <c r="A3560" t="s">
        <v>3586</v>
      </c>
      <c r="B3560" t="s">
        <v>10842</v>
      </c>
    </row>
    <row r="3561" spans="1:2" x14ac:dyDescent="0.25">
      <c r="A3561" t="s">
        <v>3587</v>
      </c>
      <c r="B3561" t="s">
        <v>10843</v>
      </c>
    </row>
    <row r="3562" spans="1:2" x14ac:dyDescent="0.25">
      <c r="A3562" t="s">
        <v>3588</v>
      </c>
      <c r="B3562" t="s">
        <v>10844</v>
      </c>
    </row>
    <row r="3563" spans="1:2" x14ac:dyDescent="0.25">
      <c r="A3563" t="s">
        <v>3589</v>
      </c>
      <c r="B3563" t="s">
        <v>10845</v>
      </c>
    </row>
    <row r="3564" spans="1:2" x14ac:dyDescent="0.25">
      <c r="A3564" t="s">
        <v>3590</v>
      </c>
      <c r="B3564" t="s">
        <v>10846</v>
      </c>
    </row>
    <row r="3565" spans="1:2" x14ac:dyDescent="0.25">
      <c r="A3565" t="s">
        <v>3591</v>
      </c>
      <c r="B3565" t="s">
        <v>10847</v>
      </c>
    </row>
    <row r="3566" spans="1:2" x14ac:dyDescent="0.25">
      <c r="A3566" t="s">
        <v>3592</v>
      </c>
      <c r="B3566" t="s">
        <v>10848</v>
      </c>
    </row>
    <row r="3567" spans="1:2" x14ac:dyDescent="0.25">
      <c r="A3567" t="s">
        <v>3593</v>
      </c>
      <c r="B3567" t="s">
        <v>10849</v>
      </c>
    </row>
    <row r="3568" spans="1:2" x14ac:dyDescent="0.25">
      <c r="A3568" t="s">
        <v>3594</v>
      </c>
      <c r="B3568" t="s">
        <v>10850</v>
      </c>
    </row>
    <row r="3569" spans="1:2" x14ac:dyDescent="0.25">
      <c r="A3569" t="s">
        <v>3595</v>
      </c>
      <c r="B3569" t="s">
        <v>10851</v>
      </c>
    </row>
    <row r="3570" spans="1:2" x14ac:dyDescent="0.25">
      <c r="A3570" t="s">
        <v>3596</v>
      </c>
      <c r="B3570" t="s">
        <v>10852</v>
      </c>
    </row>
    <row r="3571" spans="1:2" x14ac:dyDescent="0.25">
      <c r="A3571" t="s">
        <v>3597</v>
      </c>
      <c r="B3571" t="s">
        <v>10853</v>
      </c>
    </row>
    <row r="3572" spans="1:2" x14ac:dyDescent="0.25">
      <c r="A3572" t="s">
        <v>3598</v>
      </c>
      <c r="B3572" t="s">
        <v>10854</v>
      </c>
    </row>
    <row r="3573" spans="1:2" x14ac:dyDescent="0.25">
      <c r="A3573" t="s">
        <v>3599</v>
      </c>
      <c r="B3573" t="s">
        <v>10855</v>
      </c>
    </row>
    <row r="3574" spans="1:2" x14ac:dyDescent="0.25">
      <c r="A3574" t="s">
        <v>3600</v>
      </c>
      <c r="B3574" t="s">
        <v>10856</v>
      </c>
    </row>
    <row r="3575" spans="1:2" x14ac:dyDescent="0.25">
      <c r="A3575" t="s">
        <v>3601</v>
      </c>
      <c r="B3575" t="s">
        <v>10857</v>
      </c>
    </row>
    <row r="3576" spans="1:2" x14ac:dyDescent="0.25">
      <c r="A3576" t="s">
        <v>3602</v>
      </c>
      <c r="B3576" t="s">
        <v>10858</v>
      </c>
    </row>
    <row r="3577" spans="1:2" x14ac:dyDescent="0.25">
      <c r="A3577" t="s">
        <v>3603</v>
      </c>
      <c r="B3577" t="s">
        <v>10859</v>
      </c>
    </row>
    <row r="3578" spans="1:2" x14ac:dyDescent="0.25">
      <c r="A3578" t="s">
        <v>3604</v>
      </c>
      <c r="B3578" t="s">
        <v>10860</v>
      </c>
    </row>
    <row r="3579" spans="1:2" x14ac:dyDescent="0.25">
      <c r="A3579" t="s">
        <v>3605</v>
      </c>
      <c r="B3579" t="s">
        <v>10861</v>
      </c>
    </row>
    <row r="3580" spans="1:2" x14ac:dyDescent="0.25">
      <c r="A3580" t="s">
        <v>3606</v>
      </c>
      <c r="B3580" t="s">
        <v>10862</v>
      </c>
    </row>
    <row r="3581" spans="1:2" x14ac:dyDescent="0.25">
      <c r="A3581" t="s">
        <v>3607</v>
      </c>
      <c r="B3581" t="s">
        <v>10863</v>
      </c>
    </row>
    <row r="3582" spans="1:2" x14ac:dyDescent="0.25">
      <c r="A3582" t="s">
        <v>3608</v>
      </c>
      <c r="B3582" t="s">
        <v>10864</v>
      </c>
    </row>
    <row r="3583" spans="1:2" x14ac:dyDescent="0.25">
      <c r="A3583" t="s">
        <v>3609</v>
      </c>
      <c r="B3583" t="s">
        <v>10865</v>
      </c>
    </row>
    <row r="3584" spans="1:2" x14ac:dyDescent="0.25">
      <c r="A3584" t="s">
        <v>3610</v>
      </c>
      <c r="B3584" t="s">
        <v>10866</v>
      </c>
    </row>
    <row r="3585" spans="1:2" x14ac:dyDescent="0.25">
      <c r="A3585" t="s">
        <v>3611</v>
      </c>
      <c r="B3585" t="s">
        <v>10867</v>
      </c>
    </row>
    <row r="3586" spans="1:2" x14ac:dyDescent="0.25">
      <c r="A3586" t="s">
        <v>3612</v>
      </c>
      <c r="B3586" t="s">
        <v>10868</v>
      </c>
    </row>
    <row r="3587" spans="1:2" x14ac:dyDescent="0.25">
      <c r="A3587" t="s">
        <v>3613</v>
      </c>
      <c r="B3587" t="s">
        <v>10869</v>
      </c>
    </row>
    <row r="3588" spans="1:2" x14ac:dyDescent="0.25">
      <c r="A3588" t="s">
        <v>3614</v>
      </c>
      <c r="B3588" t="s">
        <v>10870</v>
      </c>
    </row>
    <row r="3589" spans="1:2" x14ac:dyDescent="0.25">
      <c r="A3589" t="s">
        <v>3615</v>
      </c>
      <c r="B3589" t="s">
        <v>10871</v>
      </c>
    </row>
    <row r="3590" spans="1:2" x14ac:dyDescent="0.25">
      <c r="A3590" t="s">
        <v>3616</v>
      </c>
      <c r="B3590" t="s">
        <v>10872</v>
      </c>
    </row>
    <row r="3591" spans="1:2" x14ac:dyDescent="0.25">
      <c r="A3591" t="s">
        <v>3617</v>
      </c>
      <c r="B3591" t="s">
        <v>10873</v>
      </c>
    </row>
    <row r="3592" spans="1:2" x14ac:dyDescent="0.25">
      <c r="A3592" t="s">
        <v>3618</v>
      </c>
      <c r="B3592" t="s">
        <v>10874</v>
      </c>
    </row>
    <row r="3593" spans="1:2" x14ac:dyDescent="0.25">
      <c r="A3593" t="s">
        <v>3619</v>
      </c>
      <c r="B3593" t="s">
        <v>10875</v>
      </c>
    </row>
    <row r="3594" spans="1:2" x14ac:dyDescent="0.25">
      <c r="A3594" t="s">
        <v>3620</v>
      </c>
      <c r="B3594" t="s">
        <v>10876</v>
      </c>
    </row>
    <row r="3595" spans="1:2" x14ac:dyDescent="0.25">
      <c r="A3595" t="s">
        <v>3621</v>
      </c>
      <c r="B3595" t="s">
        <v>10877</v>
      </c>
    </row>
    <row r="3596" spans="1:2" x14ac:dyDescent="0.25">
      <c r="A3596" t="s">
        <v>3622</v>
      </c>
      <c r="B3596" t="s">
        <v>10878</v>
      </c>
    </row>
    <row r="3597" spans="1:2" x14ac:dyDescent="0.25">
      <c r="A3597" t="s">
        <v>3623</v>
      </c>
      <c r="B3597" t="s">
        <v>10879</v>
      </c>
    </row>
    <row r="3598" spans="1:2" x14ac:dyDescent="0.25">
      <c r="A3598" t="s">
        <v>3624</v>
      </c>
      <c r="B3598" t="s">
        <v>10880</v>
      </c>
    </row>
    <row r="3599" spans="1:2" x14ac:dyDescent="0.25">
      <c r="A3599" t="s">
        <v>3625</v>
      </c>
      <c r="B3599" t="s">
        <v>10881</v>
      </c>
    </row>
    <row r="3600" spans="1:2" x14ac:dyDescent="0.25">
      <c r="A3600" t="s">
        <v>3626</v>
      </c>
      <c r="B3600" t="s">
        <v>10882</v>
      </c>
    </row>
    <row r="3601" spans="1:2" x14ac:dyDescent="0.25">
      <c r="A3601" t="s">
        <v>3627</v>
      </c>
      <c r="B3601" t="s">
        <v>10883</v>
      </c>
    </row>
    <row r="3602" spans="1:2" x14ac:dyDescent="0.25">
      <c r="A3602" t="s">
        <v>3628</v>
      </c>
      <c r="B3602" t="s">
        <v>10884</v>
      </c>
    </row>
    <row r="3603" spans="1:2" x14ac:dyDescent="0.25">
      <c r="A3603" t="s">
        <v>3629</v>
      </c>
      <c r="B3603" t="s">
        <v>10885</v>
      </c>
    </row>
    <row r="3604" spans="1:2" x14ac:dyDescent="0.25">
      <c r="A3604" t="s">
        <v>3630</v>
      </c>
      <c r="B3604" t="s">
        <v>10886</v>
      </c>
    </row>
    <row r="3605" spans="1:2" x14ac:dyDescent="0.25">
      <c r="A3605" t="s">
        <v>3631</v>
      </c>
      <c r="B3605" t="s">
        <v>10887</v>
      </c>
    </row>
    <row r="3606" spans="1:2" x14ac:dyDescent="0.25">
      <c r="A3606" t="s">
        <v>3632</v>
      </c>
      <c r="B3606" t="s">
        <v>10888</v>
      </c>
    </row>
    <row r="3607" spans="1:2" x14ac:dyDescent="0.25">
      <c r="A3607" t="s">
        <v>3633</v>
      </c>
      <c r="B3607" t="s">
        <v>10889</v>
      </c>
    </row>
    <row r="3608" spans="1:2" x14ac:dyDescent="0.25">
      <c r="A3608" t="s">
        <v>3634</v>
      </c>
      <c r="B3608" t="s">
        <v>10890</v>
      </c>
    </row>
    <row r="3609" spans="1:2" x14ac:dyDescent="0.25">
      <c r="A3609" t="s">
        <v>3635</v>
      </c>
      <c r="B3609" t="s">
        <v>10891</v>
      </c>
    </row>
    <row r="3610" spans="1:2" x14ac:dyDescent="0.25">
      <c r="A3610" t="s">
        <v>3636</v>
      </c>
      <c r="B3610" t="s">
        <v>10892</v>
      </c>
    </row>
    <row r="3611" spans="1:2" x14ac:dyDescent="0.25">
      <c r="A3611" t="s">
        <v>3637</v>
      </c>
      <c r="B3611" t="s">
        <v>10893</v>
      </c>
    </row>
    <row r="3612" spans="1:2" x14ac:dyDescent="0.25">
      <c r="A3612" t="s">
        <v>3638</v>
      </c>
      <c r="B3612" t="s">
        <v>10894</v>
      </c>
    </row>
    <row r="3613" spans="1:2" x14ac:dyDescent="0.25">
      <c r="A3613" t="s">
        <v>3639</v>
      </c>
      <c r="B3613" t="s">
        <v>10895</v>
      </c>
    </row>
    <row r="3614" spans="1:2" x14ac:dyDescent="0.25">
      <c r="A3614" t="s">
        <v>3640</v>
      </c>
      <c r="B3614" t="s">
        <v>10896</v>
      </c>
    </row>
    <row r="3615" spans="1:2" x14ac:dyDescent="0.25">
      <c r="A3615" t="s">
        <v>3641</v>
      </c>
      <c r="B3615" t="s">
        <v>10897</v>
      </c>
    </row>
    <row r="3616" spans="1:2" x14ac:dyDescent="0.25">
      <c r="A3616" t="s">
        <v>3642</v>
      </c>
      <c r="B3616" t="s">
        <v>10898</v>
      </c>
    </row>
    <row r="3617" spans="1:2" x14ac:dyDescent="0.25">
      <c r="A3617" t="s">
        <v>3643</v>
      </c>
      <c r="B3617" t="s">
        <v>10899</v>
      </c>
    </row>
    <row r="3618" spans="1:2" x14ac:dyDescent="0.25">
      <c r="A3618" t="s">
        <v>3644</v>
      </c>
      <c r="B3618" t="s">
        <v>10900</v>
      </c>
    </row>
    <row r="3619" spans="1:2" x14ac:dyDescent="0.25">
      <c r="A3619" t="s">
        <v>3645</v>
      </c>
      <c r="B3619" t="s">
        <v>10901</v>
      </c>
    </row>
    <row r="3620" spans="1:2" x14ac:dyDescent="0.25">
      <c r="A3620" t="s">
        <v>3646</v>
      </c>
      <c r="B3620" t="s">
        <v>10902</v>
      </c>
    </row>
    <row r="3621" spans="1:2" x14ac:dyDescent="0.25">
      <c r="A3621" t="s">
        <v>3647</v>
      </c>
      <c r="B3621" t="s">
        <v>10903</v>
      </c>
    </row>
    <row r="3622" spans="1:2" x14ac:dyDescent="0.25">
      <c r="A3622" t="s">
        <v>3648</v>
      </c>
      <c r="B3622" t="s">
        <v>10904</v>
      </c>
    </row>
    <row r="3623" spans="1:2" x14ac:dyDescent="0.25">
      <c r="A3623" t="s">
        <v>3649</v>
      </c>
      <c r="B3623" t="s">
        <v>10905</v>
      </c>
    </row>
    <row r="3624" spans="1:2" x14ac:dyDescent="0.25">
      <c r="A3624" t="s">
        <v>3650</v>
      </c>
      <c r="B3624" t="s">
        <v>10906</v>
      </c>
    </row>
    <row r="3625" spans="1:2" x14ac:dyDescent="0.25">
      <c r="A3625" t="s">
        <v>3651</v>
      </c>
      <c r="B3625" t="s">
        <v>10907</v>
      </c>
    </row>
    <row r="3626" spans="1:2" x14ac:dyDescent="0.25">
      <c r="A3626" t="s">
        <v>3652</v>
      </c>
      <c r="B3626" t="s">
        <v>10908</v>
      </c>
    </row>
    <row r="3627" spans="1:2" x14ac:dyDescent="0.25">
      <c r="A3627" t="s">
        <v>3653</v>
      </c>
      <c r="B3627" t="s">
        <v>10909</v>
      </c>
    </row>
    <row r="3628" spans="1:2" x14ac:dyDescent="0.25">
      <c r="A3628" t="s">
        <v>3654</v>
      </c>
      <c r="B3628" t="s">
        <v>10910</v>
      </c>
    </row>
    <row r="3629" spans="1:2" x14ac:dyDescent="0.25">
      <c r="A3629" t="s">
        <v>3655</v>
      </c>
      <c r="B3629" t="s">
        <v>10911</v>
      </c>
    </row>
    <row r="3630" spans="1:2" x14ac:dyDescent="0.25">
      <c r="A3630" t="s">
        <v>3656</v>
      </c>
      <c r="B3630" t="s">
        <v>10912</v>
      </c>
    </row>
    <row r="3631" spans="1:2" x14ac:dyDescent="0.25">
      <c r="A3631" t="s">
        <v>3657</v>
      </c>
      <c r="B3631" t="s">
        <v>10913</v>
      </c>
    </row>
    <row r="3632" spans="1:2" x14ac:dyDescent="0.25">
      <c r="A3632" t="s">
        <v>3658</v>
      </c>
      <c r="B3632" t="s">
        <v>10914</v>
      </c>
    </row>
    <row r="3633" spans="1:2" x14ac:dyDescent="0.25">
      <c r="A3633" t="s">
        <v>3659</v>
      </c>
      <c r="B3633" t="s">
        <v>10915</v>
      </c>
    </row>
    <row r="3634" spans="1:2" x14ac:dyDescent="0.25">
      <c r="A3634" t="s">
        <v>3660</v>
      </c>
      <c r="B3634" t="s">
        <v>10916</v>
      </c>
    </row>
    <row r="3635" spans="1:2" x14ac:dyDescent="0.25">
      <c r="A3635" t="s">
        <v>3661</v>
      </c>
      <c r="B3635" t="s">
        <v>10917</v>
      </c>
    </row>
    <row r="3636" spans="1:2" x14ac:dyDescent="0.25">
      <c r="A3636" t="s">
        <v>3662</v>
      </c>
      <c r="B3636" t="s">
        <v>10918</v>
      </c>
    </row>
    <row r="3637" spans="1:2" x14ac:dyDescent="0.25">
      <c r="A3637" t="s">
        <v>3663</v>
      </c>
      <c r="B3637" t="s">
        <v>10919</v>
      </c>
    </row>
    <row r="3638" spans="1:2" x14ac:dyDescent="0.25">
      <c r="A3638" t="s">
        <v>3664</v>
      </c>
      <c r="B3638" t="s">
        <v>10920</v>
      </c>
    </row>
    <row r="3639" spans="1:2" x14ac:dyDescent="0.25">
      <c r="A3639" t="s">
        <v>3665</v>
      </c>
      <c r="B3639" t="s">
        <v>10921</v>
      </c>
    </row>
    <row r="3640" spans="1:2" x14ac:dyDescent="0.25">
      <c r="A3640" t="s">
        <v>3666</v>
      </c>
      <c r="B3640" t="s">
        <v>10922</v>
      </c>
    </row>
    <row r="3641" spans="1:2" x14ac:dyDescent="0.25">
      <c r="A3641" t="s">
        <v>3667</v>
      </c>
      <c r="B3641" t="s">
        <v>10923</v>
      </c>
    </row>
    <row r="3642" spans="1:2" x14ac:dyDescent="0.25">
      <c r="A3642" t="s">
        <v>3668</v>
      </c>
      <c r="B3642" t="s">
        <v>10924</v>
      </c>
    </row>
    <row r="3643" spans="1:2" x14ac:dyDescent="0.25">
      <c r="A3643" t="s">
        <v>3669</v>
      </c>
      <c r="B3643" t="s">
        <v>10925</v>
      </c>
    </row>
    <row r="3644" spans="1:2" x14ac:dyDescent="0.25">
      <c r="A3644" t="s">
        <v>3670</v>
      </c>
      <c r="B3644" t="s">
        <v>10926</v>
      </c>
    </row>
    <row r="3645" spans="1:2" x14ac:dyDescent="0.25">
      <c r="A3645" t="s">
        <v>3671</v>
      </c>
      <c r="B3645" t="s">
        <v>10927</v>
      </c>
    </row>
    <row r="3646" spans="1:2" x14ac:dyDescent="0.25">
      <c r="A3646" t="s">
        <v>3672</v>
      </c>
      <c r="B3646" t="s">
        <v>10928</v>
      </c>
    </row>
    <row r="3647" spans="1:2" x14ac:dyDescent="0.25">
      <c r="A3647" t="s">
        <v>3673</v>
      </c>
      <c r="B3647" t="s">
        <v>10929</v>
      </c>
    </row>
    <row r="3648" spans="1:2" x14ac:dyDescent="0.25">
      <c r="A3648" t="s">
        <v>3674</v>
      </c>
      <c r="B3648" t="s">
        <v>10930</v>
      </c>
    </row>
    <row r="3649" spans="1:2" x14ac:dyDescent="0.25">
      <c r="A3649" t="s">
        <v>3675</v>
      </c>
      <c r="B3649" t="s">
        <v>10931</v>
      </c>
    </row>
    <row r="3650" spans="1:2" x14ac:dyDescent="0.25">
      <c r="A3650" t="s">
        <v>3676</v>
      </c>
      <c r="B3650" t="s">
        <v>10932</v>
      </c>
    </row>
    <row r="3651" spans="1:2" x14ac:dyDescent="0.25">
      <c r="A3651" t="s">
        <v>3677</v>
      </c>
      <c r="B3651" t="s">
        <v>10933</v>
      </c>
    </row>
    <row r="3652" spans="1:2" x14ac:dyDescent="0.25">
      <c r="A3652" t="s">
        <v>3678</v>
      </c>
      <c r="B3652" t="s">
        <v>10934</v>
      </c>
    </row>
    <row r="3653" spans="1:2" x14ac:dyDescent="0.25">
      <c r="A3653" t="s">
        <v>3679</v>
      </c>
      <c r="B3653" t="s">
        <v>10935</v>
      </c>
    </row>
    <row r="3654" spans="1:2" x14ac:dyDescent="0.25">
      <c r="A3654" t="s">
        <v>3680</v>
      </c>
      <c r="B3654" t="s">
        <v>10936</v>
      </c>
    </row>
    <row r="3655" spans="1:2" x14ac:dyDescent="0.25">
      <c r="A3655" t="s">
        <v>3681</v>
      </c>
      <c r="B3655" t="s">
        <v>10937</v>
      </c>
    </row>
    <row r="3656" spans="1:2" x14ac:dyDescent="0.25">
      <c r="A3656" t="s">
        <v>3682</v>
      </c>
      <c r="B3656" t="s">
        <v>10938</v>
      </c>
    </row>
    <row r="3657" spans="1:2" x14ac:dyDescent="0.25">
      <c r="A3657" t="s">
        <v>3683</v>
      </c>
      <c r="B3657" t="s">
        <v>10939</v>
      </c>
    </row>
    <row r="3658" spans="1:2" x14ac:dyDescent="0.25">
      <c r="A3658" t="s">
        <v>3684</v>
      </c>
      <c r="B3658" t="s">
        <v>10940</v>
      </c>
    </row>
    <row r="3659" spans="1:2" x14ac:dyDescent="0.25">
      <c r="A3659" t="s">
        <v>3685</v>
      </c>
      <c r="B3659" t="s">
        <v>10941</v>
      </c>
    </row>
    <row r="3660" spans="1:2" x14ac:dyDescent="0.25">
      <c r="A3660" t="s">
        <v>3686</v>
      </c>
      <c r="B3660" t="s">
        <v>10942</v>
      </c>
    </row>
    <row r="3661" spans="1:2" x14ac:dyDescent="0.25">
      <c r="A3661" t="s">
        <v>3687</v>
      </c>
      <c r="B3661" t="s">
        <v>10943</v>
      </c>
    </row>
    <row r="3662" spans="1:2" x14ac:dyDescent="0.25">
      <c r="A3662" t="s">
        <v>3688</v>
      </c>
      <c r="B3662" t="s">
        <v>10944</v>
      </c>
    </row>
    <row r="3663" spans="1:2" x14ac:dyDescent="0.25">
      <c r="A3663" t="s">
        <v>3689</v>
      </c>
      <c r="B3663" t="s">
        <v>10945</v>
      </c>
    </row>
    <row r="3664" spans="1:2" x14ac:dyDescent="0.25">
      <c r="A3664" t="s">
        <v>3690</v>
      </c>
      <c r="B3664" t="s">
        <v>10946</v>
      </c>
    </row>
    <row r="3665" spans="1:2" x14ac:dyDescent="0.25">
      <c r="A3665" t="s">
        <v>3691</v>
      </c>
      <c r="B3665" t="s">
        <v>10947</v>
      </c>
    </row>
    <row r="3666" spans="1:2" x14ac:dyDescent="0.25">
      <c r="A3666" t="s">
        <v>3692</v>
      </c>
      <c r="B3666" t="s">
        <v>10948</v>
      </c>
    </row>
    <row r="3667" spans="1:2" x14ac:dyDescent="0.25">
      <c r="A3667" t="s">
        <v>3693</v>
      </c>
      <c r="B3667" t="s">
        <v>10949</v>
      </c>
    </row>
    <row r="3668" spans="1:2" x14ac:dyDescent="0.25">
      <c r="A3668" t="s">
        <v>3694</v>
      </c>
      <c r="B3668" t="s">
        <v>10950</v>
      </c>
    </row>
    <row r="3669" spans="1:2" x14ac:dyDescent="0.25">
      <c r="A3669" t="s">
        <v>3695</v>
      </c>
      <c r="B3669" t="s">
        <v>10951</v>
      </c>
    </row>
    <row r="3670" spans="1:2" x14ac:dyDescent="0.25">
      <c r="A3670" t="s">
        <v>3696</v>
      </c>
      <c r="B3670" t="s">
        <v>10952</v>
      </c>
    </row>
    <row r="3671" spans="1:2" x14ac:dyDescent="0.25">
      <c r="A3671" t="s">
        <v>3697</v>
      </c>
      <c r="B3671" t="s">
        <v>10953</v>
      </c>
    </row>
    <row r="3672" spans="1:2" x14ac:dyDescent="0.25">
      <c r="A3672" t="s">
        <v>3698</v>
      </c>
      <c r="B3672" t="s">
        <v>10954</v>
      </c>
    </row>
    <row r="3673" spans="1:2" x14ac:dyDescent="0.25">
      <c r="A3673" t="s">
        <v>3699</v>
      </c>
      <c r="B3673" t="s">
        <v>10955</v>
      </c>
    </row>
    <row r="3674" spans="1:2" x14ac:dyDescent="0.25">
      <c r="A3674" t="s">
        <v>3700</v>
      </c>
      <c r="B3674" t="s">
        <v>10956</v>
      </c>
    </row>
    <row r="3675" spans="1:2" x14ac:dyDescent="0.25">
      <c r="A3675" t="s">
        <v>3701</v>
      </c>
      <c r="B3675" t="s">
        <v>10957</v>
      </c>
    </row>
    <row r="3676" spans="1:2" x14ac:dyDescent="0.25">
      <c r="A3676" t="s">
        <v>3702</v>
      </c>
      <c r="B3676" t="s">
        <v>10958</v>
      </c>
    </row>
    <row r="3677" spans="1:2" x14ac:dyDescent="0.25">
      <c r="A3677" t="s">
        <v>3703</v>
      </c>
      <c r="B3677" t="s">
        <v>10959</v>
      </c>
    </row>
    <row r="3678" spans="1:2" x14ac:dyDescent="0.25">
      <c r="A3678" t="s">
        <v>3704</v>
      </c>
      <c r="B3678" t="s">
        <v>10960</v>
      </c>
    </row>
    <row r="3679" spans="1:2" x14ac:dyDescent="0.25">
      <c r="A3679" t="s">
        <v>3705</v>
      </c>
      <c r="B3679" t="s">
        <v>10961</v>
      </c>
    </row>
    <row r="3680" spans="1:2" x14ac:dyDescent="0.25">
      <c r="A3680" t="s">
        <v>3706</v>
      </c>
      <c r="B3680" t="s">
        <v>10962</v>
      </c>
    </row>
    <row r="3681" spans="1:2" x14ac:dyDescent="0.25">
      <c r="A3681" t="s">
        <v>3707</v>
      </c>
      <c r="B3681" t="s">
        <v>10963</v>
      </c>
    </row>
    <row r="3682" spans="1:2" x14ac:dyDescent="0.25">
      <c r="A3682" t="s">
        <v>3708</v>
      </c>
      <c r="B3682" t="s">
        <v>10964</v>
      </c>
    </row>
    <row r="3683" spans="1:2" x14ac:dyDescent="0.25">
      <c r="A3683" t="s">
        <v>3709</v>
      </c>
      <c r="B3683" t="s">
        <v>10965</v>
      </c>
    </row>
    <row r="3684" spans="1:2" x14ac:dyDescent="0.25">
      <c r="A3684" t="s">
        <v>3710</v>
      </c>
      <c r="B3684" t="s">
        <v>10966</v>
      </c>
    </row>
    <row r="3685" spans="1:2" x14ac:dyDescent="0.25">
      <c r="A3685" t="s">
        <v>3711</v>
      </c>
      <c r="B3685" t="s">
        <v>10967</v>
      </c>
    </row>
    <row r="3686" spans="1:2" x14ac:dyDescent="0.25">
      <c r="A3686" t="s">
        <v>3712</v>
      </c>
      <c r="B3686" t="s">
        <v>10968</v>
      </c>
    </row>
    <row r="3687" spans="1:2" x14ac:dyDescent="0.25">
      <c r="A3687" t="s">
        <v>3713</v>
      </c>
      <c r="B3687" t="s">
        <v>10969</v>
      </c>
    </row>
    <row r="3688" spans="1:2" x14ac:dyDescent="0.25">
      <c r="A3688" t="s">
        <v>3714</v>
      </c>
      <c r="B3688" t="s">
        <v>10970</v>
      </c>
    </row>
    <row r="3689" spans="1:2" x14ac:dyDescent="0.25">
      <c r="A3689" t="s">
        <v>3715</v>
      </c>
      <c r="B3689" t="s">
        <v>10971</v>
      </c>
    </row>
    <row r="3690" spans="1:2" x14ac:dyDescent="0.25">
      <c r="A3690" t="s">
        <v>3716</v>
      </c>
      <c r="B3690" t="s">
        <v>10972</v>
      </c>
    </row>
    <row r="3691" spans="1:2" x14ac:dyDescent="0.25">
      <c r="A3691" t="s">
        <v>3717</v>
      </c>
      <c r="B3691" t="s">
        <v>10973</v>
      </c>
    </row>
    <row r="3692" spans="1:2" x14ac:dyDescent="0.25">
      <c r="A3692" t="s">
        <v>3718</v>
      </c>
      <c r="B3692" t="s">
        <v>10974</v>
      </c>
    </row>
    <row r="3693" spans="1:2" x14ac:dyDescent="0.25">
      <c r="A3693" t="s">
        <v>3719</v>
      </c>
      <c r="B3693" t="s">
        <v>10975</v>
      </c>
    </row>
    <row r="3694" spans="1:2" x14ac:dyDescent="0.25">
      <c r="A3694" t="s">
        <v>3720</v>
      </c>
      <c r="B3694" t="s">
        <v>10976</v>
      </c>
    </row>
    <row r="3695" spans="1:2" x14ac:dyDescent="0.25">
      <c r="A3695" t="s">
        <v>3721</v>
      </c>
      <c r="B3695" t="s">
        <v>10977</v>
      </c>
    </row>
    <row r="3696" spans="1:2" x14ac:dyDescent="0.25">
      <c r="A3696" t="s">
        <v>3722</v>
      </c>
      <c r="B3696" t="s">
        <v>10978</v>
      </c>
    </row>
    <row r="3697" spans="1:2" x14ac:dyDescent="0.25">
      <c r="A3697" t="s">
        <v>3723</v>
      </c>
      <c r="B3697" t="s">
        <v>10979</v>
      </c>
    </row>
    <row r="3698" spans="1:2" x14ac:dyDescent="0.25">
      <c r="A3698" t="s">
        <v>3724</v>
      </c>
      <c r="B3698" t="s">
        <v>10980</v>
      </c>
    </row>
    <row r="3699" spans="1:2" x14ac:dyDescent="0.25">
      <c r="A3699" t="s">
        <v>3725</v>
      </c>
      <c r="B3699" t="s">
        <v>10981</v>
      </c>
    </row>
    <row r="3700" spans="1:2" x14ac:dyDescent="0.25">
      <c r="A3700" t="s">
        <v>3726</v>
      </c>
      <c r="B3700" t="s">
        <v>10982</v>
      </c>
    </row>
    <row r="3701" spans="1:2" x14ac:dyDescent="0.25">
      <c r="A3701" t="s">
        <v>3727</v>
      </c>
      <c r="B3701" t="s">
        <v>10983</v>
      </c>
    </row>
    <row r="3702" spans="1:2" x14ac:dyDescent="0.25">
      <c r="A3702" t="s">
        <v>3728</v>
      </c>
      <c r="B3702" t="s">
        <v>10984</v>
      </c>
    </row>
    <row r="3703" spans="1:2" x14ac:dyDescent="0.25">
      <c r="A3703" t="s">
        <v>3729</v>
      </c>
      <c r="B3703" t="s">
        <v>10985</v>
      </c>
    </row>
    <row r="3704" spans="1:2" x14ac:dyDescent="0.25">
      <c r="A3704" t="s">
        <v>3730</v>
      </c>
      <c r="B3704" t="s">
        <v>10986</v>
      </c>
    </row>
    <row r="3705" spans="1:2" x14ac:dyDescent="0.25">
      <c r="A3705" t="s">
        <v>3731</v>
      </c>
      <c r="B3705" t="s">
        <v>10987</v>
      </c>
    </row>
    <row r="3706" spans="1:2" x14ac:dyDescent="0.25">
      <c r="A3706" t="s">
        <v>3732</v>
      </c>
      <c r="B3706" t="s">
        <v>10988</v>
      </c>
    </row>
    <row r="3707" spans="1:2" x14ac:dyDescent="0.25">
      <c r="A3707" t="s">
        <v>3733</v>
      </c>
      <c r="B3707" t="s">
        <v>10989</v>
      </c>
    </row>
    <row r="3708" spans="1:2" x14ac:dyDescent="0.25">
      <c r="A3708" t="s">
        <v>3734</v>
      </c>
      <c r="B3708" t="s">
        <v>10990</v>
      </c>
    </row>
    <row r="3709" spans="1:2" x14ac:dyDescent="0.25">
      <c r="A3709" t="s">
        <v>3735</v>
      </c>
      <c r="B3709" t="s">
        <v>10991</v>
      </c>
    </row>
    <row r="3710" spans="1:2" x14ac:dyDescent="0.25">
      <c r="A3710" t="s">
        <v>3736</v>
      </c>
      <c r="B3710" t="s">
        <v>10992</v>
      </c>
    </row>
    <row r="3711" spans="1:2" x14ac:dyDescent="0.25">
      <c r="A3711" t="s">
        <v>3737</v>
      </c>
      <c r="B3711" t="s">
        <v>10993</v>
      </c>
    </row>
    <row r="3712" spans="1:2" x14ac:dyDescent="0.25">
      <c r="A3712" t="s">
        <v>3738</v>
      </c>
      <c r="B3712" t="s">
        <v>10994</v>
      </c>
    </row>
    <row r="3713" spans="1:2" x14ac:dyDescent="0.25">
      <c r="A3713" t="s">
        <v>3739</v>
      </c>
      <c r="B3713" t="s">
        <v>10995</v>
      </c>
    </row>
    <row r="3714" spans="1:2" x14ac:dyDescent="0.25">
      <c r="A3714" t="s">
        <v>3740</v>
      </c>
      <c r="B3714" t="s">
        <v>10996</v>
      </c>
    </row>
    <row r="3715" spans="1:2" x14ac:dyDescent="0.25">
      <c r="A3715" t="s">
        <v>3741</v>
      </c>
      <c r="B3715" t="s">
        <v>10997</v>
      </c>
    </row>
    <row r="3716" spans="1:2" x14ac:dyDescent="0.25">
      <c r="A3716" t="s">
        <v>3742</v>
      </c>
      <c r="B3716" t="s">
        <v>10998</v>
      </c>
    </row>
    <row r="3717" spans="1:2" x14ac:dyDescent="0.25">
      <c r="A3717" t="s">
        <v>3743</v>
      </c>
      <c r="B3717" t="s">
        <v>10999</v>
      </c>
    </row>
    <row r="3718" spans="1:2" x14ac:dyDescent="0.25">
      <c r="A3718" t="s">
        <v>3744</v>
      </c>
      <c r="B3718" t="s">
        <v>11000</v>
      </c>
    </row>
    <row r="3719" spans="1:2" x14ac:dyDescent="0.25">
      <c r="A3719" t="s">
        <v>3745</v>
      </c>
      <c r="B3719" t="s">
        <v>11001</v>
      </c>
    </row>
    <row r="3720" spans="1:2" x14ac:dyDescent="0.25">
      <c r="A3720" t="s">
        <v>3746</v>
      </c>
      <c r="B3720" t="s">
        <v>11002</v>
      </c>
    </row>
    <row r="3721" spans="1:2" x14ac:dyDescent="0.25">
      <c r="A3721" t="s">
        <v>3747</v>
      </c>
      <c r="B3721" t="s">
        <v>11003</v>
      </c>
    </row>
    <row r="3722" spans="1:2" x14ac:dyDescent="0.25">
      <c r="A3722" t="s">
        <v>3748</v>
      </c>
      <c r="B3722" t="s">
        <v>11004</v>
      </c>
    </row>
    <row r="3723" spans="1:2" x14ac:dyDescent="0.25">
      <c r="A3723" t="s">
        <v>3749</v>
      </c>
      <c r="B3723" t="s">
        <v>11005</v>
      </c>
    </row>
    <row r="3724" spans="1:2" x14ac:dyDescent="0.25">
      <c r="A3724" t="s">
        <v>3750</v>
      </c>
      <c r="B3724" t="s">
        <v>11006</v>
      </c>
    </row>
    <row r="3725" spans="1:2" x14ac:dyDescent="0.25">
      <c r="A3725" t="s">
        <v>3751</v>
      </c>
      <c r="B3725" t="s">
        <v>11007</v>
      </c>
    </row>
    <row r="3726" spans="1:2" x14ac:dyDescent="0.25">
      <c r="A3726" t="s">
        <v>3752</v>
      </c>
      <c r="B3726" t="s">
        <v>11008</v>
      </c>
    </row>
    <row r="3727" spans="1:2" x14ac:dyDescent="0.25">
      <c r="A3727" t="s">
        <v>3753</v>
      </c>
      <c r="B3727" t="s">
        <v>11009</v>
      </c>
    </row>
    <row r="3728" spans="1:2" x14ac:dyDescent="0.25">
      <c r="A3728" t="s">
        <v>3754</v>
      </c>
      <c r="B3728" t="s">
        <v>11010</v>
      </c>
    </row>
    <row r="3729" spans="1:2" x14ac:dyDescent="0.25">
      <c r="A3729" t="s">
        <v>3755</v>
      </c>
      <c r="B3729" t="s">
        <v>11011</v>
      </c>
    </row>
    <row r="3730" spans="1:2" x14ac:dyDescent="0.25">
      <c r="A3730" t="s">
        <v>3756</v>
      </c>
      <c r="B3730" t="s">
        <v>11012</v>
      </c>
    </row>
    <row r="3731" spans="1:2" x14ac:dyDescent="0.25">
      <c r="A3731" t="s">
        <v>3757</v>
      </c>
      <c r="B3731" t="s">
        <v>11013</v>
      </c>
    </row>
    <row r="3732" spans="1:2" x14ac:dyDescent="0.25">
      <c r="A3732" t="s">
        <v>3758</v>
      </c>
      <c r="B3732" t="s">
        <v>11014</v>
      </c>
    </row>
    <row r="3733" spans="1:2" x14ac:dyDescent="0.25">
      <c r="A3733" t="s">
        <v>3759</v>
      </c>
      <c r="B3733" t="s">
        <v>11015</v>
      </c>
    </row>
    <row r="3734" spans="1:2" x14ac:dyDescent="0.25">
      <c r="A3734" t="s">
        <v>3760</v>
      </c>
      <c r="B3734" t="s">
        <v>11016</v>
      </c>
    </row>
    <row r="3735" spans="1:2" x14ac:dyDescent="0.25">
      <c r="A3735" t="s">
        <v>3761</v>
      </c>
      <c r="B3735" t="s">
        <v>11017</v>
      </c>
    </row>
    <row r="3736" spans="1:2" x14ac:dyDescent="0.25">
      <c r="A3736" t="s">
        <v>3762</v>
      </c>
      <c r="B3736" t="s">
        <v>11018</v>
      </c>
    </row>
    <row r="3737" spans="1:2" x14ac:dyDescent="0.25">
      <c r="A3737" t="s">
        <v>3763</v>
      </c>
      <c r="B3737" t="s">
        <v>11019</v>
      </c>
    </row>
    <row r="3738" spans="1:2" x14ac:dyDescent="0.25">
      <c r="A3738" t="s">
        <v>3764</v>
      </c>
      <c r="B3738" t="s">
        <v>11020</v>
      </c>
    </row>
    <row r="3739" spans="1:2" x14ac:dyDescent="0.25">
      <c r="A3739" t="s">
        <v>3765</v>
      </c>
      <c r="B3739" t="s">
        <v>11021</v>
      </c>
    </row>
    <row r="3740" spans="1:2" x14ac:dyDescent="0.25">
      <c r="A3740" t="s">
        <v>3766</v>
      </c>
      <c r="B3740" t="s">
        <v>11022</v>
      </c>
    </row>
    <row r="3741" spans="1:2" x14ac:dyDescent="0.25">
      <c r="A3741" t="s">
        <v>3767</v>
      </c>
      <c r="B3741" t="s">
        <v>11023</v>
      </c>
    </row>
    <row r="3742" spans="1:2" x14ac:dyDescent="0.25">
      <c r="A3742" t="s">
        <v>3768</v>
      </c>
      <c r="B3742" t="s">
        <v>11024</v>
      </c>
    </row>
    <row r="3743" spans="1:2" x14ac:dyDescent="0.25">
      <c r="A3743" t="s">
        <v>3769</v>
      </c>
      <c r="B3743" t="s">
        <v>11025</v>
      </c>
    </row>
    <row r="3744" spans="1:2" x14ac:dyDescent="0.25">
      <c r="A3744" t="s">
        <v>3770</v>
      </c>
      <c r="B3744" t="s">
        <v>11026</v>
      </c>
    </row>
    <row r="3745" spans="1:2" x14ac:dyDescent="0.25">
      <c r="A3745" t="s">
        <v>3771</v>
      </c>
      <c r="B3745" t="s">
        <v>11027</v>
      </c>
    </row>
    <row r="3746" spans="1:2" x14ac:dyDescent="0.25">
      <c r="A3746" t="s">
        <v>3772</v>
      </c>
      <c r="B3746" t="s">
        <v>11028</v>
      </c>
    </row>
    <row r="3747" spans="1:2" x14ac:dyDescent="0.25">
      <c r="A3747" t="s">
        <v>3773</v>
      </c>
      <c r="B3747" t="s">
        <v>11029</v>
      </c>
    </row>
    <row r="3748" spans="1:2" x14ac:dyDescent="0.25">
      <c r="A3748" t="s">
        <v>3774</v>
      </c>
      <c r="B3748" t="s">
        <v>11030</v>
      </c>
    </row>
    <row r="3749" spans="1:2" x14ac:dyDescent="0.25">
      <c r="A3749" t="s">
        <v>3775</v>
      </c>
      <c r="B3749" t="s">
        <v>11031</v>
      </c>
    </row>
    <row r="3750" spans="1:2" x14ac:dyDescent="0.25">
      <c r="A3750" t="s">
        <v>3776</v>
      </c>
      <c r="B3750" t="s">
        <v>11032</v>
      </c>
    </row>
    <row r="3751" spans="1:2" x14ac:dyDescent="0.25">
      <c r="A3751" t="s">
        <v>3777</v>
      </c>
      <c r="B3751" t="s">
        <v>11033</v>
      </c>
    </row>
    <row r="3752" spans="1:2" x14ac:dyDescent="0.25">
      <c r="A3752" t="s">
        <v>3778</v>
      </c>
      <c r="B3752" t="s">
        <v>11034</v>
      </c>
    </row>
    <row r="3753" spans="1:2" x14ac:dyDescent="0.25">
      <c r="A3753" t="s">
        <v>3779</v>
      </c>
      <c r="B3753" t="s">
        <v>11035</v>
      </c>
    </row>
    <row r="3754" spans="1:2" x14ac:dyDescent="0.25">
      <c r="A3754" t="s">
        <v>3780</v>
      </c>
      <c r="B3754" t="s">
        <v>11036</v>
      </c>
    </row>
    <row r="3755" spans="1:2" x14ac:dyDescent="0.25">
      <c r="A3755" t="s">
        <v>3781</v>
      </c>
      <c r="B3755" t="s">
        <v>11037</v>
      </c>
    </row>
    <row r="3756" spans="1:2" x14ac:dyDescent="0.25">
      <c r="A3756" t="s">
        <v>3782</v>
      </c>
      <c r="B3756" t="s">
        <v>11038</v>
      </c>
    </row>
    <row r="3757" spans="1:2" x14ac:dyDescent="0.25">
      <c r="A3757" t="s">
        <v>3783</v>
      </c>
      <c r="B3757" t="s">
        <v>11039</v>
      </c>
    </row>
    <row r="3758" spans="1:2" x14ac:dyDescent="0.25">
      <c r="A3758" t="s">
        <v>3784</v>
      </c>
      <c r="B3758" t="s">
        <v>11040</v>
      </c>
    </row>
    <row r="3759" spans="1:2" x14ac:dyDescent="0.25">
      <c r="A3759" t="s">
        <v>3785</v>
      </c>
      <c r="B3759" t="s">
        <v>11041</v>
      </c>
    </row>
    <row r="3760" spans="1:2" x14ac:dyDescent="0.25">
      <c r="A3760" t="s">
        <v>3786</v>
      </c>
      <c r="B3760" t="s">
        <v>11042</v>
      </c>
    </row>
    <row r="3761" spans="1:2" x14ac:dyDescent="0.25">
      <c r="A3761" t="s">
        <v>3787</v>
      </c>
      <c r="B3761" t="s">
        <v>11043</v>
      </c>
    </row>
    <row r="3762" spans="1:2" x14ac:dyDescent="0.25">
      <c r="A3762" t="s">
        <v>3788</v>
      </c>
      <c r="B3762" t="s">
        <v>11044</v>
      </c>
    </row>
    <row r="3763" spans="1:2" x14ac:dyDescent="0.25">
      <c r="A3763" t="s">
        <v>3789</v>
      </c>
      <c r="B3763" t="s">
        <v>11045</v>
      </c>
    </row>
    <row r="3764" spans="1:2" x14ac:dyDescent="0.25">
      <c r="A3764" t="s">
        <v>3790</v>
      </c>
      <c r="B3764" t="s">
        <v>11046</v>
      </c>
    </row>
    <row r="3765" spans="1:2" x14ac:dyDescent="0.25">
      <c r="A3765" t="s">
        <v>3791</v>
      </c>
      <c r="B3765" t="s">
        <v>11047</v>
      </c>
    </row>
    <row r="3766" spans="1:2" x14ac:dyDescent="0.25">
      <c r="A3766" t="s">
        <v>3792</v>
      </c>
      <c r="B3766" t="s">
        <v>11048</v>
      </c>
    </row>
    <row r="3767" spans="1:2" x14ac:dyDescent="0.25">
      <c r="A3767" t="s">
        <v>3793</v>
      </c>
      <c r="B3767" t="s">
        <v>11049</v>
      </c>
    </row>
    <row r="3768" spans="1:2" x14ac:dyDescent="0.25">
      <c r="A3768" t="s">
        <v>3794</v>
      </c>
      <c r="B3768" t="s">
        <v>11050</v>
      </c>
    </row>
    <row r="3769" spans="1:2" x14ac:dyDescent="0.25">
      <c r="A3769" t="s">
        <v>3795</v>
      </c>
      <c r="B3769" t="s">
        <v>11051</v>
      </c>
    </row>
    <row r="3770" spans="1:2" x14ac:dyDescent="0.25">
      <c r="A3770" t="s">
        <v>3796</v>
      </c>
      <c r="B3770" t="s">
        <v>11052</v>
      </c>
    </row>
    <row r="3771" spans="1:2" x14ac:dyDescent="0.25">
      <c r="A3771" t="s">
        <v>3797</v>
      </c>
      <c r="B3771" t="s">
        <v>11053</v>
      </c>
    </row>
    <row r="3772" spans="1:2" x14ac:dyDescent="0.25">
      <c r="A3772" t="s">
        <v>3798</v>
      </c>
      <c r="B3772" t="s">
        <v>11054</v>
      </c>
    </row>
    <row r="3773" spans="1:2" x14ac:dyDescent="0.25">
      <c r="A3773" t="s">
        <v>3799</v>
      </c>
      <c r="B3773" t="s">
        <v>11055</v>
      </c>
    </row>
    <row r="3774" spans="1:2" x14ac:dyDescent="0.25">
      <c r="A3774" t="s">
        <v>3800</v>
      </c>
      <c r="B3774" t="s">
        <v>11056</v>
      </c>
    </row>
    <row r="3775" spans="1:2" x14ac:dyDescent="0.25">
      <c r="A3775" t="s">
        <v>3801</v>
      </c>
      <c r="B3775" t="s">
        <v>11057</v>
      </c>
    </row>
    <row r="3776" spans="1:2" x14ac:dyDescent="0.25">
      <c r="A3776" t="s">
        <v>3802</v>
      </c>
      <c r="B3776" t="s">
        <v>11058</v>
      </c>
    </row>
    <row r="3777" spans="1:2" x14ac:dyDescent="0.25">
      <c r="A3777" t="s">
        <v>3803</v>
      </c>
      <c r="B3777" t="s">
        <v>11059</v>
      </c>
    </row>
    <row r="3778" spans="1:2" x14ac:dyDescent="0.25">
      <c r="A3778" t="s">
        <v>3804</v>
      </c>
      <c r="B3778" t="s">
        <v>11060</v>
      </c>
    </row>
    <row r="3779" spans="1:2" x14ac:dyDescent="0.25">
      <c r="A3779" t="s">
        <v>3805</v>
      </c>
      <c r="B3779" t="s">
        <v>11061</v>
      </c>
    </row>
    <row r="3780" spans="1:2" x14ac:dyDescent="0.25">
      <c r="A3780" t="s">
        <v>3806</v>
      </c>
      <c r="B3780" t="s">
        <v>11062</v>
      </c>
    </row>
    <row r="3781" spans="1:2" x14ac:dyDescent="0.25">
      <c r="A3781" t="s">
        <v>3807</v>
      </c>
      <c r="B3781" t="s">
        <v>11063</v>
      </c>
    </row>
    <row r="3782" spans="1:2" x14ac:dyDescent="0.25">
      <c r="A3782" t="s">
        <v>3808</v>
      </c>
      <c r="B3782" t="s">
        <v>11064</v>
      </c>
    </row>
    <row r="3783" spans="1:2" x14ac:dyDescent="0.25">
      <c r="A3783" t="s">
        <v>3809</v>
      </c>
      <c r="B3783" t="s">
        <v>11065</v>
      </c>
    </row>
    <row r="3784" spans="1:2" x14ac:dyDescent="0.25">
      <c r="A3784" t="s">
        <v>3810</v>
      </c>
      <c r="B3784" t="s">
        <v>11066</v>
      </c>
    </row>
    <row r="3785" spans="1:2" x14ac:dyDescent="0.25">
      <c r="A3785" t="s">
        <v>3811</v>
      </c>
      <c r="B3785" t="s">
        <v>11067</v>
      </c>
    </row>
    <row r="3786" spans="1:2" x14ac:dyDescent="0.25">
      <c r="A3786" t="s">
        <v>3812</v>
      </c>
      <c r="B3786" t="s">
        <v>11068</v>
      </c>
    </row>
    <row r="3787" spans="1:2" x14ac:dyDescent="0.25">
      <c r="A3787" t="s">
        <v>3813</v>
      </c>
      <c r="B3787" t="s">
        <v>11069</v>
      </c>
    </row>
    <row r="3788" spans="1:2" x14ac:dyDescent="0.25">
      <c r="A3788" t="s">
        <v>3814</v>
      </c>
      <c r="B3788" t="s">
        <v>11070</v>
      </c>
    </row>
    <row r="3789" spans="1:2" x14ac:dyDescent="0.25">
      <c r="A3789" t="s">
        <v>3815</v>
      </c>
      <c r="B3789" t="s">
        <v>11071</v>
      </c>
    </row>
    <row r="3790" spans="1:2" x14ac:dyDescent="0.25">
      <c r="A3790" t="s">
        <v>3816</v>
      </c>
      <c r="B3790" t="s">
        <v>11072</v>
      </c>
    </row>
    <row r="3791" spans="1:2" x14ac:dyDescent="0.25">
      <c r="A3791" t="s">
        <v>3817</v>
      </c>
      <c r="B3791" t="s">
        <v>11073</v>
      </c>
    </row>
    <row r="3792" spans="1:2" x14ac:dyDescent="0.25">
      <c r="A3792" t="s">
        <v>3818</v>
      </c>
      <c r="B3792" t="s">
        <v>11074</v>
      </c>
    </row>
    <row r="3793" spans="1:2" x14ac:dyDescent="0.25">
      <c r="A3793" t="s">
        <v>3819</v>
      </c>
      <c r="B3793" t="s">
        <v>11075</v>
      </c>
    </row>
    <row r="3794" spans="1:2" x14ac:dyDescent="0.25">
      <c r="A3794" t="s">
        <v>3820</v>
      </c>
      <c r="B3794" t="s">
        <v>11076</v>
      </c>
    </row>
    <row r="3795" spans="1:2" x14ac:dyDescent="0.25">
      <c r="A3795" t="s">
        <v>3821</v>
      </c>
      <c r="B3795" t="s">
        <v>11077</v>
      </c>
    </row>
    <row r="3796" spans="1:2" x14ac:dyDescent="0.25">
      <c r="A3796" t="s">
        <v>3822</v>
      </c>
      <c r="B3796" t="s">
        <v>11078</v>
      </c>
    </row>
    <row r="3797" spans="1:2" x14ac:dyDescent="0.25">
      <c r="A3797" t="s">
        <v>3823</v>
      </c>
      <c r="B3797" t="s">
        <v>11079</v>
      </c>
    </row>
    <row r="3798" spans="1:2" x14ac:dyDescent="0.25">
      <c r="A3798" t="s">
        <v>3824</v>
      </c>
      <c r="B3798" t="s">
        <v>11080</v>
      </c>
    </row>
    <row r="3799" spans="1:2" x14ac:dyDescent="0.25">
      <c r="A3799" t="s">
        <v>3825</v>
      </c>
      <c r="B3799" t="s">
        <v>11081</v>
      </c>
    </row>
    <row r="3800" spans="1:2" x14ac:dyDescent="0.25">
      <c r="A3800" t="s">
        <v>3826</v>
      </c>
      <c r="B3800" t="s">
        <v>11082</v>
      </c>
    </row>
    <row r="3801" spans="1:2" x14ac:dyDescent="0.25">
      <c r="A3801" t="s">
        <v>3827</v>
      </c>
      <c r="B3801" t="s">
        <v>11083</v>
      </c>
    </row>
    <row r="3802" spans="1:2" x14ac:dyDescent="0.25">
      <c r="A3802" t="s">
        <v>3828</v>
      </c>
      <c r="B3802" t="s">
        <v>11084</v>
      </c>
    </row>
    <row r="3803" spans="1:2" x14ac:dyDescent="0.25">
      <c r="A3803" t="s">
        <v>3829</v>
      </c>
      <c r="B3803" t="s">
        <v>11085</v>
      </c>
    </row>
    <row r="3804" spans="1:2" x14ac:dyDescent="0.25">
      <c r="A3804" t="s">
        <v>3830</v>
      </c>
      <c r="B3804" t="s">
        <v>11086</v>
      </c>
    </row>
    <row r="3805" spans="1:2" x14ac:dyDescent="0.25">
      <c r="A3805" t="s">
        <v>3831</v>
      </c>
      <c r="B3805" t="s">
        <v>11087</v>
      </c>
    </row>
    <row r="3806" spans="1:2" x14ac:dyDescent="0.25">
      <c r="A3806" t="s">
        <v>3832</v>
      </c>
      <c r="B3806" t="s">
        <v>11088</v>
      </c>
    </row>
    <row r="3807" spans="1:2" x14ac:dyDescent="0.25">
      <c r="A3807" t="s">
        <v>3833</v>
      </c>
      <c r="B3807" t="s">
        <v>11089</v>
      </c>
    </row>
    <row r="3808" spans="1:2" x14ac:dyDescent="0.25">
      <c r="A3808" t="s">
        <v>3834</v>
      </c>
      <c r="B3808" t="s">
        <v>11090</v>
      </c>
    </row>
    <row r="3809" spans="1:2" x14ac:dyDescent="0.25">
      <c r="A3809" t="s">
        <v>3835</v>
      </c>
      <c r="B3809" t="s">
        <v>11091</v>
      </c>
    </row>
    <row r="3810" spans="1:2" x14ac:dyDescent="0.25">
      <c r="A3810" t="s">
        <v>3836</v>
      </c>
      <c r="B3810" t="s">
        <v>11092</v>
      </c>
    </row>
    <row r="3811" spans="1:2" x14ac:dyDescent="0.25">
      <c r="A3811" t="s">
        <v>3837</v>
      </c>
      <c r="B3811" t="s">
        <v>11093</v>
      </c>
    </row>
    <row r="3812" spans="1:2" x14ac:dyDescent="0.25">
      <c r="A3812" t="s">
        <v>3838</v>
      </c>
      <c r="B3812" t="s">
        <v>11094</v>
      </c>
    </row>
    <row r="3813" spans="1:2" x14ac:dyDescent="0.25">
      <c r="A3813" t="s">
        <v>3839</v>
      </c>
      <c r="B3813" t="s">
        <v>11095</v>
      </c>
    </row>
    <row r="3814" spans="1:2" x14ac:dyDescent="0.25">
      <c r="A3814" t="s">
        <v>3840</v>
      </c>
      <c r="B3814" t="s">
        <v>11096</v>
      </c>
    </row>
    <row r="3815" spans="1:2" x14ac:dyDescent="0.25">
      <c r="A3815" t="s">
        <v>3841</v>
      </c>
      <c r="B3815" t="s">
        <v>11097</v>
      </c>
    </row>
    <row r="3816" spans="1:2" x14ac:dyDescent="0.25">
      <c r="A3816" t="s">
        <v>3842</v>
      </c>
      <c r="B3816" t="s">
        <v>11098</v>
      </c>
    </row>
    <row r="3817" spans="1:2" x14ac:dyDescent="0.25">
      <c r="A3817" t="s">
        <v>3843</v>
      </c>
      <c r="B3817" t="s">
        <v>11099</v>
      </c>
    </row>
    <row r="3818" spans="1:2" x14ac:dyDescent="0.25">
      <c r="A3818" t="s">
        <v>3844</v>
      </c>
      <c r="B3818" t="s">
        <v>11100</v>
      </c>
    </row>
    <row r="3819" spans="1:2" x14ac:dyDescent="0.25">
      <c r="A3819" t="s">
        <v>3845</v>
      </c>
      <c r="B3819" t="s">
        <v>11101</v>
      </c>
    </row>
    <row r="3820" spans="1:2" x14ac:dyDescent="0.25">
      <c r="A3820" t="s">
        <v>3846</v>
      </c>
      <c r="B3820" t="s">
        <v>11102</v>
      </c>
    </row>
    <row r="3821" spans="1:2" x14ac:dyDescent="0.25">
      <c r="A3821" t="s">
        <v>3847</v>
      </c>
      <c r="B3821" t="s">
        <v>11103</v>
      </c>
    </row>
    <row r="3822" spans="1:2" x14ac:dyDescent="0.25">
      <c r="A3822" t="s">
        <v>3848</v>
      </c>
      <c r="B3822" t="s">
        <v>11104</v>
      </c>
    </row>
    <row r="3823" spans="1:2" x14ac:dyDescent="0.25">
      <c r="A3823" t="s">
        <v>3849</v>
      </c>
      <c r="B3823" t="s">
        <v>11105</v>
      </c>
    </row>
    <row r="3824" spans="1:2" x14ac:dyDescent="0.25">
      <c r="A3824" t="s">
        <v>3850</v>
      </c>
      <c r="B3824" t="s">
        <v>11106</v>
      </c>
    </row>
    <row r="3825" spans="1:2" x14ac:dyDescent="0.25">
      <c r="A3825" t="s">
        <v>3851</v>
      </c>
      <c r="B3825" t="s">
        <v>11107</v>
      </c>
    </row>
    <row r="3826" spans="1:2" x14ac:dyDescent="0.25">
      <c r="A3826" t="s">
        <v>3852</v>
      </c>
      <c r="B3826" t="s">
        <v>11108</v>
      </c>
    </row>
    <row r="3827" spans="1:2" x14ac:dyDescent="0.25">
      <c r="A3827" t="s">
        <v>3853</v>
      </c>
      <c r="B3827" t="s">
        <v>11109</v>
      </c>
    </row>
    <row r="3828" spans="1:2" x14ac:dyDescent="0.25">
      <c r="A3828" t="s">
        <v>3854</v>
      </c>
      <c r="B3828" t="s">
        <v>11110</v>
      </c>
    </row>
    <row r="3829" spans="1:2" x14ac:dyDescent="0.25">
      <c r="A3829" t="s">
        <v>3855</v>
      </c>
      <c r="B3829" t="s">
        <v>11111</v>
      </c>
    </row>
    <row r="3830" spans="1:2" x14ac:dyDescent="0.25">
      <c r="A3830" t="s">
        <v>3856</v>
      </c>
      <c r="B3830" t="s">
        <v>11112</v>
      </c>
    </row>
    <row r="3831" spans="1:2" x14ac:dyDescent="0.25">
      <c r="A3831" t="s">
        <v>3857</v>
      </c>
      <c r="B3831" t="s">
        <v>11113</v>
      </c>
    </row>
    <row r="3832" spans="1:2" x14ac:dyDescent="0.25">
      <c r="A3832" t="s">
        <v>3858</v>
      </c>
      <c r="B3832" t="s">
        <v>11114</v>
      </c>
    </row>
    <row r="3833" spans="1:2" x14ac:dyDescent="0.25">
      <c r="A3833" t="s">
        <v>3859</v>
      </c>
      <c r="B3833" t="s">
        <v>11115</v>
      </c>
    </row>
    <row r="3834" spans="1:2" x14ac:dyDescent="0.25">
      <c r="A3834" t="s">
        <v>3860</v>
      </c>
      <c r="B3834" t="s">
        <v>11116</v>
      </c>
    </row>
    <row r="3835" spans="1:2" x14ac:dyDescent="0.25">
      <c r="A3835" t="s">
        <v>3861</v>
      </c>
      <c r="B3835" t="s">
        <v>11117</v>
      </c>
    </row>
    <row r="3836" spans="1:2" x14ac:dyDescent="0.25">
      <c r="A3836" t="s">
        <v>3862</v>
      </c>
      <c r="B3836" t="s">
        <v>11118</v>
      </c>
    </row>
    <row r="3837" spans="1:2" x14ac:dyDescent="0.25">
      <c r="A3837" t="s">
        <v>3863</v>
      </c>
      <c r="B3837" t="s">
        <v>11119</v>
      </c>
    </row>
    <row r="3838" spans="1:2" x14ac:dyDescent="0.25">
      <c r="A3838" t="s">
        <v>3864</v>
      </c>
      <c r="B3838" t="s">
        <v>11120</v>
      </c>
    </row>
    <row r="3839" spans="1:2" x14ac:dyDescent="0.25">
      <c r="A3839" t="s">
        <v>3865</v>
      </c>
      <c r="B3839" t="s">
        <v>11121</v>
      </c>
    </row>
    <row r="3840" spans="1:2" x14ac:dyDescent="0.25">
      <c r="A3840" t="s">
        <v>3866</v>
      </c>
      <c r="B3840" t="s">
        <v>11122</v>
      </c>
    </row>
    <row r="3841" spans="1:2" x14ac:dyDescent="0.25">
      <c r="A3841" t="s">
        <v>3867</v>
      </c>
      <c r="B3841" t="s">
        <v>11123</v>
      </c>
    </row>
    <row r="3842" spans="1:2" x14ac:dyDescent="0.25">
      <c r="A3842" t="s">
        <v>3868</v>
      </c>
      <c r="B3842" t="s">
        <v>11124</v>
      </c>
    </row>
    <row r="3843" spans="1:2" x14ac:dyDescent="0.25">
      <c r="A3843" t="s">
        <v>3869</v>
      </c>
      <c r="B3843" t="s">
        <v>11125</v>
      </c>
    </row>
    <row r="3844" spans="1:2" x14ac:dyDescent="0.25">
      <c r="A3844" t="s">
        <v>3870</v>
      </c>
      <c r="B3844" t="s">
        <v>11126</v>
      </c>
    </row>
    <row r="3845" spans="1:2" x14ac:dyDescent="0.25">
      <c r="A3845" t="s">
        <v>3871</v>
      </c>
      <c r="B3845" t="s">
        <v>11127</v>
      </c>
    </row>
    <row r="3846" spans="1:2" x14ac:dyDescent="0.25">
      <c r="A3846" t="s">
        <v>3872</v>
      </c>
      <c r="B3846" t="s">
        <v>11128</v>
      </c>
    </row>
    <row r="3847" spans="1:2" x14ac:dyDescent="0.25">
      <c r="A3847" t="s">
        <v>3873</v>
      </c>
      <c r="B3847" t="s">
        <v>11129</v>
      </c>
    </row>
    <row r="3848" spans="1:2" x14ac:dyDescent="0.25">
      <c r="A3848" t="s">
        <v>3874</v>
      </c>
      <c r="B3848" t="s">
        <v>11130</v>
      </c>
    </row>
    <row r="3849" spans="1:2" x14ac:dyDescent="0.25">
      <c r="A3849" t="s">
        <v>3875</v>
      </c>
      <c r="B3849" t="s">
        <v>11131</v>
      </c>
    </row>
    <row r="3850" spans="1:2" x14ac:dyDescent="0.25">
      <c r="A3850" t="s">
        <v>3876</v>
      </c>
      <c r="B3850" t="s">
        <v>11132</v>
      </c>
    </row>
    <row r="3851" spans="1:2" x14ac:dyDescent="0.25">
      <c r="A3851" t="s">
        <v>3877</v>
      </c>
      <c r="B3851" t="s">
        <v>11133</v>
      </c>
    </row>
    <row r="3852" spans="1:2" x14ac:dyDescent="0.25">
      <c r="A3852" t="s">
        <v>3878</v>
      </c>
      <c r="B3852" t="s">
        <v>11134</v>
      </c>
    </row>
    <row r="3853" spans="1:2" x14ac:dyDescent="0.25">
      <c r="A3853" t="s">
        <v>3879</v>
      </c>
      <c r="B3853" t="s">
        <v>11135</v>
      </c>
    </row>
    <row r="3854" spans="1:2" x14ac:dyDescent="0.25">
      <c r="A3854" t="s">
        <v>3880</v>
      </c>
      <c r="B3854" t="s">
        <v>11136</v>
      </c>
    </row>
    <row r="3855" spans="1:2" x14ac:dyDescent="0.25">
      <c r="A3855" t="s">
        <v>3881</v>
      </c>
      <c r="B3855" t="s">
        <v>11137</v>
      </c>
    </row>
    <row r="3856" spans="1:2" x14ac:dyDescent="0.25">
      <c r="A3856" t="s">
        <v>3882</v>
      </c>
      <c r="B3856" t="s">
        <v>11138</v>
      </c>
    </row>
    <row r="3857" spans="1:2" x14ac:dyDescent="0.25">
      <c r="A3857" t="s">
        <v>3883</v>
      </c>
      <c r="B3857" t="s">
        <v>11139</v>
      </c>
    </row>
    <row r="3858" spans="1:2" x14ac:dyDescent="0.25">
      <c r="A3858" t="s">
        <v>3884</v>
      </c>
      <c r="B3858" t="s">
        <v>11140</v>
      </c>
    </row>
    <row r="3859" spans="1:2" x14ac:dyDescent="0.25">
      <c r="A3859" t="s">
        <v>3885</v>
      </c>
      <c r="B3859" t="s">
        <v>11141</v>
      </c>
    </row>
    <row r="3860" spans="1:2" x14ac:dyDescent="0.25">
      <c r="A3860" t="s">
        <v>3886</v>
      </c>
      <c r="B3860" t="s">
        <v>11142</v>
      </c>
    </row>
    <row r="3861" spans="1:2" x14ac:dyDescent="0.25">
      <c r="A3861" t="s">
        <v>3887</v>
      </c>
      <c r="B3861" t="s">
        <v>11143</v>
      </c>
    </row>
    <row r="3862" spans="1:2" x14ac:dyDescent="0.25">
      <c r="A3862" t="s">
        <v>3888</v>
      </c>
      <c r="B3862" t="s">
        <v>11144</v>
      </c>
    </row>
    <row r="3863" spans="1:2" x14ac:dyDescent="0.25">
      <c r="A3863" t="s">
        <v>3889</v>
      </c>
      <c r="B3863" t="s">
        <v>11145</v>
      </c>
    </row>
    <row r="3864" spans="1:2" x14ac:dyDescent="0.25">
      <c r="A3864" t="s">
        <v>3890</v>
      </c>
      <c r="B3864" t="s">
        <v>11146</v>
      </c>
    </row>
    <row r="3865" spans="1:2" x14ac:dyDescent="0.25">
      <c r="A3865" t="s">
        <v>3891</v>
      </c>
      <c r="B3865" t="s">
        <v>11147</v>
      </c>
    </row>
    <row r="3866" spans="1:2" x14ac:dyDescent="0.25">
      <c r="A3866" t="s">
        <v>3892</v>
      </c>
      <c r="B3866" t="s">
        <v>11148</v>
      </c>
    </row>
    <row r="3867" spans="1:2" x14ac:dyDescent="0.25">
      <c r="A3867" t="s">
        <v>3893</v>
      </c>
      <c r="B3867" t="s">
        <v>11149</v>
      </c>
    </row>
    <row r="3868" spans="1:2" x14ac:dyDescent="0.25">
      <c r="A3868" t="s">
        <v>3894</v>
      </c>
      <c r="B3868" t="s">
        <v>11150</v>
      </c>
    </row>
    <row r="3869" spans="1:2" x14ac:dyDescent="0.25">
      <c r="A3869" t="s">
        <v>3895</v>
      </c>
      <c r="B3869" t="s">
        <v>11151</v>
      </c>
    </row>
    <row r="3870" spans="1:2" x14ac:dyDescent="0.25">
      <c r="A3870" t="s">
        <v>3896</v>
      </c>
      <c r="B3870" t="s">
        <v>11152</v>
      </c>
    </row>
    <row r="3871" spans="1:2" x14ac:dyDescent="0.25">
      <c r="A3871" t="s">
        <v>3897</v>
      </c>
      <c r="B3871" t="s">
        <v>11153</v>
      </c>
    </row>
    <row r="3872" spans="1:2" x14ac:dyDescent="0.25">
      <c r="A3872" t="s">
        <v>3898</v>
      </c>
      <c r="B3872" t="s">
        <v>11154</v>
      </c>
    </row>
    <row r="3873" spans="1:2" x14ac:dyDescent="0.25">
      <c r="A3873" t="s">
        <v>3899</v>
      </c>
      <c r="B3873" t="s">
        <v>11155</v>
      </c>
    </row>
    <row r="3874" spans="1:2" x14ac:dyDescent="0.25">
      <c r="A3874" t="s">
        <v>3900</v>
      </c>
      <c r="B3874" t="s">
        <v>11156</v>
      </c>
    </row>
    <row r="3875" spans="1:2" x14ac:dyDescent="0.25">
      <c r="A3875" t="s">
        <v>3901</v>
      </c>
      <c r="B3875" t="s">
        <v>11157</v>
      </c>
    </row>
    <row r="3876" spans="1:2" x14ac:dyDescent="0.25">
      <c r="A3876" t="s">
        <v>3902</v>
      </c>
      <c r="B3876" t="s">
        <v>11158</v>
      </c>
    </row>
    <row r="3877" spans="1:2" x14ac:dyDescent="0.25">
      <c r="A3877" t="s">
        <v>3903</v>
      </c>
      <c r="B3877" t="s">
        <v>11159</v>
      </c>
    </row>
    <row r="3878" spans="1:2" x14ac:dyDescent="0.25">
      <c r="A3878" t="s">
        <v>3904</v>
      </c>
      <c r="B3878" t="s">
        <v>11160</v>
      </c>
    </row>
    <row r="3879" spans="1:2" x14ac:dyDescent="0.25">
      <c r="A3879" t="s">
        <v>3905</v>
      </c>
      <c r="B3879" t="s">
        <v>11161</v>
      </c>
    </row>
    <row r="3880" spans="1:2" x14ac:dyDescent="0.25">
      <c r="A3880" t="s">
        <v>3906</v>
      </c>
      <c r="B3880" t="s">
        <v>11162</v>
      </c>
    </row>
    <row r="3881" spans="1:2" x14ac:dyDescent="0.25">
      <c r="A3881" t="s">
        <v>3907</v>
      </c>
      <c r="B3881" t="s">
        <v>11163</v>
      </c>
    </row>
    <row r="3882" spans="1:2" x14ac:dyDescent="0.25">
      <c r="A3882" t="s">
        <v>3908</v>
      </c>
      <c r="B3882" t="s">
        <v>11164</v>
      </c>
    </row>
    <row r="3883" spans="1:2" x14ac:dyDescent="0.25">
      <c r="A3883" t="s">
        <v>3909</v>
      </c>
      <c r="B3883" t="s">
        <v>11164</v>
      </c>
    </row>
    <row r="3884" spans="1:2" x14ac:dyDescent="0.25">
      <c r="A3884" t="s">
        <v>3910</v>
      </c>
      <c r="B3884" t="s">
        <v>11165</v>
      </c>
    </row>
    <row r="3885" spans="1:2" x14ac:dyDescent="0.25">
      <c r="A3885" t="s">
        <v>3911</v>
      </c>
      <c r="B3885" t="s">
        <v>11166</v>
      </c>
    </row>
    <row r="3886" spans="1:2" x14ac:dyDescent="0.25">
      <c r="A3886" t="s">
        <v>3912</v>
      </c>
      <c r="B3886" t="s">
        <v>11167</v>
      </c>
    </row>
    <row r="3887" spans="1:2" x14ac:dyDescent="0.25">
      <c r="A3887" t="s">
        <v>3913</v>
      </c>
      <c r="B3887" t="s">
        <v>11168</v>
      </c>
    </row>
    <row r="3888" spans="1:2" x14ac:dyDescent="0.25">
      <c r="A3888" t="s">
        <v>3914</v>
      </c>
      <c r="B3888" t="s">
        <v>11169</v>
      </c>
    </row>
    <row r="3889" spans="1:2" x14ac:dyDescent="0.25">
      <c r="A3889" t="s">
        <v>3915</v>
      </c>
      <c r="B3889" t="s">
        <v>11170</v>
      </c>
    </row>
    <row r="3890" spans="1:2" x14ac:dyDescent="0.25">
      <c r="A3890" t="s">
        <v>3916</v>
      </c>
      <c r="B3890" t="s">
        <v>11171</v>
      </c>
    </row>
    <row r="3891" spans="1:2" x14ac:dyDescent="0.25">
      <c r="A3891" t="s">
        <v>3917</v>
      </c>
      <c r="B3891" t="s">
        <v>11172</v>
      </c>
    </row>
    <row r="3892" spans="1:2" x14ac:dyDescent="0.25">
      <c r="A3892" t="s">
        <v>3918</v>
      </c>
      <c r="B3892" t="s">
        <v>11173</v>
      </c>
    </row>
    <row r="3893" spans="1:2" x14ac:dyDescent="0.25">
      <c r="A3893" t="s">
        <v>3919</v>
      </c>
      <c r="B3893" t="s">
        <v>11174</v>
      </c>
    </row>
    <row r="3894" spans="1:2" x14ac:dyDescent="0.25">
      <c r="A3894" t="s">
        <v>3920</v>
      </c>
      <c r="B3894" t="s">
        <v>11175</v>
      </c>
    </row>
    <row r="3895" spans="1:2" x14ac:dyDescent="0.25">
      <c r="A3895" t="s">
        <v>3921</v>
      </c>
      <c r="B3895" t="s">
        <v>11176</v>
      </c>
    </row>
    <row r="3896" spans="1:2" x14ac:dyDescent="0.25">
      <c r="A3896" t="s">
        <v>3922</v>
      </c>
      <c r="B3896" t="s">
        <v>11177</v>
      </c>
    </row>
    <row r="3897" spans="1:2" x14ac:dyDescent="0.25">
      <c r="A3897" t="s">
        <v>3923</v>
      </c>
      <c r="B3897" t="s">
        <v>11178</v>
      </c>
    </row>
    <row r="3898" spans="1:2" x14ac:dyDescent="0.25">
      <c r="A3898" t="s">
        <v>3924</v>
      </c>
      <c r="B3898" t="s">
        <v>11179</v>
      </c>
    </row>
    <row r="3899" spans="1:2" x14ac:dyDescent="0.25">
      <c r="A3899" t="s">
        <v>3925</v>
      </c>
      <c r="B3899" t="s">
        <v>11180</v>
      </c>
    </row>
    <row r="3900" spans="1:2" x14ac:dyDescent="0.25">
      <c r="A3900" t="s">
        <v>3926</v>
      </c>
      <c r="B3900" t="s">
        <v>11181</v>
      </c>
    </row>
    <row r="3901" spans="1:2" x14ac:dyDescent="0.25">
      <c r="A3901" t="s">
        <v>3927</v>
      </c>
      <c r="B3901" t="s">
        <v>11182</v>
      </c>
    </row>
    <row r="3902" spans="1:2" x14ac:dyDescent="0.25">
      <c r="A3902" t="s">
        <v>3928</v>
      </c>
      <c r="B3902" t="s">
        <v>11183</v>
      </c>
    </row>
    <row r="3903" spans="1:2" x14ac:dyDescent="0.25">
      <c r="A3903" t="s">
        <v>3929</v>
      </c>
      <c r="B3903" t="s">
        <v>11184</v>
      </c>
    </row>
    <row r="3904" spans="1:2" x14ac:dyDescent="0.25">
      <c r="A3904" t="s">
        <v>3930</v>
      </c>
      <c r="B3904" t="s">
        <v>11185</v>
      </c>
    </row>
    <row r="3905" spans="1:2" x14ac:dyDescent="0.25">
      <c r="A3905" t="s">
        <v>3931</v>
      </c>
      <c r="B3905" t="s">
        <v>11186</v>
      </c>
    </row>
    <row r="3906" spans="1:2" x14ac:dyDescent="0.25">
      <c r="A3906" t="s">
        <v>3932</v>
      </c>
      <c r="B3906" t="s">
        <v>11187</v>
      </c>
    </row>
    <row r="3907" spans="1:2" x14ac:dyDescent="0.25">
      <c r="A3907" t="s">
        <v>3933</v>
      </c>
      <c r="B3907" t="s">
        <v>11188</v>
      </c>
    </row>
    <row r="3908" spans="1:2" x14ac:dyDescent="0.25">
      <c r="A3908" t="s">
        <v>3934</v>
      </c>
      <c r="B3908" t="s">
        <v>11189</v>
      </c>
    </row>
    <row r="3909" spans="1:2" x14ac:dyDescent="0.25">
      <c r="A3909" t="s">
        <v>3935</v>
      </c>
      <c r="B3909" t="s">
        <v>11190</v>
      </c>
    </row>
    <row r="3910" spans="1:2" x14ac:dyDescent="0.25">
      <c r="A3910" t="s">
        <v>3936</v>
      </c>
      <c r="B3910" t="s">
        <v>11191</v>
      </c>
    </row>
    <row r="3911" spans="1:2" x14ac:dyDescent="0.25">
      <c r="A3911" t="s">
        <v>3937</v>
      </c>
      <c r="B3911" t="s">
        <v>11192</v>
      </c>
    </row>
    <row r="3912" spans="1:2" x14ac:dyDescent="0.25">
      <c r="A3912" t="s">
        <v>3938</v>
      </c>
      <c r="B3912" t="s">
        <v>11193</v>
      </c>
    </row>
    <row r="3913" spans="1:2" x14ac:dyDescent="0.25">
      <c r="A3913" t="s">
        <v>3939</v>
      </c>
      <c r="B3913" t="s">
        <v>11194</v>
      </c>
    </row>
    <row r="3914" spans="1:2" x14ac:dyDescent="0.25">
      <c r="A3914" t="s">
        <v>3940</v>
      </c>
      <c r="B3914" t="s">
        <v>11195</v>
      </c>
    </row>
    <row r="3915" spans="1:2" x14ac:dyDescent="0.25">
      <c r="A3915" t="s">
        <v>3941</v>
      </c>
      <c r="B3915" t="s">
        <v>11196</v>
      </c>
    </row>
    <row r="3916" spans="1:2" x14ac:dyDescent="0.25">
      <c r="A3916" t="s">
        <v>3942</v>
      </c>
      <c r="B3916" t="s">
        <v>11197</v>
      </c>
    </row>
    <row r="3917" spans="1:2" x14ac:dyDescent="0.25">
      <c r="A3917" t="s">
        <v>3943</v>
      </c>
      <c r="B3917" t="s">
        <v>11198</v>
      </c>
    </row>
    <row r="3918" spans="1:2" x14ac:dyDescent="0.25">
      <c r="A3918" t="s">
        <v>3944</v>
      </c>
      <c r="B3918" t="s">
        <v>11199</v>
      </c>
    </row>
    <row r="3919" spans="1:2" x14ac:dyDescent="0.25">
      <c r="A3919" t="s">
        <v>3945</v>
      </c>
      <c r="B3919" t="s">
        <v>11200</v>
      </c>
    </row>
    <row r="3920" spans="1:2" x14ac:dyDescent="0.25">
      <c r="A3920" t="s">
        <v>3946</v>
      </c>
      <c r="B3920" t="s">
        <v>11201</v>
      </c>
    </row>
    <row r="3921" spans="1:2" x14ac:dyDescent="0.25">
      <c r="A3921" t="s">
        <v>3947</v>
      </c>
      <c r="B3921" t="s">
        <v>11202</v>
      </c>
    </row>
    <row r="3922" spans="1:2" x14ac:dyDescent="0.25">
      <c r="A3922" t="s">
        <v>3948</v>
      </c>
      <c r="B3922" t="s">
        <v>11203</v>
      </c>
    </row>
    <row r="3923" spans="1:2" x14ac:dyDescent="0.25">
      <c r="A3923" t="s">
        <v>3949</v>
      </c>
      <c r="B3923" t="s">
        <v>11204</v>
      </c>
    </row>
    <row r="3924" spans="1:2" x14ac:dyDescent="0.25">
      <c r="A3924" t="s">
        <v>3950</v>
      </c>
      <c r="B3924" t="s">
        <v>11205</v>
      </c>
    </row>
    <row r="3925" spans="1:2" x14ac:dyDescent="0.25">
      <c r="A3925" t="s">
        <v>3951</v>
      </c>
      <c r="B3925" t="s">
        <v>11206</v>
      </c>
    </row>
    <row r="3926" spans="1:2" x14ac:dyDescent="0.25">
      <c r="A3926" t="s">
        <v>3952</v>
      </c>
      <c r="B3926" t="s">
        <v>11207</v>
      </c>
    </row>
    <row r="3927" spans="1:2" x14ac:dyDescent="0.25">
      <c r="A3927" t="s">
        <v>3953</v>
      </c>
      <c r="B3927" t="s">
        <v>11208</v>
      </c>
    </row>
    <row r="3928" spans="1:2" x14ac:dyDescent="0.25">
      <c r="A3928" t="s">
        <v>3954</v>
      </c>
      <c r="B3928" t="s">
        <v>11209</v>
      </c>
    </row>
    <row r="3929" spans="1:2" x14ac:dyDescent="0.25">
      <c r="A3929" t="s">
        <v>3955</v>
      </c>
      <c r="B3929" t="s">
        <v>11210</v>
      </c>
    </row>
    <row r="3930" spans="1:2" x14ac:dyDescent="0.25">
      <c r="A3930" t="s">
        <v>3956</v>
      </c>
      <c r="B3930" t="s">
        <v>11211</v>
      </c>
    </row>
    <row r="3931" spans="1:2" x14ac:dyDescent="0.25">
      <c r="A3931" t="s">
        <v>3957</v>
      </c>
      <c r="B3931" t="s">
        <v>11212</v>
      </c>
    </row>
    <row r="3932" spans="1:2" x14ac:dyDescent="0.25">
      <c r="A3932" t="s">
        <v>3958</v>
      </c>
      <c r="B3932" t="s">
        <v>11213</v>
      </c>
    </row>
    <row r="3933" spans="1:2" x14ac:dyDescent="0.25">
      <c r="A3933" t="s">
        <v>3959</v>
      </c>
      <c r="B3933" t="s">
        <v>11214</v>
      </c>
    </row>
    <row r="3934" spans="1:2" x14ac:dyDescent="0.25">
      <c r="A3934" t="s">
        <v>3960</v>
      </c>
      <c r="B3934" t="s">
        <v>11215</v>
      </c>
    </row>
    <row r="3935" spans="1:2" x14ac:dyDescent="0.25">
      <c r="A3935" t="s">
        <v>3961</v>
      </c>
      <c r="B3935" t="s">
        <v>11216</v>
      </c>
    </row>
    <row r="3936" spans="1:2" x14ac:dyDescent="0.25">
      <c r="A3936" t="s">
        <v>3962</v>
      </c>
      <c r="B3936" t="s">
        <v>11217</v>
      </c>
    </row>
    <row r="3937" spans="1:2" x14ac:dyDescent="0.25">
      <c r="A3937" t="s">
        <v>3963</v>
      </c>
      <c r="B3937" t="s">
        <v>11218</v>
      </c>
    </row>
    <row r="3938" spans="1:2" x14ac:dyDescent="0.25">
      <c r="A3938" t="s">
        <v>3964</v>
      </c>
      <c r="B3938" t="s">
        <v>11219</v>
      </c>
    </row>
    <row r="3939" spans="1:2" x14ac:dyDescent="0.25">
      <c r="A3939" t="s">
        <v>3965</v>
      </c>
      <c r="B3939" t="s">
        <v>11220</v>
      </c>
    </row>
    <row r="3940" spans="1:2" x14ac:dyDescent="0.25">
      <c r="A3940" t="s">
        <v>3966</v>
      </c>
      <c r="B3940" t="s">
        <v>11221</v>
      </c>
    </row>
    <row r="3941" spans="1:2" x14ac:dyDescent="0.25">
      <c r="A3941" t="s">
        <v>3967</v>
      </c>
      <c r="B3941" t="s">
        <v>11222</v>
      </c>
    </row>
    <row r="3942" spans="1:2" x14ac:dyDescent="0.25">
      <c r="A3942" t="s">
        <v>3968</v>
      </c>
      <c r="B3942" t="s">
        <v>11223</v>
      </c>
    </row>
    <row r="3943" spans="1:2" x14ac:dyDescent="0.25">
      <c r="A3943" t="s">
        <v>3969</v>
      </c>
      <c r="B3943" t="s">
        <v>11224</v>
      </c>
    </row>
    <row r="3944" spans="1:2" x14ac:dyDescent="0.25">
      <c r="A3944" t="s">
        <v>3970</v>
      </c>
      <c r="B3944" t="s">
        <v>11225</v>
      </c>
    </row>
    <row r="3945" spans="1:2" x14ac:dyDescent="0.25">
      <c r="A3945" t="s">
        <v>3971</v>
      </c>
      <c r="B3945" t="s">
        <v>11226</v>
      </c>
    </row>
    <row r="3946" spans="1:2" x14ac:dyDescent="0.25">
      <c r="A3946" t="s">
        <v>3972</v>
      </c>
      <c r="B3946" t="s">
        <v>11227</v>
      </c>
    </row>
    <row r="3947" spans="1:2" x14ac:dyDescent="0.25">
      <c r="A3947" t="s">
        <v>3973</v>
      </c>
      <c r="B3947" t="s">
        <v>11228</v>
      </c>
    </row>
    <row r="3948" spans="1:2" x14ac:dyDescent="0.25">
      <c r="A3948" t="s">
        <v>3974</v>
      </c>
      <c r="B3948" t="s">
        <v>11229</v>
      </c>
    </row>
    <row r="3949" spans="1:2" x14ac:dyDescent="0.25">
      <c r="A3949" t="s">
        <v>3975</v>
      </c>
      <c r="B3949" t="s">
        <v>11230</v>
      </c>
    </row>
    <row r="3950" spans="1:2" x14ac:dyDescent="0.25">
      <c r="A3950" t="s">
        <v>3976</v>
      </c>
      <c r="B3950" t="s">
        <v>11231</v>
      </c>
    </row>
    <row r="3951" spans="1:2" x14ac:dyDescent="0.25">
      <c r="A3951" t="s">
        <v>3977</v>
      </c>
      <c r="B3951" t="s">
        <v>11232</v>
      </c>
    </row>
    <row r="3952" spans="1:2" x14ac:dyDescent="0.25">
      <c r="A3952" t="s">
        <v>3978</v>
      </c>
      <c r="B3952" t="s">
        <v>11233</v>
      </c>
    </row>
    <row r="3953" spans="1:2" x14ac:dyDescent="0.25">
      <c r="A3953" t="s">
        <v>3979</v>
      </c>
      <c r="B3953" t="s">
        <v>11234</v>
      </c>
    </row>
    <row r="3954" spans="1:2" x14ac:dyDescent="0.25">
      <c r="A3954" t="s">
        <v>3980</v>
      </c>
      <c r="B3954" t="s">
        <v>11235</v>
      </c>
    </row>
    <row r="3955" spans="1:2" x14ac:dyDescent="0.25">
      <c r="A3955" t="s">
        <v>3981</v>
      </c>
      <c r="B3955" t="s">
        <v>11236</v>
      </c>
    </row>
    <row r="3956" spans="1:2" x14ac:dyDescent="0.25">
      <c r="A3956" t="s">
        <v>3982</v>
      </c>
      <c r="B3956" t="s">
        <v>11237</v>
      </c>
    </row>
    <row r="3957" spans="1:2" x14ac:dyDescent="0.25">
      <c r="A3957" t="s">
        <v>3983</v>
      </c>
      <c r="B3957" t="s">
        <v>11238</v>
      </c>
    </row>
    <row r="3958" spans="1:2" x14ac:dyDescent="0.25">
      <c r="A3958" t="s">
        <v>3984</v>
      </c>
      <c r="B3958" t="s">
        <v>11239</v>
      </c>
    </row>
    <row r="3959" spans="1:2" x14ac:dyDescent="0.25">
      <c r="A3959" t="s">
        <v>3985</v>
      </c>
      <c r="B3959" t="s">
        <v>11240</v>
      </c>
    </row>
    <row r="3960" spans="1:2" x14ac:dyDescent="0.25">
      <c r="A3960" t="s">
        <v>3986</v>
      </c>
      <c r="B3960" t="s">
        <v>11241</v>
      </c>
    </row>
    <row r="3961" spans="1:2" x14ac:dyDescent="0.25">
      <c r="A3961" t="s">
        <v>3987</v>
      </c>
      <c r="B3961" t="s">
        <v>11242</v>
      </c>
    </row>
    <row r="3962" spans="1:2" x14ac:dyDescent="0.25">
      <c r="A3962" t="s">
        <v>3988</v>
      </c>
      <c r="B3962" t="s">
        <v>11243</v>
      </c>
    </row>
    <row r="3963" spans="1:2" x14ac:dyDescent="0.25">
      <c r="A3963" t="s">
        <v>3989</v>
      </c>
      <c r="B3963" t="s">
        <v>11244</v>
      </c>
    </row>
    <row r="3964" spans="1:2" x14ac:dyDescent="0.25">
      <c r="A3964" t="s">
        <v>3990</v>
      </c>
      <c r="B3964" t="s">
        <v>11245</v>
      </c>
    </row>
    <row r="3965" spans="1:2" x14ac:dyDescent="0.25">
      <c r="A3965" t="s">
        <v>3991</v>
      </c>
      <c r="B3965" t="s">
        <v>11246</v>
      </c>
    </row>
    <row r="3966" spans="1:2" x14ac:dyDescent="0.25">
      <c r="A3966" t="s">
        <v>3992</v>
      </c>
      <c r="B3966" t="s">
        <v>11247</v>
      </c>
    </row>
    <row r="3967" spans="1:2" x14ac:dyDescent="0.25">
      <c r="A3967" t="s">
        <v>3993</v>
      </c>
      <c r="B3967" t="s">
        <v>11248</v>
      </c>
    </row>
    <row r="3968" spans="1:2" x14ac:dyDescent="0.25">
      <c r="A3968" t="s">
        <v>3994</v>
      </c>
      <c r="B3968" t="s">
        <v>11249</v>
      </c>
    </row>
    <row r="3969" spans="1:2" x14ac:dyDescent="0.25">
      <c r="A3969" t="s">
        <v>3995</v>
      </c>
      <c r="B3969" t="s">
        <v>11250</v>
      </c>
    </row>
    <row r="3970" spans="1:2" x14ac:dyDescent="0.25">
      <c r="A3970" t="s">
        <v>3996</v>
      </c>
      <c r="B3970" t="s">
        <v>11251</v>
      </c>
    </row>
    <row r="3971" spans="1:2" x14ac:dyDescent="0.25">
      <c r="A3971" t="s">
        <v>3997</v>
      </c>
      <c r="B3971" t="s">
        <v>11252</v>
      </c>
    </row>
    <row r="3972" spans="1:2" x14ac:dyDescent="0.25">
      <c r="A3972" t="s">
        <v>3998</v>
      </c>
      <c r="B3972" t="s">
        <v>11253</v>
      </c>
    </row>
    <row r="3973" spans="1:2" x14ac:dyDescent="0.25">
      <c r="A3973" t="s">
        <v>3999</v>
      </c>
      <c r="B3973" t="s">
        <v>11254</v>
      </c>
    </row>
    <row r="3974" spans="1:2" x14ac:dyDescent="0.25">
      <c r="A3974" t="s">
        <v>4000</v>
      </c>
      <c r="B3974" t="s">
        <v>11255</v>
      </c>
    </row>
    <row r="3975" spans="1:2" x14ac:dyDescent="0.25">
      <c r="A3975" t="s">
        <v>4001</v>
      </c>
      <c r="B3975" t="s">
        <v>11256</v>
      </c>
    </row>
    <row r="3976" spans="1:2" x14ac:dyDescent="0.25">
      <c r="A3976" t="s">
        <v>4002</v>
      </c>
      <c r="B3976" t="s">
        <v>11257</v>
      </c>
    </row>
    <row r="3977" spans="1:2" x14ac:dyDescent="0.25">
      <c r="A3977" t="s">
        <v>4003</v>
      </c>
      <c r="B3977" t="s">
        <v>11258</v>
      </c>
    </row>
    <row r="3978" spans="1:2" x14ac:dyDescent="0.25">
      <c r="A3978" t="s">
        <v>4004</v>
      </c>
      <c r="B3978" t="s">
        <v>11259</v>
      </c>
    </row>
    <row r="3979" spans="1:2" x14ac:dyDescent="0.25">
      <c r="A3979" t="s">
        <v>4005</v>
      </c>
      <c r="B3979" t="s">
        <v>11260</v>
      </c>
    </row>
    <row r="3980" spans="1:2" x14ac:dyDescent="0.25">
      <c r="A3980" t="s">
        <v>4006</v>
      </c>
      <c r="B3980" t="s">
        <v>11261</v>
      </c>
    </row>
    <row r="3981" spans="1:2" x14ac:dyDescent="0.25">
      <c r="A3981" t="s">
        <v>4007</v>
      </c>
      <c r="B3981" t="s">
        <v>11262</v>
      </c>
    </row>
    <row r="3982" spans="1:2" x14ac:dyDescent="0.25">
      <c r="A3982" t="s">
        <v>4008</v>
      </c>
      <c r="B3982" t="s">
        <v>11263</v>
      </c>
    </row>
    <row r="3983" spans="1:2" x14ac:dyDescent="0.25">
      <c r="A3983" t="s">
        <v>4009</v>
      </c>
      <c r="B3983" t="s">
        <v>11264</v>
      </c>
    </row>
    <row r="3984" spans="1:2" x14ac:dyDescent="0.25">
      <c r="A3984" t="s">
        <v>4010</v>
      </c>
      <c r="B3984" t="s">
        <v>11265</v>
      </c>
    </row>
    <row r="3985" spans="1:2" x14ac:dyDescent="0.25">
      <c r="A3985" t="s">
        <v>4011</v>
      </c>
      <c r="B3985" t="s">
        <v>11266</v>
      </c>
    </row>
    <row r="3986" spans="1:2" x14ac:dyDescent="0.25">
      <c r="A3986" t="s">
        <v>4012</v>
      </c>
      <c r="B3986" t="s">
        <v>11267</v>
      </c>
    </row>
    <row r="3987" spans="1:2" x14ac:dyDescent="0.25">
      <c r="A3987" t="s">
        <v>4013</v>
      </c>
      <c r="B3987" t="s">
        <v>11268</v>
      </c>
    </row>
    <row r="3988" spans="1:2" x14ac:dyDescent="0.25">
      <c r="A3988" t="s">
        <v>4014</v>
      </c>
      <c r="B3988" t="s">
        <v>11269</v>
      </c>
    </row>
    <row r="3989" spans="1:2" x14ac:dyDescent="0.25">
      <c r="A3989" t="s">
        <v>4015</v>
      </c>
      <c r="B3989" t="s">
        <v>11270</v>
      </c>
    </row>
    <row r="3990" spans="1:2" x14ac:dyDescent="0.25">
      <c r="A3990" t="s">
        <v>4016</v>
      </c>
      <c r="B3990" t="s">
        <v>11271</v>
      </c>
    </row>
    <row r="3991" spans="1:2" x14ac:dyDescent="0.25">
      <c r="A3991" t="s">
        <v>4017</v>
      </c>
      <c r="B3991" t="s">
        <v>11272</v>
      </c>
    </row>
    <row r="3992" spans="1:2" x14ac:dyDescent="0.25">
      <c r="A3992" t="s">
        <v>4018</v>
      </c>
      <c r="B3992" t="s">
        <v>11273</v>
      </c>
    </row>
    <row r="3993" spans="1:2" x14ac:dyDescent="0.25">
      <c r="A3993" t="s">
        <v>4019</v>
      </c>
      <c r="B3993" t="s">
        <v>11274</v>
      </c>
    </row>
    <row r="3994" spans="1:2" x14ac:dyDescent="0.25">
      <c r="A3994" t="s">
        <v>4020</v>
      </c>
      <c r="B3994" t="s">
        <v>11275</v>
      </c>
    </row>
    <row r="3995" spans="1:2" x14ac:dyDescent="0.25">
      <c r="A3995" t="s">
        <v>4021</v>
      </c>
      <c r="B3995" t="s">
        <v>11276</v>
      </c>
    </row>
    <row r="3996" spans="1:2" x14ac:dyDescent="0.25">
      <c r="A3996" t="s">
        <v>4022</v>
      </c>
      <c r="B3996" t="s">
        <v>11277</v>
      </c>
    </row>
    <row r="3997" spans="1:2" x14ac:dyDescent="0.25">
      <c r="A3997" t="s">
        <v>4023</v>
      </c>
      <c r="B3997" t="s">
        <v>11278</v>
      </c>
    </row>
    <row r="3998" spans="1:2" x14ac:dyDescent="0.25">
      <c r="A3998" t="s">
        <v>4024</v>
      </c>
      <c r="B3998" t="s">
        <v>11279</v>
      </c>
    </row>
    <row r="3999" spans="1:2" x14ac:dyDescent="0.25">
      <c r="A3999" t="s">
        <v>4025</v>
      </c>
      <c r="B3999" t="s">
        <v>11280</v>
      </c>
    </row>
    <row r="4000" spans="1:2" x14ac:dyDescent="0.25">
      <c r="A4000" t="s">
        <v>4026</v>
      </c>
      <c r="B4000" t="s">
        <v>11281</v>
      </c>
    </row>
    <row r="4001" spans="1:2" x14ac:dyDescent="0.25">
      <c r="A4001" t="s">
        <v>4027</v>
      </c>
      <c r="B4001" t="s">
        <v>11282</v>
      </c>
    </row>
    <row r="4002" spans="1:2" x14ac:dyDescent="0.25">
      <c r="A4002" t="s">
        <v>4028</v>
      </c>
      <c r="B4002" t="s">
        <v>11283</v>
      </c>
    </row>
    <row r="4003" spans="1:2" x14ac:dyDescent="0.25">
      <c r="A4003" t="s">
        <v>4029</v>
      </c>
      <c r="B4003" t="s">
        <v>11284</v>
      </c>
    </row>
    <row r="4004" spans="1:2" x14ac:dyDescent="0.25">
      <c r="A4004" t="s">
        <v>4030</v>
      </c>
      <c r="B4004" t="s">
        <v>11285</v>
      </c>
    </row>
    <row r="4005" spans="1:2" x14ac:dyDescent="0.25">
      <c r="A4005" t="s">
        <v>4031</v>
      </c>
      <c r="B4005" t="s">
        <v>11286</v>
      </c>
    </row>
    <row r="4006" spans="1:2" x14ac:dyDescent="0.25">
      <c r="A4006" t="s">
        <v>4032</v>
      </c>
      <c r="B4006" t="s">
        <v>11287</v>
      </c>
    </row>
    <row r="4007" spans="1:2" x14ac:dyDescent="0.25">
      <c r="A4007" t="s">
        <v>4033</v>
      </c>
      <c r="B4007" t="s">
        <v>11288</v>
      </c>
    </row>
    <row r="4008" spans="1:2" x14ac:dyDescent="0.25">
      <c r="A4008" t="s">
        <v>4034</v>
      </c>
      <c r="B4008" t="s">
        <v>11289</v>
      </c>
    </row>
    <row r="4009" spans="1:2" x14ac:dyDescent="0.25">
      <c r="A4009" t="s">
        <v>4035</v>
      </c>
      <c r="B4009" t="s">
        <v>11290</v>
      </c>
    </row>
    <row r="4010" spans="1:2" x14ac:dyDescent="0.25">
      <c r="A4010" t="s">
        <v>4036</v>
      </c>
      <c r="B4010" t="s">
        <v>11291</v>
      </c>
    </row>
    <row r="4011" spans="1:2" x14ac:dyDescent="0.25">
      <c r="A4011" t="s">
        <v>4037</v>
      </c>
      <c r="B4011" t="s">
        <v>11292</v>
      </c>
    </row>
    <row r="4012" spans="1:2" x14ac:dyDescent="0.25">
      <c r="A4012" t="s">
        <v>4038</v>
      </c>
      <c r="B4012" t="s">
        <v>11293</v>
      </c>
    </row>
    <row r="4013" spans="1:2" x14ac:dyDescent="0.25">
      <c r="A4013" t="s">
        <v>4039</v>
      </c>
      <c r="B4013" t="s">
        <v>11294</v>
      </c>
    </row>
    <row r="4014" spans="1:2" x14ac:dyDescent="0.25">
      <c r="A4014" t="s">
        <v>4040</v>
      </c>
      <c r="B4014" t="s">
        <v>11295</v>
      </c>
    </row>
    <row r="4015" spans="1:2" x14ac:dyDescent="0.25">
      <c r="A4015" t="s">
        <v>4041</v>
      </c>
      <c r="B4015" t="s">
        <v>11296</v>
      </c>
    </row>
    <row r="4016" spans="1:2" x14ac:dyDescent="0.25">
      <c r="A4016" t="s">
        <v>4042</v>
      </c>
      <c r="B4016" t="s">
        <v>11297</v>
      </c>
    </row>
    <row r="4017" spans="1:2" x14ac:dyDescent="0.25">
      <c r="A4017" t="s">
        <v>4043</v>
      </c>
      <c r="B4017" t="s">
        <v>11298</v>
      </c>
    </row>
    <row r="4018" spans="1:2" x14ac:dyDescent="0.25">
      <c r="A4018" t="s">
        <v>4044</v>
      </c>
      <c r="B4018" t="s">
        <v>11299</v>
      </c>
    </row>
    <row r="4019" spans="1:2" x14ac:dyDescent="0.25">
      <c r="A4019" t="s">
        <v>4045</v>
      </c>
      <c r="B4019" t="s">
        <v>11300</v>
      </c>
    </row>
    <row r="4020" spans="1:2" x14ac:dyDescent="0.25">
      <c r="A4020" t="s">
        <v>4046</v>
      </c>
      <c r="B4020" t="s">
        <v>11301</v>
      </c>
    </row>
    <row r="4021" spans="1:2" x14ac:dyDescent="0.25">
      <c r="A4021" t="s">
        <v>4047</v>
      </c>
      <c r="B4021" t="s">
        <v>11302</v>
      </c>
    </row>
    <row r="4022" spans="1:2" x14ac:dyDescent="0.25">
      <c r="A4022" t="s">
        <v>4048</v>
      </c>
      <c r="B4022" t="s">
        <v>11303</v>
      </c>
    </row>
    <row r="4023" spans="1:2" x14ac:dyDescent="0.25">
      <c r="A4023" t="s">
        <v>4049</v>
      </c>
      <c r="B4023" t="s">
        <v>11304</v>
      </c>
    </row>
    <row r="4024" spans="1:2" x14ac:dyDescent="0.25">
      <c r="A4024" t="s">
        <v>4050</v>
      </c>
      <c r="B4024" t="s">
        <v>11305</v>
      </c>
    </row>
    <row r="4025" spans="1:2" x14ac:dyDescent="0.25">
      <c r="A4025" t="s">
        <v>4051</v>
      </c>
      <c r="B4025" t="s">
        <v>11306</v>
      </c>
    </row>
    <row r="4026" spans="1:2" x14ac:dyDescent="0.25">
      <c r="A4026" t="s">
        <v>4052</v>
      </c>
      <c r="B4026" t="s">
        <v>11307</v>
      </c>
    </row>
    <row r="4027" spans="1:2" x14ac:dyDescent="0.25">
      <c r="A4027" t="s">
        <v>4053</v>
      </c>
      <c r="B4027" t="s">
        <v>11308</v>
      </c>
    </row>
    <row r="4028" spans="1:2" x14ac:dyDescent="0.25">
      <c r="A4028" t="s">
        <v>4054</v>
      </c>
      <c r="B4028" t="s">
        <v>11309</v>
      </c>
    </row>
    <row r="4029" spans="1:2" x14ac:dyDescent="0.25">
      <c r="A4029" t="s">
        <v>4055</v>
      </c>
      <c r="B4029" t="s">
        <v>11310</v>
      </c>
    </row>
    <row r="4030" spans="1:2" x14ac:dyDescent="0.25">
      <c r="A4030" t="s">
        <v>4056</v>
      </c>
      <c r="B4030" t="s">
        <v>11311</v>
      </c>
    </row>
    <row r="4031" spans="1:2" x14ac:dyDescent="0.25">
      <c r="A4031" t="s">
        <v>4057</v>
      </c>
      <c r="B4031" t="s">
        <v>11312</v>
      </c>
    </row>
    <row r="4032" spans="1:2" x14ac:dyDescent="0.25">
      <c r="A4032" t="s">
        <v>4058</v>
      </c>
      <c r="B4032" t="s">
        <v>11313</v>
      </c>
    </row>
    <row r="4033" spans="1:2" x14ac:dyDescent="0.25">
      <c r="A4033" t="s">
        <v>4059</v>
      </c>
      <c r="B4033" t="s">
        <v>11314</v>
      </c>
    </row>
    <row r="4034" spans="1:2" x14ac:dyDescent="0.25">
      <c r="A4034" t="s">
        <v>4060</v>
      </c>
      <c r="B4034" t="s">
        <v>11315</v>
      </c>
    </row>
    <row r="4035" spans="1:2" x14ac:dyDescent="0.25">
      <c r="A4035" t="s">
        <v>4061</v>
      </c>
      <c r="B4035" t="s">
        <v>11316</v>
      </c>
    </row>
    <row r="4036" spans="1:2" x14ac:dyDescent="0.25">
      <c r="A4036" t="s">
        <v>4062</v>
      </c>
      <c r="B4036" t="s">
        <v>11317</v>
      </c>
    </row>
    <row r="4037" spans="1:2" x14ac:dyDescent="0.25">
      <c r="A4037" t="s">
        <v>4063</v>
      </c>
      <c r="B4037" t="s">
        <v>11318</v>
      </c>
    </row>
    <row r="4038" spans="1:2" x14ac:dyDescent="0.25">
      <c r="A4038" t="s">
        <v>4064</v>
      </c>
      <c r="B4038" t="s">
        <v>11319</v>
      </c>
    </row>
    <row r="4039" spans="1:2" x14ac:dyDescent="0.25">
      <c r="A4039" t="s">
        <v>4065</v>
      </c>
      <c r="B4039" t="s">
        <v>11320</v>
      </c>
    </row>
    <row r="4040" spans="1:2" x14ac:dyDescent="0.25">
      <c r="A4040" t="s">
        <v>4066</v>
      </c>
      <c r="B4040" t="s">
        <v>11321</v>
      </c>
    </row>
    <row r="4041" spans="1:2" x14ac:dyDescent="0.25">
      <c r="A4041" t="s">
        <v>4067</v>
      </c>
      <c r="B4041" t="s">
        <v>11322</v>
      </c>
    </row>
    <row r="4042" spans="1:2" x14ac:dyDescent="0.25">
      <c r="A4042" t="s">
        <v>4068</v>
      </c>
      <c r="B4042" t="s">
        <v>11323</v>
      </c>
    </row>
    <row r="4043" spans="1:2" x14ac:dyDescent="0.25">
      <c r="A4043" t="s">
        <v>4069</v>
      </c>
      <c r="B4043" t="s">
        <v>11324</v>
      </c>
    </row>
    <row r="4044" spans="1:2" x14ac:dyDescent="0.25">
      <c r="A4044" t="s">
        <v>4070</v>
      </c>
      <c r="B4044" t="s">
        <v>11325</v>
      </c>
    </row>
    <row r="4045" spans="1:2" x14ac:dyDescent="0.25">
      <c r="A4045" t="s">
        <v>4071</v>
      </c>
      <c r="B4045" t="s">
        <v>11326</v>
      </c>
    </row>
    <row r="4046" spans="1:2" x14ac:dyDescent="0.25">
      <c r="A4046" t="s">
        <v>4072</v>
      </c>
      <c r="B4046" t="s">
        <v>11327</v>
      </c>
    </row>
    <row r="4047" spans="1:2" x14ac:dyDescent="0.25">
      <c r="A4047" t="s">
        <v>4073</v>
      </c>
      <c r="B4047" t="s">
        <v>11328</v>
      </c>
    </row>
    <row r="4048" spans="1:2" x14ac:dyDescent="0.25">
      <c r="A4048" t="s">
        <v>4074</v>
      </c>
      <c r="B4048" t="s">
        <v>11329</v>
      </c>
    </row>
    <row r="4049" spans="1:2" x14ac:dyDescent="0.25">
      <c r="A4049" t="s">
        <v>4075</v>
      </c>
      <c r="B4049" t="s">
        <v>11330</v>
      </c>
    </row>
    <row r="4050" spans="1:2" x14ac:dyDescent="0.25">
      <c r="A4050" t="s">
        <v>4076</v>
      </c>
      <c r="B4050" t="s">
        <v>11331</v>
      </c>
    </row>
    <row r="4051" spans="1:2" x14ac:dyDescent="0.25">
      <c r="A4051" t="s">
        <v>4077</v>
      </c>
      <c r="B4051" t="s">
        <v>11332</v>
      </c>
    </row>
    <row r="4052" spans="1:2" x14ac:dyDescent="0.25">
      <c r="A4052" t="s">
        <v>4078</v>
      </c>
      <c r="B4052" t="s">
        <v>11333</v>
      </c>
    </row>
    <row r="4053" spans="1:2" x14ac:dyDescent="0.25">
      <c r="A4053" t="s">
        <v>4079</v>
      </c>
      <c r="B4053" t="s">
        <v>11334</v>
      </c>
    </row>
    <row r="4054" spans="1:2" x14ac:dyDescent="0.25">
      <c r="A4054" t="s">
        <v>4080</v>
      </c>
      <c r="B4054" t="s">
        <v>11335</v>
      </c>
    </row>
    <row r="4055" spans="1:2" x14ac:dyDescent="0.25">
      <c r="A4055" t="s">
        <v>4081</v>
      </c>
      <c r="B4055" t="s">
        <v>11336</v>
      </c>
    </row>
    <row r="4056" spans="1:2" x14ac:dyDescent="0.25">
      <c r="A4056" t="s">
        <v>4082</v>
      </c>
      <c r="B4056" t="s">
        <v>11337</v>
      </c>
    </row>
    <row r="4057" spans="1:2" x14ac:dyDescent="0.25">
      <c r="A4057" t="s">
        <v>4083</v>
      </c>
      <c r="B4057" t="s">
        <v>11338</v>
      </c>
    </row>
    <row r="4058" spans="1:2" x14ac:dyDescent="0.25">
      <c r="A4058" t="s">
        <v>4084</v>
      </c>
      <c r="B4058" t="s">
        <v>11339</v>
      </c>
    </row>
    <row r="4059" spans="1:2" x14ac:dyDescent="0.25">
      <c r="A4059" t="s">
        <v>4085</v>
      </c>
      <c r="B4059" t="s">
        <v>11340</v>
      </c>
    </row>
    <row r="4060" spans="1:2" x14ac:dyDescent="0.25">
      <c r="A4060" t="s">
        <v>4086</v>
      </c>
      <c r="B4060" t="s">
        <v>11341</v>
      </c>
    </row>
    <row r="4061" spans="1:2" x14ac:dyDescent="0.25">
      <c r="A4061" t="s">
        <v>4087</v>
      </c>
      <c r="B4061" t="s">
        <v>11342</v>
      </c>
    </row>
    <row r="4062" spans="1:2" x14ac:dyDescent="0.25">
      <c r="A4062" t="s">
        <v>4088</v>
      </c>
      <c r="B4062" t="s">
        <v>11343</v>
      </c>
    </row>
    <row r="4063" spans="1:2" x14ac:dyDescent="0.25">
      <c r="A4063" t="s">
        <v>4089</v>
      </c>
      <c r="B4063" t="s">
        <v>11344</v>
      </c>
    </row>
    <row r="4064" spans="1:2" x14ac:dyDescent="0.25">
      <c r="A4064" t="s">
        <v>4090</v>
      </c>
      <c r="B4064" t="s">
        <v>11345</v>
      </c>
    </row>
    <row r="4065" spans="1:2" x14ac:dyDescent="0.25">
      <c r="A4065" t="s">
        <v>4091</v>
      </c>
      <c r="B4065" t="s">
        <v>11346</v>
      </c>
    </row>
    <row r="4066" spans="1:2" x14ac:dyDescent="0.25">
      <c r="A4066" t="s">
        <v>4092</v>
      </c>
      <c r="B4066" t="s">
        <v>11347</v>
      </c>
    </row>
    <row r="4067" spans="1:2" x14ac:dyDescent="0.25">
      <c r="A4067" t="s">
        <v>4093</v>
      </c>
      <c r="B4067" t="s">
        <v>11348</v>
      </c>
    </row>
    <row r="4068" spans="1:2" x14ac:dyDescent="0.25">
      <c r="A4068" t="s">
        <v>4094</v>
      </c>
      <c r="B4068" t="s">
        <v>11349</v>
      </c>
    </row>
    <row r="4069" spans="1:2" x14ac:dyDescent="0.25">
      <c r="A4069" t="s">
        <v>4095</v>
      </c>
      <c r="B4069" t="s">
        <v>11350</v>
      </c>
    </row>
    <row r="4070" spans="1:2" x14ac:dyDescent="0.25">
      <c r="A4070" t="s">
        <v>4096</v>
      </c>
      <c r="B4070" t="s">
        <v>11351</v>
      </c>
    </row>
    <row r="4071" spans="1:2" x14ac:dyDescent="0.25">
      <c r="A4071" t="s">
        <v>4097</v>
      </c>
      <c r="B4071" t="s">
        <v>11352</v>
      </c>
    </row>
    <row r="4072" spans="1:2" x14ac:dyDescent="0.25">
      <c r="A4072" t="s">
        <v>4098</v>
      </c>
      <c r="B4072" t="s">
        <v>11353</v>
      </c>
    </row>
    <row r="4073" spans="1:2" x14ac:dyDescent="0.25">
      <c r="A4073" t="s">
        <v>4099</v>
      </c>
      <c r="B4073" t="s">
        <v>11354</v>
      </c>
    </row>
    <row r="4074" spans="1:2" x14ac:dyDescent="0.25">
      <c r="A4074" t="s">
        <v>4100</v>
      </c>
      <c r="B4074" t="s">
        <v>11355</v>
      </c>
    </row>
    <row r="4075" spans="1:2" x14ac:dyDescent="0.25">
      <c r="A4075" t="s">
        <v>4101</v>
      </c>
      <c r="B4075" t="s">
        <v>11356</v>
      </c>
    </row>
    <row r="4076" spans="1:2" x14ac:dyDescent="0.25">
      <c r="A4076" t="s">
        <v>4102</v>
      </c>
      <c r="B4076" t="s">
        <v>11357</v>
      </c>
    </row>
    <row r="4077" spans="1:2" x14ac:dyDescent="0.25">
      <c r="A4077" t="s">
        <v>4103</v>
      </c>
      <c r="B4077" t="s">
        <v>11358</v>
      </c>
    </row>
    <row r="4078" spans="1:2" x14ac:dyDescent="0.25">
      <c r="A4078" t="s">
        <v>4104</v>
      </c>
      <c r="B4078" t="s">
        <v>11359</v>
      </c>
    </row>
    <row r="4079" spans="1:2" x14ac:dyDescent="0.25">
      <c r="A4079" t="s">
        <v>4105</v>
      </c>
      <c r="B4079" t="s">
        <v>11360</v>
      </c>
    </row>
    <row r="4080" spans="1:2" x14ac:dyDescent="0.25">
      <c r="A4080" t="s">
        <v>4106</v>
      </c>
      <c r="B4080" t="s">
        <v>11361</v>
      </c>
    </row>
    <row r="4081" spans="1:2" x14ac:dyDescent="0.25">
      <c r="A4081" t="s">
        <v>4107</v>
      </c>
      <c r="B4081" t="s">
        <v>11362</v>
      </c>
    </row>
    <row r="4082" spans="1:2" x14ac:dyDescent="0.25">
      <c r="A4082" t="s">
        <v>4108</v>
      </c>
      <c r="B4082" t="s">
        <v>11363</v>
      </c>
    </row>
    <row r="4083" spans="1:2" x14ac:dyDescent="0.25">
      <c r="A4083" t="s">
        <v>4109</v>
      </c>
      <c r="B4083" t="s">
        <v>11364</v>
      </c>
    </row>
    <row r="4084" spans="1:2" x14ac:dyDescent="0.25">
      <c r="A4084" t="s">
        <v>4110</v>
      </c>
      <c r="B4084" t="s">
        <v>11365</v>
      </c>
    </row>
    <row r="4085" spans="1:2" x14ac:dyDescent="0.25">
      <c r="A4085" t="s">
        <v>4111</v>
      </c>
      <c r="B4085" t="s">
        <v>11366</v>
      </c>
    </row>
    <row r="4086" spans="1:2" x14ac:dyDescent="0.25">
      <c r="A4086" t="s">
        <v>4112</v>
      </c>
      <c r="B4086" t="s">
        <v>11367</v>
      </c>
    </row>
    <row r="4087" spans="1:2" x14ac:dyDescent="0.25">
      <c r="A4087" t="s">
        <v>4113</v>
      </c>
      <c r="B4087" t="s">
        <v>11368</v>
      </c>
    </row>
    <row r="4088" spans="1:2" x14ac:dyDescent="0.25">
      <c r="A4088" t="s">
        <v>4114</v>
      </c>
      <c r="B4088" t="s">
        <v>11369</v>
      </c>
    </row>
    <row r="4089" spans="1:2" x14ac:dyDescent="0.25">
      <c r="A4089" t="s">
        <v>4115</v>
      </c>
      <c r="B4089" t="s">
        <v>11370</v>
      </c>
    </row>
    <row r="4090" spans="1:2" x14ac:dyDescent="0.25">
      <c r="A4090" t="s">
        <v>4116</v>
      </c>
      <c r="B4090" t="s">
        <v>11371</v>
      </c>
    </row>
    <row r="4091" spans="1:2" x14ac:dyDescent="0.25">
      <c r="A4091" t="s">
        <v>4117</v>
      </c>
      <c r="B4091" t="s">
        <v>11372</v>
      </c>
    </row>
    <row r="4092" spans="1:2" x14ac:dyDescent="0.25">
      <c r="A4092" t="s">
        <v>4118</v>
      </c>
      <c r="B4092" t="s">
        <v>11373</v>
      </c>
    </row>
    <row r="4093" spans="1:2" x14ac:dyDescent="0.25">
      <c r="A4093" t="s">
        <v>4119</v>
      </c>
      <c r="B4093" t="s">
        <v>11374</v>
      </c>
    </row>
    <row r="4094" spans="1:2" x14ac:dyDescent="0.25">
      <c r="A4094" t="s">
        <v>4120</v>
      </c>
      <c r="B4094" t="s">
        <v>11375</v>
      </c>
    </row>
    <row r="4095" spans="1:2" x14ac:dyDescent="0.25">
      <c r="A4095" t="s">
        <v>4121</v>
      </c>
      <c r="B4095" t="s">
        <v>11376</v>
      </c>
    </row>
    <row r="4096" spans="1:2" x14ac:dyDescent="0.25">
      <c r="A4096" t="s">
        <v>4122</v>
      </c>
      <c r="B4096" t="s">
        <v>11377</v>
      </c>
    </row>
    <row r="4097" spans="1:2" x14ac:dyDescent="0.25">
      <c r="A4097" t="s">
        <v>4123</v>
      </c>
      <c r="B4097" t="s">
        <v>11378</v>
      </c>
    </row>
    <row r="4098" spans="1:2" x14ac:dyDescent="0.25">
      <c r="A4098" t="s">
        <v>4124</v>
      </c>
      <c r="B4098" t="s">
        <v>11379</v>
      </c>
    </row>
    <row r="4099" spans="1:2" x14ac:dyDescent="0.25">
      <c r="A4099" t="s">
        <v>4125</v>
      </c>
      <c r="B4099" t="s">
        <v>11380</v>
      </c>
    </row>
    <row r="4100" spans="1:2" x14ac:dyDescent="0.25">
      <c r="A4100" t="s">
        <v>4126</v>
      </c>
      <c r="B4100" t="s">
        <v>11381</v>
      </c>
    </row>
    <row r="4101" spans="1:2" x14ac:dyDescent="0.25">
      <c r="A4101" t="s">
        <v>4127</v>
      </c>
      <c r="B4101" t="s">
        <v>11382</v>
      </c>
    </row>
    <row r="4102" spans="1:2" x14ac:dyDescent="0.25">
      <c r="A4102" t="s">
        <v>4128</v>
      </c>
      <c r="B4102" t="s">
        <v>11383</v>
      </c>
    </row>
    <row r="4103" spans="1:2" x14ac:dyDescent="0.25">
      <c r="A4103" t="s">
        <v>4129</v>
      </c>
      <c r="B4103" t="s">
        <v>11384</v>
      </c>
    </row>
    <row r="4104" spans="1:2" x14ac:dyDescent="0.25">
      <c r="A4104" t="s">
        <v>4130</v>
      </c>
      <c r="B4104" t="s">
        <v>11385</v>
      </c>
    </row>
    <row r="4105" spans="1:2" x14ac:dyDescent="0.25">
      <c r="A4105" t="s">
        <v>4131</v>
      </c>
      <c r="B4105" t="s">
        <v>11386</v>
      </c>
    </row>
    <row r="4106" spans="1:2" x14ac:dyDescent="0.25">
      <c r="A4106" t="s">
        <v>4132</v>
      </c>
      <c r="B4106" t="s">
        <v>11387</v>
      </c>
    </row>
    <row r="4107" spans="1:2" x14ac:dyDescent="0.25">
      <c r="A4107" t="s">
        <v>4133</v>
      </c>
      <c r="B4107" t="s">
        <v>11388</v>
      </c>
    </row>
    <row r="4108" spans="1:2" x14ac:dyDescent="0.25">
      <c r="A4108" t="s">
        <v>4134</v>
      </c>
      <c r="B4108" t="s">
        <v>11389</v>
      </c>
    </row>
    <row r="4109" spans="1:2" x14ac:dyDescent="0.25">
      <c r="A4109" t="s">
        <v>4135</v>
      </c>
      <c r="B4109" t="s">
        <v>11390</v>
      </c>
    </row>
    <row r="4110" spans="1:2" x14ac:dyDescent="0.25">
      <c r="A4110" t="s">
        <v>4136</v>
      </c>
      <c r="B4110" t="s">
        <v>11391</v>
      </c>
    </row>
    <row r="4111" spans="1:2" x14ac:dyDescent="0.25">
      <c r="A4111" t="s">
        <v>4137</v>
      </c>
      <c r="B4111" t="s">
        <v>11392</v>
      </c>
    </row>
    <row r="4112" spans="1:2" x14ac:dyDescent="0.25">
      <c r="A4112" t="s">
        <v>4138</v>
      </c>
      <c r="B4112" t="s">
        <v>11393</v>
      </c>
    </row>
    <row r="4113" spans="1:2" x14ac:dyDescent="0.25">
      <c r="A4113" t="s">
        <v>4139</v>
      </c>
      <c r="B4113" t="s">
        <v>11394</v>
      </c>
    </row>
    <row r="4114" spans="1:2" x14ac:dyDescent="0.25">
      <c r="A4114" t="s">
        <v>4140</v>
      </c>
      <c r="B4114" t="s">
        <v>11395</v>
      </c>
    </row>
    <row r="4115" spans="1:2" x14ac:dyDescent="0.25">
      <c r="A4115" t="s">
        <v>4141</v>
      </c>
      <c r="B4115" t="s">
        <v>11396</v>
      </c>
    </row>
    <row r="4116" spans="1:2" x14ac:dyDescent="0.25">
      <c r="A4116" t="s">
        <v>4142</v>
      </c>
      <c r="B4116" t="s">
        <v>11397</v>
      </c>
    </row>
    <row r="4117" spans="1:2" x14ac:dyDescent="0.25">
      <c r="A4117" t="s">
        <v>4143</v>
      </c>
      <c r="B4117" t="s">
        <v>11398</v>
      </c>
    </row>
    <row r="4118" spans="1:2" x14ac:dyDescent="0.25">
      <c r="A4118" t="s">
        <v>4144</v>
      </c>
      <c r="B4118" t="s">
        <v>11399</v>
      </c>
    </row>
    <row r="4119" spans="1:2" x14ac:dyDescent="0.25">
      <c r="A4119" t="s">
        <v>4145</v>
      </c>
      <c r="B4119" t="s">
        <v>11400</v>
      </c>
    </row>
    <row r="4120" spans="1:2" x14ac:dyDescent="0.25">
      <c r="A4120" t="s">
        <v>4146</v>
      </c>
      <c r="B4120" t="s">
        <v>11401</v>
      </c>
    </row>
    <row r="4121" spans="1:2" x14ac:dyDescent="0.25">
      <c r="A4121" t="s">
        <v>4147</v>
      </c>
      <c r="B4121" t="s">
        <v>11402</v>
      </c>
    </row>
    <row r="4122" spans="1:2" x14ac:dyDescent="0.25">
      <c r="A4122" t="s">
        <v>4148</v>
      </c>
      <c r="B4122" t="s">
        <v>11403</v>
      </c>
    </row>
    <row r="4123" spans="1:2" x14ac:dyDescent="0.25">
      <c r="A4123" t="s">
        <v>4149</v>
      </c>
      <c r="B4123" t="s">
        <v>11404</v>
      </c>
    </row>
    <row r="4124" spans="1:2" x14ac:dyDescent="0.25">
      <c r="A4124" t="s">
        <v>4150</v>
      </c>
      <c r="B4124" t="s">
        <v>11405</v>
      </c>
    </row>
    <row r="4125" spans="1:2" x14ac:dyDescent="0.25">
      <c r="A4125" t="s">
        <v>4151</v>
      </c>
      <c r="B4125" t="s">
        <v>11406</v>
      </c>
    </row>
    <row r="4126" spans="1:2" x14ac:dyDescent="0.25">
      <c r="A4126" t="s">
        <v>4152</v>
      </c>
      <c r="B4126" t="s">
        <v>11407</v>
      </c>
    </row>
    <row r="4127" spans="1:2" x14ac:dyDescent="0.25">
      <c r="A4127" t="s">
        <v>4153</v>
      </c>
      <c r="B4127" t="s">
        <v>11408</v>
      </c>
    </row>
    <row r="4128" spans="1:2" x14ac:dyDescent="0.25">
      <c r="A4128" t="s">
        <v>4154</v>
      </c>
      <c r="B4128" t="s">
        <v>11409</v>
      </c>
    </row>
    <row r="4129" spans="1:2" x14ac:dyDescent="0.25">
      <c r="A4129" t="s">
        <v>4155</v>
      </c>
      <c r="B4129" t="s">
        <v>11410</v>
      </c>
    </row>
    <row r="4130" spans="1:2" x14ac:dyDescent="0.25">
      <c r="A4130" t="s">
        <v>4156</v>
      </c>
      <c r="B4130" t="s">
        <v>11411</v>
      </c>
    </row>
    <row r="4131" spans="1:2" x14ac:dyDescent="0.25">
      <c r="A4131" t="s">
        <v>4157</v>
      </c>
      <c r="B4131" t="s">
        <v>11412</v>
      </c>
    </row>
    <row r="4132" spans="1:2" x14ac:dyDescent="0.25">
      <c r="A4132" t="s">
        <v>4158</v>
      </c>
      <c r="B4132" t="s">
        <v>11413</v>
      </c>
    </row>
    <row r="4133" spans="1:2" x14ac:dyDescent="0.25">
      <c r="A4133" t="s">
        <v>4159</v>
      </c>
      <c r="B4133" t="s">
        <v>11414</v>
      </c>
    </row>
    <row r="4134" spans="1:2" x14ac:dyDescent="0.25">
      <c r="A4134" t="s">
        <v>4160</v>
      </c>
      <c r="B4134" t="s">
        <v>11415</v>
      </c>
    </row>
    <row r="4135" spans="1:2" x14ac:dyDescent="0.25">
      <c r="A4135" t="s">
        <v>4161</v>
      </c>
      <c r="B4135" t="s">
        <v>11416</v>
      </c>
    </row>
    <row r="4136" spans="1:2" x14ac:dyDescent="0.25">
      <c r="A4136" t="s">
        <v>4162</v>
      </c>
      <c r="B4136" t="s">
        <v>11417</v>
      </c>
    </row>
    <row r="4137" spans="1:2" x14ac:dyDescent="0.25">
      <c r="A4137" t="s">
        <v>4163</v>
      </c>
      <c r="B4137" t="s">
        <v>11418</v>
      </c>
    </row>
    <row r="4138" spans="1:2" x14ac:dyDescent="0.25">
      <c r="A4138" t="s">
        <v>4164</v>
      </c>
      <c r="B4138" t="s">
        <v>11419</v>
      </c>
    </row>
    <row r="4139" spans="1:2" x14ac:dyDescent="0.25">
      <c r="A4139" t="s">
        <v>4165</v>
      </c>
      <c r="B4139" t="s">
        <v>11420</v>
      </c>
    </row>
    <row r="4140" spans="1:2" x14ac:dyDescent="0.25">
      <c r="A4140" t="s">
        <v>4166</v>
      </c>
      <c r="B4140" t="s">
        <v>11421</v>
      </c>
    </row>
    <row r="4141" spans="1:2" x14ac:dyDescent="0.25">
      <c r="A4141" t="s">
        <v>4167</v>
      </c>
      <c r="B4141" t="s">
        <v>11422</v>
      </c>
    </row>
    <row r="4142" spans="1:2" x14ac:dyDescent="0.25">
      <c r="A4142" t="s">
        <v>4168</v>
      </c>
      <c r="B4142" t="s">
        <v>11423</v>
      </c>
    </row>
    <row r="4143" spans="1:2" x14ac:dyDescent="0.25">
      <c r="A4143" t="s">
        <v>4169</v>
      </c>
      <c r="B4143" t="s">
        <v>11424</v>
      </c>
    </row>
    <row r="4144" spans="1:2" x14ac:dyDescent="0.25">
      <c r="A4144" t="s">
        <v>4170</v>
      </c>
      <c r="B4144" t="s">
        <v>11425</v>
      </c>
    </row>
    <row r="4145" spans="1:2" x14ac:dyDescent="0.25">
      <c r="A4145" t="s">
        <v>4171</v>
      </c>
      <c r="B4145" t="s">
        <v>11426</v>
      </c>
    </row>
    <row r="4146" spans="1:2" x14ac:dyDescent="0.25">
      <c r="A4146" t="s">
        <v>4172</v>
      </c>
      <c r="B4146" t="s">
        <v>11427</v>
      </c>
    </row>
    <row r="4147" spans="1:2" x14ac:dyDescent="0.25">
      <c r="A4147" t="s">
        <v>4173</v>
      </c>
      <c r="B4147" t="s">
        <v>11428</v>
      </c>
    </row>
    <row r="4148" spans="1:2" x14ac:dyDescent="0.25">
      <c r="A4148" t="s">
        <v>4174</v>
      </c>
      <c r="B4148" t="s">
        <v>11429</v>
      </c>
    </row>
    <row r="4149" spans="1:2" x14ac:dyDescent="0.25">
      <c r="A4149" t="s">
        <v>4175</v>
      </c>
      <c r="B4149" t="s">
        <v>11430</v>
      </c>
    </row>
    <row r="4150" spans="1:2" x14ac:dyDescent="0.25">
      <c r="A4150" t="s">
        <v>4176</v>
      </c>
      <c r="B4150" t="s">
        <v>11431</v>
      </c>
    </row>
    <row r="4151" spans="1:2" x14ac:dyDescent="0.25">
      <c r="A4151" t="s">
        <v>4177</v>
      </c>
      <c r="B4151" t="s">
        <v>11432</v>
      </c>
    </row>
    <row r="4152" spans="1:2" x14ac:dyDescent="0.25">
      <c r="A4152" t="s">
        <v>4178</v>
      </c>
      <c r="B4152" t="s">
        <v>11433</v>
      </c>
    </row>
    <row r="4153" spans="1:2" x14ac:dyDescent="0.25">
      <c r="A4153" t="s">
        <v>4179</v>
      </c>
      <c r="B4153" t="s">
        <v>11434</v>
      </c>
    </row>
    <row r="4154" spans="1:2" x14ac:dyDescent="0.25">
      <c r="A4154" t="s">
        <v>4180</v>
      </c>
      <c r="B4154" t="s">
        <v>11435</v>
      </c>
    </row>
    <row r="4155" spans="1:2" x14ac:dyDescent="0.25">
      <c r="A4155" t="s">
        <v>4181</v>
      </c>
      <c r="B4155" t="s">
        <v>11436</v>
      </c>
    </row>
    <row r="4156" spans="1:2" x14ac:dyDescent="0.25">
      <c r="A4156" t="s">
        <v>4182</v>
      </c>
      <c r="B4156" t="s">
        <v>11437</v>
      </c>
    </row>
    <row r="4157" spans="1:2" x14ac:dyDescent="0.25">
      <c r="A4157" t="s">
        <v>4183</v>
      </c>
      <c r="B4157" t="s">
        <v>11438</v>
      </c>
    </row>
    <row r="4158" spans="1:2" x14ac:dyDescent="0.25">
      <c r="A4158" t="s">
        <v>4184</v>
      </c>
      <c r="B4158" t="s">
        <v>11439</v>
      </c>
    </row>
    <row r="4159" spans="1:2" x14ac:dyDescent="0.25">
      <c r="A4159" t="s">
        <v>4185</v>
      </c>
      <c r="B4159" t="s">
        <v>11440</v>
      </c>
    </row>
    <row r="4160" spans="1:2" x14ac:dyDescent="0.25">
      <c r="A4160" t="s">
        <v>4186</v>
      </c>
      <c r="B4160" t="s">
        <v>11441</v>
      </c>
    </row>
    <row r="4161" spans="1:2" x14ac:dyDescent="0.25">
      <c r="A4161" t="s">
        <v>4187</v>
      </c>
      <c r="B4161" t="s">
        <v>11442</v>
      </c>
    </row>
    <row r="4162" spans="1:2" x14ac:dyDescent="0.25">
      <c r="A4162" t="s">
        <v>4188</v>
      </c>
      <c r="B4162" t="s">
        <v>11443</v>
      </c>
    </row>
    <row r="4163" spans="1:2" x14ac:dyDescent="0.25">
      <c r="A4163" t="s">
        <v>4189</v>
      </c>
      <c r="B4163" t="s">
        <v>8821</v>
      </c>
    </row>
    <row r="4164" spans="1:2" x14ac:dyDescent="0.25">
      <c r="A4164" t="s">
        <v>4190</v>
      </c>
      <c r="B4164" t="s">
        <v>11444</v>
      </c>
    </row>
    <row r="4165" spans="1:2" x14ac:dyDescent="0.25">
      <c r="A4165" t="s">
        <v>4191</v>
      </c>
      <c r="B4165" t="s">
        <v>11445</v>
      </c>
    </row>
    <row r="4166" spans="1:2" x14ac:dyDescent="0.25">
      <c r="A4166" t="s">
        <v>4192</v>
      </c>
      <c r="B4166" t="s">
        <v>11446</v>
      </c>
    </row>
    <row r="4167" spans="1:2" x14ac:dyDescent="0.25">
      <c r="A4167" t="s">
        <v>4193</v>
      </c>
      <c r="B4167" t="s">
        <v>11447</v>
      </c>
    </row>
    <row r="4168" spans="1:2" x14ac:dyDescent="0.25">
      <c r="A4168" t="s">
        <v>4194</v>
      </c>
      <c r="B4168" t="s">
        <v>11448</v>
      </c>
    </row>
    <row r="4169" spans="1:2" x14ac:dyDescent="0.25">
      <c r="A4169" t="s">
        <v>4195</v>
      </c>
      <c r="B4169" t="s">
        <v>11449</v>
      </c>
    </row>
    <row r="4170" spans="1:2" x14ac:dyDescent="0.25">
      <c r="A4170" t="s">
        <v>4196</v>
      </c>
      <c r="B4170" t="s">
        <v>11450</v>
      </c>
    </row>
    <row r="4171" spans="1:2" x14ac:dyDescent="0.25">
      <c r="A4171" t="s">
        <v>4197</v>
      </c>
      <c r="B4171" t="s">
        <v>11451</v>
      </c>
    </row>
    <row r="4172" spans="1:2" x14ac:dyDescent="0.25">
      <c r="A4172" t="s">
        <v>4198</v>
      </c>
      <c r="B4172" t="s">
        <v>11452</v>
      </c>
    </row>
    <row r="4173" spans="1:2" x14ac:dyDescent="0.25">
      <c r="A4173" t="s">
        <v>4199</v>
      </c>
      <c r="B4173" t="s">
        <v>11453</v>
      </c>
    </row>
    <row r="4174" spans="1:2" x14ac:dyDescent="0.25">
      <c r="A4174" t="s">
        <v>4200</v>
      </c>
      <c r="B4174" t="s">
        <v>11454</v>
      </c>
    </row>
    <row r="4175" spans="1:2" x14ac:dyDescent="0.25">
      <c r="A4175" t="s">
        <v>4201</v>
      </c>
      <c r="B4175" t="s">
        <v>11455</v>
      </c>
    </row>
    <row r="4176" spans="1:2" x14ac:dyDescent="0.25">
      <c r="A4176" t="s">
        <v>4202</v>
      </c>
      <c r="B4176" t="s">
        <v>11456</v>
      </c>
    </row>
    <row r="4177" spans="1:2" x14ac:dyDescent="0.25">
      <c r="A4177" t="s">
        <v>4203</v>
      </c>
      <c r="B4177" t="s">
        <v>11457</v>
      </c>
    </row>
    <row r="4178" spans="1:2" x14ac:dyDescent="0.25">
      <c r="A4178" t="s">
        <v>4204</v>
      </c>
      <c r="B4178" t="s">
        <v>11458</v>
      </c>
    </row>
    <row r="4179" spans="1:2" x14ac:dyDescent="0.25">
      <c r="A4179" t="s">
        <v>4205</v>
      </c>
      <c r="B4179" t="s">
        <v>11459</v>
      </c>
    </row>
    <row r="4180" spans="1:2" x14ac:dyDescent="0.25">
      <c r="A4180" t="s">
        <v>4206</v>
      </c>
      <c r="B4180" t="s">
        <v>11460</v>
      </c>
    </row>
    <row r="4181" spans="1:2" x14ac:dyDescent="0.25">
      <c r="A4181" t="s">
        <v>4207</v>
      </c>
      <c r="B4181" t="s">
        <v>11461</v>
      </c>
    </row>
    <row r="4182" spans="1:2" x14ac:dyDescent="0.25">
      <c r="A4182" t="s">
        <v>4208</v>
      </c>
      <c r="B4182" t="s">
        <v>11462</v>
      </c>
    </row>
    <row r="4183" spans="1:2" x14ac:dyDescent="0.25">
      <c r="A4183" t="s">
        <v>4209</v>
      </c>
      <c r="B4183" t="s">
        <v>11463</v>
      </c>
    </row>
    <row r="4184" spans="1:2" x14ac:dyDescent="0.25">
      <c r="A4184" t="s">
        <v>4210</v>
      </c>
      <c r="B4184" t="s">
        <v>11464</v>
      </c>
    </row>
    <row r="4185" spans="1:2" x14ac:dyDescent="0.25">
      <c r="A4185" t="s">
        <v>4211</v>
      </c>
      <c r="B4185" t="s">
        <v>11465</v>
      </c>
    </row>
    <row r="4186" spans="1:2" x14ac:dyDescent="0.25">
      <c r="A4186" t="s">
        <v>4212</v>
      </c>
      <c r="B4186" t="s">
        <v>11466</v>
      </c>
    </row>
    <row r="4187" spans="1:2" x14ac:dyDescent="0.25">
      <c r="A4187" t="s">
        <v>4213</v>
      </c>
      <c r="B4187" t="s">
        <v>11467</v>
      </c>
    </row>
    <row r="4188" spans="1:2" x14ac:dyDescent="0.25">
      <c r="A4188" t="s">
        <v>4214</v>
      </c>
      <c r="B4188" t="s">
        <v>11468</v>
      </c>
    </row>
    <row r="4189" spans="1:2" x14ac:dyDescent="0.25">
      <c r="A4189" t="s">
        <v>4215</v>
      </c>
      <c r="B4189" t="s">
        <v>11469</v>
      </c>
    </row>
    <row r="4190" spans="1:2" x14ac:dyDescent="0.25">
      <c r="A4190" t="s">
        <v>4216</v>
      </c>
      <c r="B4190" t="s">
        <v>11470</v>
      </c>
    </row>
    <row r="4191" spans="1:2" x14ac:dyDescent="0.25">
      <c r="A4191" t="s">
        <v>4217</v>
      </c>
      <c r="B4191" t="s">
        <v>11471</v>
      </c>
    </row>
    <row r="4192" spans="1:2" x14ac:dyDescent="0.25">
      <c r="A4192" t="s">
        <v>4218</v>
      </c>
      <c r="B4192" t="s">
        <v>11472</v>
      </c>
    </row>
    <row r="4193" spans="1:2" x14ac:dyDescent="0.25">
      <c r="A4193" t="s">
        <v>4219</v>
      </c>
      <c r="B4193" t="s">
        <v>11473</v>
      </c>
    </row>
    <row r="4194" spans="1:2" x14ac:dyDescent="0.25">
      <c r="A4194" t="s">
        <v>4220</v>
      </c>
      <c r="B4194" t="s">
        <v>11474</v>
      </c>
    </row>
    <row r="4195" spans="1:2" x14ac:dyDescent="0.25">
      <c r="A4195" t="s">
        <v>4221</v>
      </c>
      <c r="B4195" t="s">
        <v>11475</v>
      </c>
    </row>
    <row r="4196" spans="1:2" x14ac:dyDescent="0.25">
      <c r="A4196" t="s">
        <v>4222</v>
      </c>
      <c r="B4196" t="s">
        <v>11476</v>
      </c>
    </row>
    <row r="4197" spans="1:2" x14ac:dyDescent="0.25">
      <c r="A4197" t="s">
        <v>4223</v>
      </c>
      <c r="B4197" t="s">
        <v>11477</v>
      </c>
    </row>
    <row r="4198" spans="1:2" x14ac:dyDescent="0.25">
      <c r="A4198" t="s">
        <v>4224</v>
      </c>
      <c r="B4198" t="s">
        <v>11478</v>
      </c>
    </row>
    <row r="4199" spans="1:2" x14ac:dyDescent="0.25">
      <c r="A4199" t="s">
        <v>4225</v>
      </c>
      <c r="B4199" t="s">
        <v>11479</v>
      </c>
    </row>
    <row r="4200" spans="1:2" x14ac:dyDescent="0.25">
      <c r="A4200" t="s">
        <v>4226</v>
      </c>
      <c r="B4200" t="s">
        <v>11480</v>
      </c>
    </row>
    <row r="4201" spans="1:2" x14ac:dyDescent="0.25">
      <c r="A4201" t="s">
        <v>4227</v>
      </c>
      <c r="B4201" t="s">
        <v>11481</v>
      </c>
    </row>
    <row r="4202" spans="1:2" x14ac:dyDescent="0.25">
      <c r="A4202" t="s">
        <v>4228</v>
      </c>
      <c r="B4202" t="s">
        <v>11482</v>
      </c>
    </row>
    <row r="4203" spans="1:2" x14ac:dyDescent="0.25">
      <c r="A4203" t="s">
        <v>4229</v>
      </c>
      <c r="B4203" t="s">
        <v>11483</v>
      </c>
    </row>
    <row r="4204" spans="1:2" x14ac:dyDescent="0.25">
      <c r="A4204" t="s">
        <v>4230</v>
      </c>
      <c r="B4204" t="s">
        <v>11484</v>
      </c>
    </row>
    <row r="4205" spans="1:2" x14ac:dyDescent="0.25">
      <c r="A4205" t="s">
        <v>4231</v>
      </c>
      <c r="B4205" t="s">
        <v>11485</v>
      </c>
    </row>
    <row r="4206" spans="1:2" x14ac:dyDescent="0.25">
      <c r="A4206" t="s">
        <v>4232</v>
      </c>
      <c r="B4206" t="s">
        <v>11486</v>
      </c>
    </row>
    <row r="4207" spans="1:2" x14ac:dyDescent="0.25">
      <c r="A4207" t="s">
        <v>4233</v>
      </c>
      <c r="B4207" t="s">
        <v>11487</v>
      </c>
    </row>
    <row r="4208" spans="1:2" x14ac:dyDescent="0.25">
      <c r="A4208" t="s">
        <v>4234</v>
      </c>
      <c r="B4208" t="s">
        <v>11488</v>
      </c>
    </row>
    <row r="4209" spans="1:2" x14ac:dyDescent="0.25">
      <c r="A4209" t="s">
        <v>4235</v>
      </c>
      <c r="B4209" t="s">
        <v>11489</v>
      </c>
    </row>
    <row r="4210" spans="1:2" x14ac:dyDescent="0.25">
      <c r="A4210" t="s">
        <v>4236</v>
      </c>
      <c r="B4210" t="s">
        <v>11490</v>
      </c>
    </row>
    <row r="4211" spans="1:2" x14ac:dyDescent="0.25">
      <c r="A4211" t="s">
        <v>4237</v>
      </c>
      <c r="B4211" t="s">
        <v>11491</v>
      </c>
    </row>
    <row r="4212" spans="1:2" x14ac:dyDescent="0.25">
      <c r="A4212" t="s">
        <v>4238</v>
      </c>
      <c r="B4212" t="s">
        <v>11492</v>
      </c>
    </row>
    <row r="4213" spans="1:2" x14ac:dyDescent="0.25">
      <c r="A4213" t="s">
        <v>4239</v>
      </c>
      <c r="B4213" t="s">
        <v>11493</v>
      </c>
    </row>
    <row r="4214" spans="1:2" x14ac:dyDescent="0.25">
      <c r="A4214" t="s">
        <v>4240</v>
      </c>
      <c r="B4214" t="s">
        <v>11494</v>
      </c>
    </row>
    <row r="4215" spans="1:2" x14ac:dyDescent="0.25">
      <c r="A4215" t="s">
        <v>4241</v>
      </c>
      <c r="B4215" t="s">
        <v>11495</v>
      </c>
    </row>
    <row r="4216" spans="1:2" x14ac:dyDescent="0.25">
      <c r="A4216" t="s">
        <v>4242</v>
      </c>
      <c r="B4216" t="s">
        <v>11496</v>
      </c>
    </row>
    <row r="4217" spans="1:2" x14ac:dyDescent="0.25">
      <c r="A4217" t="s">
        <v>4243</v>
      </c>
      <c r="B4217" t="s">
        <v>11497</v>
      </c>
    </row>
    <row r="4218" spans="1:2" x14ac:dyDescent="0.25">
      <c r="A4218" t="s">
        <v>4244</v>
      </c>
      <c r="B4218" t="s">
        <v>11498</v>
      </c>
    </row>
    <row r="4219" spans="1:2" x14ac:dyDescent="0.25">
      <c r="A4219" t="s">
        <v>4245</v>
      </c>
      <c r="B4219" t="s">
        <v>11499</v>
      </c>
    </row>
    <row r="4220" spans="1:2" x14ac:dyDescent="0.25">
      <c r="A4220" t="s">
        <v>4246</v>
      </c>
      <c r="B4220" t="s">
        <v>11500</v>
      </c>
    </row>
    <row r="4221" spans="1:2" x14ac:dyDescent="0.25">
      <c r="A4221" t="s">
        <v>4247</v>
      </c>
      <c r="B4221" t="s">
        <v>11501</v>
      </c>
    </row>
    <row r="4222" spans="1:2" x14ac:dyDescent="0.25">
      <c r="A4222" t="s">
        <v>4248</v>
      </c>
      <c r="B4222" t="s">
        <v>11502</v>
      </c>
    </row>
    <row r="4223" spans="1:2" x14ac:dyDescent="0.25">
      <c r="A4223" t="s">
        <v>4249</v>
      </c>
      <c r="B4223" t="s">
        <v>11503</v>
      </c>
    </row>
    <row r="4224" spans="1:2" x14ac:dyDescent="0.25">
      <c r="A4224" t="s">
        <v>4250</v>
      </c>
      <c r="B4224" t="s">
        <v>11504</v>
      </c>
    </row>
    <row r="4225" spans="1:2" x14ac:dyDescent="0.25">
      <c r="A4225" t="s">
        <v>4251</v>
      </c>
      <c r="B4225" t="s">
        <v>11505</v>
      </c>
    </row>
    <row r="4226" spans="1:2" x14ac:dyDescent="0.25">
      <c r="A4226" t="s">
        <v>4252</v>
      </c>
      <c r="B4226" t="s">
        <v>11506</v>
      </c>
    </row>
    <row r="4227" spans="1:2" x14ac:dyDescent="0.25">
      <c r="A4227" t="s">
        <v>4253</v>
      </c>
      <c r="B4227" t="s">
        <v>11507</v>
      </c>
    </row>
    <row r="4228" spans="1:2" x14ac:dyDescent="0.25">
      <c r="A4228" t="s">
        <v>4254</v>
      </c>
      <c r="B4228" t="s">
        <v>11508</v>
      </c>
    </row>
    <row r="4229" spans="1:2" x14ac:dyDescent="0.25">
      <c r="A4229" t="s">
        <v>4255</v>
      </c>
      <c r="B4229" t="s">
        <v>11509</v>
      </c>
    </row>
    <row r="4230" spans="1:2" x14ac:dyDescent="0.25">
      <c r="A4230" t="s">
        <v>4256</v>
      </c>
      <c r="B4230" t="s">
        <v>11510</v>
      </c>
    </row>
    <row r="4231" spans="1:2" x14ac:dyDescent="0.25">
      <c r="A4231" t="s">
        <v>4257</v>
      </c>
      <c r="B4231" t="s">
        <v>11511</v>
      </c>
    </row>
    <row r="4232" spans="1:2" x14ac:dyDescent="0.25">
      <c r="A4232" t="s">
        <v>4258</v>
      </c>
      <c r="B4232" t="s">
        <v>11512</v>
      </c>
    </row>
    <row r="4233" spans="1:2" x14ac:dyDescent="0.25">
      <c r="A4233" t="s">
        <v>4259</v>
      </c>
      <c r="B4233" t="s">
        <v>11513</v>
      </c>
    </row>
    <row r="4234" spans="1:2" x14ac:dyDescent="0.25">
      <c r="A4234" t="s">
        <v>4260</v>
      </c>
      <c r="B4234" t="s">
        <v>11514</v>
      </c>
    </row>
    <row r="4235" spans="1:2" x14ac:dyDescent="0.25">
      <c r="A4235" t="s">
        <v>4261</v>
      </c>
      <c r="B4235" t="s">
        <v>11515</v>
      </c>
    </row>
    <row r="4236" spans="1:2" x14ac:dyDescent="0.25">
      <c r="A4236" t="s">
        <v>4262</v>
      </c>
      <c r="B4236" t="s">
        <v>11516</v>
      </c>
    </row>
    <row r="4237" spans="1:2" x14ac:dyDescent="0.25">
      <c r="A4237" t="s">
        <v>4263</v>
      </c>
      <c r="B4237" t="s">
        <v>11517</v>
      </c>
    </row>
    <row r="4238" spans="1:2" x14ac:dyDescent="0.25">
      <c r="A4238" t="s">
        <v>4264</v>
      </c>
      <c r="B4238" t="s">
        <v>11518</v>
      </c>
    </row>
    <row r="4239" spans="1:2" x14ac:dyDescent="0.25">
      <c r="A4239" t="s">
        <v>4265</v>
      </c>
      <c r="B4239" t="s">
        <v>11519</v>
      </c>
    </row>
    <row r="4240" spans="1:2" x14ac:dyDescent="0.25">
      <c r="A4240" t="s">
        <v>4266</v>
      </c>
      <c r="B4240" t="s">
        <v>11520</v>
      </c>
    </row>
    <row r="4241" spans="1:2" x14ac:dyDescent="0.25">
      <c r="A4241" t="s">
        <v>4267</v>
      </c>
      <c r="B4241" t="s">
        <v>11521</v>
      </c>
    </row>
    <row r="4242" spans="1:2" x14ac:dyDescent="0.25">
      <c r="A4242" t="s">
        <v>4268</v>
      </c>
      <c r="B4242" t="s">
        <v>11522</v>
      </c>
    </row>
    <row r="4243" spans="1:2" x14ac:dyDescent="0.25">
      <c r="A4243" t="s">
        <v>4269</v>
      </c>
      <c r="B4243" t="s">
        <v>11523</v>
      </c>
    </row>
    <row r="4244" spans="1:2" x14ac:dyDescent="0.25">
      <c r="A4244" t="s">
        <v>4270</v>
      </c>
      <c r="B4244" t="s">
        <v>11524</v>
      </c>
    </row>
    <row r="4245" spans="1:2" x14ac:dyDescent="0.25">
      <c r="A4245" t="s">
        <v>4271</v>
      </c>
      <c r="B4245" t="s">
        <v>11525</v>
      </c>
    </row>
    <row r="4246" spans="1:2" x14ac:dyDescent="0.25">
      <c r="A4246" t="s">
        <v>4272</v>
      </c>
      <c r="B4246" t="s">
        <v>11526</v>
      </c>
    </row>
    <row r="4247" spans="1:2" x14ac:dyDescent="0.25">
      <c r="A4247" t="s">
        <v>4273</v>
      </c>
      <c r="B4247" t="s">
        <v>11527</v>
      </c>
    </row>
    <row r="4248" spans="1:2" x14ac:dyDescent="0.25">
      <c r="A4248" t="s">
        <v>4274</v>
      </c>
      <c r="B4248" t="s">
        <v>11528</v>
      </c>
    </row>
    <row r="4249" spans="1:2" x14ac:dyDescent="0.25">
      <c r="A4249" t="s">
        <v>4275</v>
      </c>
      <c r="B4249" t="s">
        <v>11529</v>
      </c>
    </row>
    <row r="4250" spans="1:2" x14ac:dyDescent="0.25">
      <c r="A4250" t="s">
        <v>4276</v>
      </c>
      <c r="B4250" t="s">
        <v>11530</v>
      </c>
    </row>
    <row r="4251" spans="1:2" x14ac:dyDescent="0.25">
      <c r="A4251" t="s">
        <v>4277</v>
      </c>
      <c r="B4251" t="s">
        <v>11531</v>
      </c>
    </row>
    <row r="4252" spans="1:2" x14ac:dyDescent="0.25">
      <c r="A4252" t="s">
        <v>4278</v>
      </c>
      <c r="B4252" t="s">
        <v>11532</v>
      </c>
    </row>
    <row r="4253" spans="1:2" x14ac:dyDescent="0.25">
      <c r="A4253" t="s">
        <v>4279</v>
      </c>
      <c r="B4253" t="s">
        <v>11533</v>
      </c>
    </row>
    <row r="4254" spans="1:2" x14ac:dyDescent="0.25">
      <c r="A4254" t="s">
        <v>4280</v>
      </c>
      <c r="B4254" t="s">
        <v>11534</v>
      </c>
    </row>
    <row r="4255" spans="1:2" x14ac:dyDescent="0.25">
      <c r="A4255" t="s">
        <v>4281</v>
      </c>
      <c r="B4255" t="s">
        <v>11535</v>
      </c>
    </row>
    <row r="4256" spans="1:2" x14ac:dyDescent="0.25">
      <c r="A4256" t="s">
        <v>4282</v>
      </c>
      <c r="B4256" t="s">
        <v>11536</v>
      </c>
    </row>
    <row r="4257" spans="1:2" x14ac:dyDescent="0.25">
      <c r="A4257" t="s">
        <v>4283</v>
      </c>
      <c r="B4257" t="s">
        <v>11537</v>
      </c>
    </row>
    <row r="4258" spans="1:2" x14ac:dyDescent="0.25">
      <c r="A4258" t="s">
        <v>4284</v>
      </c>
      <c r="B4258" t="s">
        <v>11538</v>
      </c>
    </row>
    <row r="4259" spans="1:2" x14ac:dyDescent="0.25">
      <c r="A4259" t="s">
        <v>4285</v>
      </c>
      <c r="B4259" t="s">
        <v>11539</v>
      </c>
    </row>
    <row r="4260" spans="1:2" x14ac:dyDescent="0.25">
      <c r="A4260" t="s">
        <v>4286</v>
      </c>
      <c r="B4260" t="s">
        <v>11540</v>
      </c>
    </row>
    <row r="4261" spans="1:2" x14ac:dyDescent="0.25">
      <c r="A4261" t="s">
        <v>4287</v>
      </c>
      <c r="B4261" t="s">
        <v>11541</v>
      </c>
    </row>
    <row r="4262" spans="1:2" x14ac:dyDescent="0.25">
      <c r="A4262" t="s">
        <v>4288</v>
      </c>
      <c r="B4262" t="s">
        <v>11542</v>
      </c>
    </row>
    <row r="4263" spans="1:2" x14ac:dyDescent="0.25">
      <c r="A4263" t="s">
        <v>4289</v>
      </c>
      <c r="B4263" t="s">
        <v>11543</v>
      </c>
    </row>
    <row r="4264" spans="1:2" x14ac:dyDescent="0.25">
      <c r="A4264" t="s">
        <v>4290</v>
      </c>
      <c r="B4264" t="s">
        <v>11544</v>
      </c>
    </row>
    <row r="4265" spans="1:2" x14ac:dyDescent="0.25">
      <c r="A4265" t="s">
        <v>4291</v>
      </c>
      <c r="B4265" t="s">
        <v>11545</v>
      </c>
    </row>
    <row r="4266" spans="1:2" x14ac:dyDescent="0.25">
      <c r="A4266" t="s">
        <v>4292</v>
      </c>
      <c r="B4266" t="s">
        <v>11546</v>
      </c>
    </row>
    <row r="4267" spans="1:2" x14ac:dyDescent="0.25">
      <c r="A4267" t="s">
        <v>4293</v>
      </c>
      <c r="B4267" t="s">
        <v>11547</v>
      </c>
    </row>
    <row r="4268" spans="1:2" x14ac:dyDescent="0.25">
      <c r="A4268" t="s">
        <v>4294</v>
      </c>
      <c r="B4268" t="s">
        <v>11548</v>
      </c>
    </row>
    <row r="4269" spans="1:2" x14ac:dyDescent="0.25">
      <c r="A4269" t="s">
        <v>4295</v>
      </c>
      <c r="B4269" t="s">
        <v>11549</v>
      </c>
    </row>
    <row r="4270" spans="1:2" x14ac:dyDescent="0.25">
      <c r="A4270" t="s">
        <v>4296</v>
      </c>
      <c r="B4270" t="s">
        <v>11550</v>
      </c>
    </row>
    <row r="4271" spans="1:2" x14ac:dyDescent="0.25">
      <c r="A4271" t="s">
        <v>4297</v>
      </c>
      <c r="B4271" t="s">
        <v>11551</v>
      </c>
    </row>
    <row r="4272" spans="1:2" x14ac:dyDescent="0.25">
      <c r="A4272" t="s">
        <v>4298</v>
      </c>
      <c r="B4272" t="s">
        <v>11552</v>
      </c>
    </row>
    <row r="4273" spans="1:2" x14ac:dyDescent="0.25">
      <c r="A4273" t="s">
        <v>4299</v>
      </c>
      <c r="B4273" t="s">
        <v>11553</v>
      </c>
    </row>
    <row r="4274" spans="1:2" x14ac:dyDescent="0.25">
      <c r="A4274" t="s">
        <v>4300</v>
      </c>
      <c r="B4274" t="s">
        <v>11554</v>
      </c>
    </row>
    <row r="4275" spans="1:2" x14ac:dyDescent="0.25">
      <c r="A4275" t="s">
        <v>4301</v>
      </c>
      <c r="B4275" t="s">
        <v>11555</v>
      </c>
    </row>
    <row r="4276" spans="1:2" x14ac:dyDescent="0.25">
      <c r="A4276" t="s">
        <v>4302</v>
      </c>
      <c r="B4276" t="s">
        <v>11556</v>
      </c>
    </row>
    <row r="4277" spans="1:2" x14ac:dyDescent="0.25">
      <c r="A4277" t="s">
        <v>4303</v>
      </c>
      <c r="B4277" t="s">
        <v>11557</v>
      </c>
    </row>
    <row r="4278" spans="1:2" x14ac:dyDescent="0.25">
      <c r="A4278" t="s">
        <v>4304</v>
      </c>
      <c r="B4278" t="s">
        <v>11558</v>
      </c>
    </row>
    <row r="4279" spans="1:2" x14ac:dyDescent="0.25">
      <c r="A4279" t="s">
        <v>4305</v>
      </c>
      <c r="B4279" t="s">
        <v>11559</v>
      </c>
    </row>
    <row r="4280" spans="1:2" x14ac:dyDescent="0.25">
      <c r="A4280" t="s">
        <v>4306</v>
      </c>
      <c r="B4280" t="s">
        <v>11560</v>
      </c>
    </row>
    <row r="4281" spans="1:2" x14ac:dyDescent="0.25">
      <c r="A4281" t="s">
        <v>4307</v>
      </c>
      <c r="B4281" t="s">
        <v>11561</v>
      </c>
    </row>
    <row r="4282" spans="1:2" x14ac:dyDescent="0.25">
      <c r="A4282" t="s">
        <v>4308</v>
      </c>
      <c r="B4282" t="s">
        <v>11562</v>
      </c>
    </row>
    <row r="4283" spans="1:2" x14ac:dyDescent="0.25">
      <c r="A4283" t="s">
        <v>4309</v>
      </c>
      <c r="B4283" t="s">
        <v>11563</v>
      </c>
    </row>
    <row r="4284" spans="1:2" x14ac:dyDescent="0.25">
      <c r="A4284" t="s">
        <v>4310</v>
      </c>
      <c r="B4284" t="s">
        <v>11564</v>
      </c>
    </row>
    <row r="4285" spans="1:2" x14ac:dyDescent="0.25">
      <c r="A4285" t="s">
        <v>4311</v>
      </c>
      <c r="B4285" t="s">
        <v>11565</v>
      </c>
    </row>
    <row r="4286" spans="1:2" x14ac:dyDescent="0.25">
      <c r="A4286" t="s">
        <v>4312</v>
      </c>
      <c r="B4286" t="s">
        <v>11566</v>
      </c>
    </row>
    <row r="4287" spans="1:2" x14ac:dyDescent="0.25">
      <c r="A4287" t="s">
        <v>4313</v>
      </c>
      <c r="B4287" t="s">
        <v>11567</v>
      </c>
    </row>
    <row r="4288" spans="1:2" x14ac:dyDescent="0.25">
      <c r="A4288" t="s">
        <v>4314</v>
      </c>
      <c r="B4288" t="s">
        <v>11568</v>
      </c>
    </row>
    <row r="4289" spans="1:2" x14ac:dyDescent="0.25">
      <c r="A4289" t="s">
        <v>4315</v>
      </c>
      <c r="B4289" t="s">
        <v>11569</v>
      </c>
    </row>
    <row r="4290" spans="1:2" x14ac:dyDescent="0.25">
      <c r="A4290" t="s">
        <v>4316</v>
      </c>
      <c r="B4290" t="s">
        <v>11570</v>
      </c>
    </row>
    <row r="4291" spans="1:2" x14ac:dyDescent="0.25">
      <c r="A4291" t="s">
        <v>4317</v>
      </c>
      <c r="B4291" t="s">
        <v>11571</v>
      </c>
    </row>
    <row r="4292" spans="1:2" x14ac:dyDescent="0.25">
      <c r="A4292" t="s">
        <v>4318</v>
      </c>
      <c r="B4292" t="s">
        <v>11572</v>
      </c>
    </row>
    <row r="4293" spans="1:2" x14ac:dyDescent="0.25">
      <c r="A4293" t="s">
        <v>4319</v>
      </c>
      <c r="B4293" t="s">
        <v>11573</v>
      </c>
    </row>
    <row r="4294" spans="1:2" x14ac:dyDescent="0.25">
      <c r="A4294" t="s">
        <v>4320</v>
      </c>
      <c r="B4294" t="s">
        <v>11574</v>
      </c>
    </row>
    <row r="4295" spans="1:2" x14ac:dyDescent="0.25">
      <c r="A4295" t="s">
        <v>4321</v>
      </c>
      <c r="B4295" t="s">
        <v>11575</v>
      </c>
    </row>
    <row r="4296" spans="1:2" x14ac:dyDescent="0.25">
      <c r="A4296" t="s">
        <v>4322</v>
      </c>
      <c r="B4296" t="s">
        <v>11576</v>
      </c>
    </row>
    <row r="4297" spans="1:2" x14ac:dyDescent="0.25">
      <c r="A4297" t="s">
        <v>4323</v>
      </c>
      <c r="B4297" t="s">
        <v>11577</v>
      </c>
    </row>
    <row r="4298" spans="1:2" x14ac:dyDescent="0.25">
      <c r="A4298" t="s">
        <v>4324</v>
      </c>
      <c r="B4298" t="s">
        <v>11578</v>
      </c>
    </row>
    <row r="4299" spans="1:2" x14ac:dyDescent="0.25">
      <c r="A4299" t="s">
        <v>4325</v>
      </c>
      <c r="B4299" t="s">
        <v>11579</v>
      </c>
    </row>
    <row r="4300" spans="1:2" x14ac:dyDescent="0.25">
      <c r="A4300" t="s">
        <v>4326</v>
      </c>
      <c r="B4300" t="s">
        <v>11580</v>
      </c>
    </row>
    <row r="4301" spans="1:2" x14ac:dyDescent="0.25">
      <c r="A4301" t="s">
        <v>4327</v>
      </c>
      <c r="B4301" t="s">
        <v>11581</v>
      </c>
    </row>
    <row r="4302" spans="1:2" x14ac:dyDescent="0.25">
      <c r="A4302" t="s">
        <v>4328</v>
      </c>
      <c r="B4302" t="s">
        <v>11582</v>
      </c>
    </row>
    <row r="4303" spans="1:2" x14ac:dyDescent="0.25">
      <c r="A4303" t="s">
        <v>4329</v>
      </c>
      <c r="B4303" t="s">
        <v>11583</v>
      </c>
    </row>
    <row r="4304" spans="1:2" x14ac:dyDescent="0.25">
      <c r="A4304" t="s">
        <v>4330</v>
      </c>
      <c r="B4304" t="s">
        <v>11584</v>
      </c>
    </row>
    <row r="4305" spans="1:2" x14ac:dyDescent="0.25">
      <c r="A4305" t="s">
        <v>4331</v>
      </c>
      <c r="B4305" t="s">
        <v>11585</v>
      </c>
    </row>
    <row r="4306" spans="1:2" x14ac:dyDescent="0.25">
      <c r="A4306" t="s">
        <v>4332</v>
      </c>
      <c r="B4306" t="s">
        <v>11586</v>
      </c>
    </row>
    <row r="4307" spans="1:2" x14ac:dyDescent="0.25">
      <c r="A4307" t="s">
        <v>4333</v>
      </c>
      <c r="B4307" t="s">
        <v>11587</v>
      </c>
    </row>
    <row r="4308" spans="1:2" x14ac:dyDescent="0.25">
      <c r="A4308" t="s">
        <v>4334</v>
      </c>
      <c r="B4308" t="s">
        <v>11588</v>
      </c>
    </row>
    <row r="4309" spans="1:2" x14ac:dyDescent="0.25">
      <c r="A4309" t="s">
        <v>4335</v>
      </c>
      <c r="B4309" t="s">
        <v>11589</v>
      </c>
    </row>
    <row r="4310" spans="1:2" x14ac:dyDescent="0.25">
      <c r="A4310" t="s">
        <v>4336</v>
      </c>
      <c r="B4310" t="s">
        <v>11590</v>
      </c>
    </row>
    <row r="4311" spans="1:2" x14ac:dyDescent="0.25">
      <c r="A4311" t="s">
        <v>4337</v>
      </c>
      <c r="B4311" t="s">
        <v>11591</v>
      </c>
    </row>
    <row r="4312" spans="1:2" x14ac:dyDescent="0.25">
      <c r="A4312" t="s">
        <v>4338</v>
      </c>
      <c r="B4312" t="s">
        <v>11592</v>
      </c>
    </row>
    <row r="4313" spans="1:2" x14ac:dyDescent="0.25">
      <c r="A4313" t="s">
        <v>4339</v>
      </c>
      <c r="B4313" t="s">
        <v>11593</v>
      </c>
    </row>
    <row r="4314" spans="1:2" x14ac:dyDescent="0.25">
      <c r="A4314" t="s">
        <v>4340</v>
      </c>
      <c r="B4314" t="s">
        <v>11594</v>
      </c>
    </row>
    <row r="4315" spans="1:2" x14ac:dyDescent="0.25">
      <c r="A4315" t="s">
        <v>4341</v>
      </c>
      <c r="B4315" t="s">
        <v>11595</v>
      </c>
    </row>
    <row r="4316" spans="1:2" x14ac:dyDescent="0.25">
      <c r="A4316" t="s">
        <v>4342</v>
      </c>
      <c r="B4316" t="s">
        <v>11596</v>
      </c>
    </row>
    <row r="4317" spans="1:2" x14ac:dyDescent="0.25">
      <c r="A4317" t="s">
        <v>4343</v>
      </c>
      <c r="B4317" t="s">
        <v>11597</v>
      </c>
    </row>
    <row r="4318" spans="1:2" x14ac:dyDescent="0.25">
      <c r="A4318" t="s">
        <v>4344</v>
      </c>
      <c r="B4318" t="s">
        <v>11598</v>
      </c>
    </row>
    <row r="4319" spans="1:2" x14ac:dyDescent="0.25">
      <c r="A4319" t="s">
        <v>4345</v>
      </c>
      <c r="B4319" t="s">
        <v>11599</v>
      </c>
    </row>
    <row r="4320" spans="1:2" x14ac:dyDescent="0.25">
      <c r="A4320" t="s">
        <v>4346</v>
      </c>
      <c r="B4320" t="s">
        <v>11600</v>
      </c>
    </row>
    <row r="4321" spans="1:2" x14ac:dyDescent="0.25">
      <c r="A4321" t="s">
        <v>4347</v>
      </c>
      <c r="B4321" t="s">
        <v>11601</v>
      </c>
    </row>
    <row r="4322" spans="1:2" x14ac:dyDescent="0.25">
      <c r="A4322" t="s">
        <v>4348</v>
      </c>
      <c r="B4322" t="s">
        <v>11602</v>
      </c>
    </row>
    <row r="4323" spans="1:2" x14ac:dyDescent="0.25">
      <c r="A4323" t="s">
        <v>4349</v>
      </c>
      <c r="B4323" t="s">
        <v>11603</v>
      </c>
    </row>
    <row r="4324" spans="1:2" x14ac:dyDescent="0.25">
      <c r="A4324" t="s">
        <v>4350</v>
      </c>
      <c r="B4324" t="s">
        <v>11604</v>
      </c>
    </row>
    <row r="4325" spans="1:2" x14ac:dyDescent="0.25">
      <c r="A4325" t="s">
        <v>4351</v>
      </c>
      <c r="B4325" t="s">
        <v>11605</v>
      </c>
    </row>
    <row r="4326" spans="1:2" x14ac:dyDescent="0.25">
      <c r="A4326" t="s">
        <v>4352</v>
      </c>
      <c r="B4326" t="s">
        <v>11606</v>
      </c>
    </row>
    <row r="4327" spans="1:2" x14ac:dyDescent="0.25">
      <c r="A4327" t="s">
        <v>4353</v>
      </c>
      <c r="B4327" t="s">
        <v>11607</v>
      </c>
    </row>
    <row r="4328" spans="1:2" x14ac:dyDescent="0.25">
      <c r="A4328" t="s">
        <v>4354</v>
      </c>
      <c r="B4328" t="s">
        <v>11608</v>
      </c>
    </row>
    <row r="4329" spans="1:2" x14ac:dyDescent="0.25">
      <c r="A4329" t="s">
        <v>4355</v>
      </c>
      <c r="B4329" t="s">
        <v>11609</v>
      </c>
    </row>
    <row r="4330" spans="1:2" x14ac:dyDescent="0.25">
      <c r="A4330" t="s">
        <v>4356</v>
      </c>
      <c r="B4330" t="s">
        <v>11610</v>
      </c>
    </row>
    <row r="4331" spans="1:2" x14ac:dyDescent="0.25">
      <c r="A4331" t="s">
        <v>4357</v>
      </c>
      <c r="B4331" t="s">
        <v>11611</v>
      </c>
    </row>
    <row r="4332" spans="1:2" x14ac:dyDescent="0.25">
      <c r="A4332" t="s">
        <v>4358</v>
      </c>
      <c r="B4332" t="s">
        <v>11612</v>
      </c>
    </row>
    <row r="4333" spans="1:2" x14ac:dyDescent="0.25">
      <c r="A4333" t="s">
        <v>4359</v>
      </c>
      <c r="B4333" t="s">
        <v>11613</v>
      </c>
    </row>
    <row r="4334" spans="1:2" x14ac:dyDescent="0.25">
      <c r="A4334" t="s">
        <v>4360</v>
      </c>
      <c r="B4334" t="s">
        <v>11614</v>
      </c>
    </row>
    <row r="4335" spans="1:2" x14ac:dyDescent="0.25">
      <c r="A4335" t="s">
        <v>4361</v>
      </c>
      <c r="B4335" t="s">
        <v>11615</v>
      </c>
    </row>
    <row r="4336" spans="1:2" x14ac:dyDescent="0.25">
      <c r="A4336" t="s">
        <v>4362</v>
      </c>
      <c r="B4336" t="s">
        <v>11616</v>
      </c>
    </row>
    <row r="4337" spans="1:2" x14ac:dyDescent="0.25">
      <c r="A4337" t="s">
        <v>4363</v>
      </c>
      <c r="B4337" t="s">
        <v>11617</v>
      </c>
    </row>
    <row r="4338" spans="1:2" x14ac:dyDescent="0.25">
      <c r="A4338" t="s">
        <v>4364</v>
      </c>
      <c r="B4338" t="s">
        <v>11618</v>
      </c>
    </row>
    <row r="4339" spans="1:2" x14ac:dyDescent="0.25">
      <c r="A4339" t="s">
        <v>4365</v>
      </c>
      <c r="B4339" t="s">
        <v>11619</v>
      </c>
    </row>
    <row r="4340" spans="1:2" x14ac:dyDescent="0.25">
      <c r="A4340" t="s">
        <v>4366</v>
      </c>
      <c r="B4340" t="s">
        <v>11620</v>
      </c>
    </row>
    <row r="4341" spans="1:2" x14ac:dyDescent="0.25">
      <c r="A4341" t="s">
        <v>4367</v>
      </c>
      <c r="B4341" t="s">
        <v>11621</v>
      </c>
    </row>
    <row r="4342" spans="1:2" x14ac:dyDescent="0.25">
      <c r="A4342" t="s">
        <v>4368</v>
      </c>
      <c r="B4342" t="s">
        <v>11622</v>
      </c>
    </row>
    <row r="4343" spans="1:2" x14ac:dyDescent="0.25">
      <c r="A4343" t="s">
        <v>4369</v>
      </c>
      <c r="B4343" t="s">
        <v>11623</v>
      </c>
    </row>
    <row r="4344" spans="1:2" x14ac:dyDescent="0.25">
      <c r="A4344" t="s">
        <v>4370</v>
      </c>
      <c r="B4344" t="s">
        <v>11624</v>
      </c>
    </row>
    <row r="4345" spans="1:2" x14ac:dyDescent="0.25">
      <c r="A4345" t="s">
        <v>4371</v>
      </c>
      <c r="B4345" t="s">
        <v>11625</v>
      </c>
    </row>
    <row r="4346" spans="1:2" x14ac:dyDescent="0.25">
      <c r="A4346" t="s">
        <v>4372</v>
      </c>
      <c r="B4346" t="s">
        <v>11626</v>
      </c>
    </row>
    <row r="4347" spans="1:2" x14ac:dyDescent="0.25">
      <c r="A4347" t="s">
        <v>4373</v>
      </c>
      <c r="B4347" t="s">
        <v>11627</v>
      </c>
    </row>
    <row r="4348" spans="1:2" x14ac:dyDescent="0.25">
      <c r="A4348" t="s">
        <v>4374</v>
      </c>
      <c r="B4348" t="s">
        <v>11628</v>
      </c>
    </row>
    <row r="4349" spans="1:2" x14ac:dyDescent="0.25">
      <c r="A4349" t="s">
        <v>4375</v>
      </c>
      <c r="B4349" t="s">
        <v>11629</v>
      </c>
    </row>
    <row r="4350" spans="1:2" x14ac:dyDescent="0.25">
      <c r="A4350" t="s">
        <v>4376</v>
      </c>
      <c r="B4350" t="s">
        <v>11630</v>
      </c>
    </row>
    <row r="4351" spans="1:2" x14ac:dyDescent="0.25">
      <c r="A4351" t="s">
        <v>4377</v>
      </c>
      <c r="B4351" t="s">
        <v>11631</v>
      </c>
    </row>
    <row r="4352" spans="1:2" x14ac:dyDescent="0.25">
      <c r="A4352" t="s">
        <v>4378</v>
      </c>
      <c r="B4352" t="s">
        <v>11632</v>
      </c>
    </row>
    <row r="4353" spans="1:2" x14ac:dyDescent="0.25">
      <c r="A4353" t="s">
        <v>4379</v>
      </c>
      <c r="B4353" t="s">
        <v>11633</v>
      </c>
    </row>
    <row r="4354" spans="1:2" x14ac:dyDescent="0.25">
      <c r="A4354" t="s">
        <v>4380</v>
      </c>
      <c r="B4354" t="s">
        <v>11634</v>
      </c>
    </row>
    <row r="4355" spans="1:2" x14ac:dyDescent="0.25">
      <c r="A4355" t="s">
        <v>4381</v>
      </c>
      <c r="B4355" t="s">
        <v>11635</v>
      </c>
    </row>
    <row r="4356" spans="1:2" x14ac:dyDescent="0.25">
      <c r="A4356" t="s">
        <v>4382</v>
      </c>
      <c r="B4356" t="s">
        <v>11636</v>
      </c>
    </row>
    <row r="4357" spans="1:2" x14ac:dyDescent="0.25">
      <c r="A4357" t="s">
        <v>4383</v>
      </c>
      <c r="B4357" t="s">
        <v>11637</v>
      </c>
    </row>
    <row r="4358" spans="1:2" x14ac:dyDescent="0.25">
      <c r="A4358" t="s">
        <v>4384</v>
      </c>
      <c r="B4358" t="s">
        <v>11638</v>
      </c>
    </row>
    <row r="4359" spans="1:2" x14ac:dyDescent="0.25">
      <c r="A4359" t="s">
        <v>4385</v>
      </c>
      <c r="B4359" t="s">
        <v>11639</v>
      </c>
    </row>
    <row r="4360" spans="1:2" x14ac:dyDescent="0.25">
      <c r="A4360" t="s">
        <v>4386</v>
      </c>
      <c r="B4360" t="s">
        <v>11640</v>
      </c>
    </row>
    <row r="4361" spans="1:2" x14ac:dyDescent="0.25">
      <c r="A4361" t="s">
        <v>4387</v>
      </c>
      <c r="B4361" t="s">
        <v>11641</v>
      </c>
    </row>
    <row r="4362" spans="1:2" x14ac:dyDescent="0.25">
      <c r="A4362" t="s">
        <v>4388</v>
      </c>
      <c r="B4362" t="s">
        <v>11642</v>
      </c>
    </row>
    <row r="4363" spans="1:2" x14ac:dyDescent="0.25">
      <c r="A4363" t="s">
        <v>4389</v>
      </c>
      <c r="B4363" t="s">
        <v>11643</v>
      </c>
    </row>
    <row r="4364" spans="1:2" x14ac:dyDescent="0.25">
      <c r="A4364" t="s">
        <v>4390</v>
      </c>
      <c r="B4364" t="s">
        <v>11644</v>
      </c>
    </row>
    <row r="4365" spans="1:2" x14ac:dyDescent="0.25">
      <c r="A4365" t="s">
        <v>4391</v>
      </c>
      <c r="B4365" t="s">
        <v>11645</v>
      </c>
    </row>
    <row r="4366" spans="1:2" x14ac:dyDescent="0.25">
      <c r="A4366" t="s">
        <v>4392</v>
      </c>
      <c r="B4366" t="s">
        <v>11646</v>
      </c>
    </row>
    <row r="4367" spans="1:2" x14ac:dyDescent="0.25">
      <c r="A4367" t="s">
        <v>4393</v>
      </c>
      <c r="B4367" t="s">
        <v>11647</v>
      </c>
    </row>
    <row r="4368" spans="1:2" x14ac:dyDescent="0.25">
      <c r="A4368" t="s">
        <v>4394</v>
      </c>
      <c r="B4368" t="s">
        <v>11648</v>
      </c>
    </row>
    <row r="4369" spans="1:2" x14ac:dyDescent="0.25">
      <c r="A4369" t="s">
        <v>4395</v>
      </c>
      <c r="B4369" t="s">
        <v>11649</v>
      </c>
    </row>
    <row r="4370" spans="1:2" x14ac:dyDescent="0.25">
      <c r="A4370" t="s">
        <v>4396</v>
      </c>
      <c r="B4370" t="s">
        <v>11650</v>
      </c>
    </row>
    <row r="4371" spans="1:2" x14ac:dyDescent="0.25">
      <c r="A4371" t="s">
        <v>4397</v>
      </c>
      <c r="B4371" t="s">
        <v>11651</v>
      </c>
    </row>
    <row r="4372" spans="1:2" x14ac:dyDescent="0.25">
      <c r="A4372" t="s">
        <v>4398</v>
      </c>
      <c r="B4372" t="s">
        <v>11652</v>
      </c>
    </row>
    <row r="4373" spans="1:2" x14ac:dyDescent="0.25">
      <c r="A4373" t="s">
        <v>4399</v>
      </c>
      <c r="B4373" t="s">
        <v>11653</v>
      </c>
    </row>
    <row r="4374" spans="1:2" x14ac:dyDescent="0.25">
      <c r="A4374" t="s">
        <v>4400</v>
      </c>
      <c r="B4374" t="s">
        <v>11654</v>
      </c>
    </row>
    <row r="4375" spans="1:2" x14ac:dyDescent="0.25">
      <c r="A4375" t="s">
        <v>4401</v>
      </c>
      <c r="B4375" t="s">
        <v>11655</v>
      </c>
    </row>
    <row r="4376" spans="1:2" x14ac:dyDescent="0.25">
      <c r="A4376" t="s">
        <v>4402</v>
      </c>
      <c r="B4376" t="s">
        <v>11656</v>
      </c>
    </row>
    <row r="4377" spans="1:2" x14ac:dyDescent="0.25">
      <c r="A4377" t="s">
        <v>4403</v>
      </c>
      <c r="B4377" t="s">
        <v>11657</v>
      </c>
    </row>
    <row r="4378" spans="1:2" x14ac:dyDescent="0.25">
      <c r="A4378" t="s">
        <v>4404</v>
      </c>
      <c r="B4378" t="s">
        <v>11658</v>
      </c>
    </row>
    <row r="4379" spans="1:2" x14ac:dyDescent="0.25">
      <c r="A4379" t="s">
        <v>4405</v>
      </c>
      <c r="B4379" t="s">
        <v>11659</v>
      </c>
    </row>
    <row r="4380" spans="1:2" x14ac:dyDescent="0.25">
      <c r="A4380" t="s">
        <v>4406</v>
      </c>
      <c r="B4380" t="s">
        <v>11660</v>
      </c>
    </row>
    <row r="4381" spans="1:2" x14ac:dyDescent="0.25">
      <c r="A4381" t="s">
        <v>4407</v>
      </c>
      <c r="B4381" t="s">
        <v>11661</v>
      </c>
    </row>
    <row r="4382" spans="1:2" x14ac:dyDescent="0.25">
      <c r="A4382" t="s">
        <v>4408</v>
      </c>
      <c r="B4382" t="s">
        <v>11662</v>
      </c>
    </row>
    <row r="4383" spans="1:2" x14ac:dyDescent="0.25">
      <c r="A4383" t="s">
        <v>4409</v>
      </c>
      <c r="B4383" t="s">
        <v>11663</v>
      </c>
    </row>
    <row r="4384" spans="1:2" x14ac:dyDescent="0.25">
      <c r="A4384" t="s">
        <v>4410</v>
      </c>
      <c r="B4384" t="s">
        <v>11664</v>
      </c>
    </row>
    <row r="4385" spans="1:2" x14ac:dyDescent="0.25">
      <c r="A4385" t="s">
        <v>4411</v>
      </c>
      <c r="B4385" t="s">
        <v>11665</v>
      </c>
    </row>
    <row r="4386" spans="1:2" x14ac:dyDescent="0.25">
      <c r="A4386" t="s">
        <v>4412</v>
      </c>
      <c r="B4386" t="s">
        <v>11666</v>
      </c>
    </row>
    <row r="4387" spans="1:2" x14ac:dyDescent="0.25">
      <c r="A4387" t="s">
        <v>4413</v>
      </c>
      <c r="B4387" t="s">
        <v>11667</v>
      </c>
    </row>
    <row r="4388" spans="1:2" x14ac:dyDescent="0.25">
      <c r="A4388" t="s">
        <v>4414</v>
      </c>
      <c r="B4388" t="s">
        <v>11668</v>
      </c>
    </row>
    <row r="4389" spans="1:2" x14ac:dyDescent="0.25">
      <c r="A4389" t="s">
        <v>4415</v>
      </c>
      <c r="B4389" t="s">
        <v>11669</v>
      </c>
    </row>
    <row r="4390" spans="1:2" x14ac:dyDescent="0.25">
      <c r="A4390" t="s">
        <v>4416</v>
      </c>
      <c r="B4390" t="s">
        <v>11670</v>
      </c>
    </row>
    <row r="4391" spans="1:2" x14ac:dyDescent="0.25">
      <c r="A4391" t="s">
        <v>4417</v>
      </c>
      <c r="B4391" t="s">
        <v>11671</v>
      </c>
    </row>
    <row r="4392" spans="1:2" x14ac:dyDescent="0.25">
      <c r="A4392" t="s">
        <v>4418</v>
      </c>
      <c r="B4392" t="s">
        <v>11672</v>
      </c>
    </row>
    <row r="4393" spans="1:2" x14ac:dyDescent="0.25">
      <c r="A4393" t="s">
        <v>4419</v>
      </c>
      <c r="B4393" t="s">
        <v>11673</v>
      </c>
    </row>
    <row r="4394" spans="1:2" x14ac:dyDescent="0.25">
      <c r="A4394" t="s">
        <v>4420</v>
      </c>
      <c r="B4394" t="s">
        <v>11674</v>
      </c>
    </row>
    <row r="4395" spans="1:2" x14ac:dyDescent="0.25">
      <c r="A4395" t="s">
        <v>4421</v>
      </c>
      <c r="B4395" t="s">
        <v>11675</v>
      </c>
    </row>
    <row r="4396" spans="1:2" x14ac:dyDescent="0.25">
      <c r="A4396" t="s">
        <v>4422</v>
      </c>
      <c r="B4396" t="s">
        <v>11676</v>
      </c>
    </row>
    <row r="4397" spans="1:2" x14ac:dyDescent="0.25">
      <c r="A4397" t="s">
        <v>4423</v>
      </c>
      <c r="B4397" t="s">
        <v>11677</v>
      </c>
    </row>
    <row r="4398" spans="1:2" x14ac:dyDescent="0.25">
      <c r="A4398" t="s">
        <v>4424</v>
      </c>
      <c r="B4398" t="s">
        <v>11678</v>
      </c>
    </row>
    <row r="4399" spans="1:2" x14ac:dyDescent="0.25">
      <c r="A4399" t="s">
        <v>4425</v>
      </c>
      <c r="B4399" t="s">
        <v>11679</v>
      </c>
    </row>
    <row r="4400" spans="1:2" x14ac:dyDescent="0.25">
      <c r="A4400" t="s">
        <v>4426</v>
      </c>
      <c r="B4400" t="s">
        <v>11680</v>
      </c>
    </row>
    <row r="4401" spans="1:2" x14ac:dyDescent="0.25">
      <c r="A4401" t="s">
        <v>4427</v>
      </c>
      <c r="B4401" t="s">
        <v>11681</v>
      </c>
    </row>
    <row r="4402" spans="1:2" x14ac:dyDescent="0.25">
      <c r="A4402" t="s">
        <v>4428</v>
      </c>
      <c r="B4402" t="s">
        <v>11682</v>
      </c>
    </row>
    <row r="4403" spans="1:2" x14ac:dyDescent="0.25">
      <c r="A4403" t="s">
        <v>4429</v>
      </c>
      <c r="B4403" t="s">
        <v>11683</v>
      </c>
    </row>
    <row r="4404" spans="1:2" x14ac:dyDescent="0.25">
      <c r="A4404" t="s">
        <v>4430</v>
      </c>
      <c r="B4404" t="s">
        <v>11684</v>
      </c>
    </row>
    <row r="4405" spans="1:2" x14ac:dyDescent="0.25">
      <c r="A4405" t="s">
        <v>4431</v>
      </c>
      <c r="B4405" t="s">
        <v>11685</v>
      </c>
    </row>
    <row r="4406" spans="1:2" x14ac:dyDescent="0.25">
      <c r="A4406" t="s">
        <v>4432</v>
      </c>
      <c r="B4406" t="s">
        <v>11686</v>
      </c>
    </row>
    <row r="4407" spans="1:2" x14ac:dyDescent="0.25">
      <c r="A4407" t="s">
        <v>4433</v>
      </c>
      <c r="B4407" t="s">
        <v>11687</v>
      </c>
    </row>
    <row r="4408" spans="1:2" x14ac:dyDescent="0.25">
      <c r="A4408" t="s">
        <v>4434</v>
      </c>
      <c r="B4408" t="s">
        <v>11688</v>
      </c>
    </row>
    <row r="4409" spans="1:2" x14ac:dyDescent="0.25">
      <c r="A4409" t="s">
        <v>4435</v>
      </c>
      <c r="B4409" t="s">
        <v>11689</v>
      </c>
    </row>
    <row r="4410" spans="1:2" x14ac:dyDescent="0.25">
      <c r="A4410" t="s">
        <v>4436</v>
      </c>
      <c r="B4410" t="s">
        <v>11690</v>
      </c>
    </row>
    <row r="4411" spans="1:2" x14ac:dyDescent="0.25">
      <c r="A4411" t="s">
        <v>4437</v>
      </c>
      <c r="B4411" t="s">
        <v>11691</v>
      </c>
    </row>
    <row r="4412" spans="1:2" x14ac:dyDescent="0.25">
      <c r="A4412" t="s">
        <v>4438</v>
      </c>
      <c r="B4412" t="s">
        <v>11692</v>
      </c>
    </row>
    <row r="4413" spans="1:2" x14ac:dyDescent="0.25">
      <c r="A4413" t="s">
        <v>4439</v>
      </c>
      <c r="B4413" t="s">
        <v>11693</v>
      </c>
    </row>
    <row r="4414" spans="1:2" x14ac:dyDescent="0.25">
      <c r="A4414" t="s">
        <v>4440</v>
      </c>
      <c r="B4414" t="s">
        <v>11694</v>
      </c>
    </row>
    <row r="4415" spans="1:2" x14ac:dyDescent="0.25">
      <c r="A4415" t="s">
        <v>4441</v>
      </c>
      <c r="B4415" t="s">
        <v>11695</v>
      </c>
    </row>
    <row r="4416" spans="1:2" x14ac:dyDescent="0.25">
      <c r="A4416" t="s">
        <v>4442</v>
      </c>
      <c r="B4416" t="s">
        <v>11696</v>
      </c>
    </row>
    <row r="4417" spans="1:2" x14ac:dyDescent="0.25">
      <c r="A4417" t="s">
        <v>4443</v>
      </c>
      <c r="B4417" t="s">
        <v>11697</v>
      </c>
    </row>
    <row r="4418" spans="1:2" x14ac:dyDescent="0.25">
      <c r="A4418" t="s">
        <v>4444</v>
      </c>
      <c r="B4418" t="s">
        <v>11698</v>
      </c>
    </row>
    <row r="4419" spans="1:2" x14ac:dyDescent="0.25">
      <c r="A4419" t="s">
        <v>4445</v>
      </c>
      <c r="B4419" t="s">
        <v>11699</v>
      </c>
    </row>
    <row r="4420" spans="1:2" x14ac:dyDescent="0.25">
      <c r="A4420" t="s">
        <v>4446</v>
      </c>
      <c r="B4420" t="s">
        <v>11700</v>
      </c>
    </row>
    <row r="4421" spans="1:2" x14ac:dyDescent="0.25">
      <c r="A4421" t="s">
        <v>4447</v>
      </c>
      <c r="B4421" t="s">
        <v>11701</v>
      </c>
    </row>
    <row r="4422" spans="1:2" x14ac:dyDescent="0.25">
      <c r="A4422" t="s">
        <v>4448</v>
      </c>
      <c r="B4422" t="s">
        <v>11702</v>
      </c>
    </row>
    <row r="4423" spans="1:2" x14ac:dyDescent="0.25">
      <c r="A4423" t="s">
        <v>4449</v>
      </c>
      <c r="B4423" t="s">
        <v>11703</v>
      </c>
    </row>
    <row r="4424" spans="1:2" x14ac:dyDescent="0.25">
      <c r="A4424" t="s">
        <v>4450</v>
      </c>
      <c r="B4424" t="s">
        <v>11704</v>
      </c>
    </row>
    <row r="4425" spans="1:2" x14ac:dyDescent="0.25">
      <c r="A4425" t="s">
        <v>4451</v>
      </c>
      <c r="B4425" t="s">
        <v>11705</v>
      </c>
    </row>
    <row r="4426" spans="1:2" x14ac:dyDescent="0.25">
      <c r="A4426" t="s">
        <v>4452</v>
      </c>
      <c r="B4426" t="s">
        <v>11706</v>
      </c>
    </row>
    <row r="4427" spans="1:2" x14ac:dyDescent="0.25">
      <c r="A4427" t="s">
        <v>4453</v>
      </c>
      <c r="B4427" t="s">
        <v>11707</v>
      </c>
    </row>
    <row r="4428" spans="1:2" x14ac:dyDescent="0.25">
      <c r="A4428" t="s">
        <v>4454</v>
      </c>
      <c r="B4428" t="s">
        <v>11708</v>
      </c>
    </row>
    <row r="4429" spans="1:2" x14ac:dyDescent="0.25">
      <c r="A4429" t="s">
        <v>4455</v>
      </c>
      <c r="B4429" t="s">
        <v>11709</v>
      </c>
    </row>
    <row r="4430" spans="1:2" x14ac:dyDescent="0.25">
      <c r="A4430" t="s">
        <v>4456</v>
      </c>
      <c r="B4430" t="s">
        <v>11710</v>
      </c>
    </row>
    <row r="4431" spans="1:2" x14ac:dyDescent="0.25">
      <c r="A4431" t="s">
        <v>4457</v>
      </c>
      <c r="B4431" t="s">
        <v>11711</v>
      </c>
    </row>
    <row r="4432" spans="1:2" x14ac:dyDescent="0.25">
      <c r="A4432" t="s">
        <v>4458</v>
      </c>
      <c r="B4432" t="s">
        <v>11712</v>
      </c>
    </row>
    <row r="4433" spans="1:2" x14ac:dyDescent="0.25">
      <c r="A4433" t="s">
        <v>4459</v>
      </c>
      <c r="B4433" t="s">
        <v>11713</v>
      </c>
    </row>
    <row r="4434" spans="1:2" x14ac:dyDescent="0.25">
      <c r="A4434" t="s">
        <v>4460</v>
      </c>
      <c r="B4434" t="s">
        <v>11714</v>
      </c>
    </row>
    <row r="4435" spans="1:2" x14ac:dyDescent="0.25">
      <c r="A4435" t="s">
        <v>4461</v>
      </c>
      <c r="B4435" t="s">
        <v>11715</v>
      </c>
    </row>
    <row r="4436" spans="1:2" x14ac:dyDescent="0.25">
      <c r="A4436" t="s">
        <v>4462</v>
      </c>
      <c r="B4436" t="s">
        <v>11716</v>
      </c>
    </row>
    <row r="4437" spans="1:2" x14ac:dyDescent="0.25">
      <c r="A4437" t="s">
        <v>4463</v>
      </c>
      <c r="B4437" t="s">
        <v>11717</v>
      </c>
    </row>
    <row r="4438" spans="1:2" x14ac:dyDescent="0.25">
      <c r="A4438" t="s">
        <v>4464</v>
      </c>
      <c r="B4438" t="s">
        <v>11718</v>
      </c>
    </row>
    <row r="4439" spans="1:2" x14ac:dyDescent="0.25">
      <c r="A4439" t="s">
        <v>4465</v>
      </c>
      <c r="B4439" t="s">
        <v>11719</v>
      </c>
    </row>
    <row r="4440" spans="1:2" x14ac:dyDescent="0.25">
      <c r="A4440" t="s">
        <v>4466</v>
      </c>
      <c r="B4440" t="s">
        <v>11720</v>
      </c>
    </row>
    <row r="4441" spans="1:2" x14ac:dyDescent="0.25">
      <c r="A4441" t="s">
        <v>4467</v>
      </c>
      <c r="B4441" t="s">
        <v>11721</v>
      </c>
    </row>
    <row r="4442" spans="1:2" x14ac:dyDescent="0.25">
      <c r="A4442" t="s">
        <v>4468</v>
      </c>
      <c r="B4442" t="s">
        <v>11722</v>
      </c>
    </row>
    <row r="4443" spans="1:2" x14ac:dyDescent="0.25">
      <c r="A4443" t="s">
        <v>4469</v>
      </c>
      <c r="B4443" t="s">
        <v>11723</v>
      </c>
    </row>
    <row r="4444" spans="1:2" x14ac:dyDescent="0.25">
      <c r="A4444" t="s">
        <v>4470</v>
      </c>
      <c r="B4444" t="s">
        <v>11724</v>
      </c>
    </row>
    <row r="4445" spans="1:2" x14ac:dyDescent="0.25">
      <c r="A4445" t="s">
        <v>4471</v>
      </c>
      <c r="B4445" t="s">
        <v>11725</v>
      </c>
    </row>
    <row r="4446" spans="1:2" x14ac:dyDescent="0.25">
      <c r="A4446" t="s">
        <v>4472</v>
      </c>
      <c r="B4446" t="s">
        <v>11726</v>
      </c>
    </row>
    <row r="4447" spans="1:2" x14ac:dyDescent="0.25">
      <c r="A4447" t="s">
        <v>4473</v>
      </c>
      <c r="B4447" t="s">
        <v>11727</v>
      </c>
    </row>
    <row r="4448" spans="1:2" x14ac:dyDescent="0.25">
      <c r="A4448" t="s">
        <v>4474</v>
      </c>
      <c r="B4448" t="s">
        <v>11728</v>
      </c>
    </row>
    <row r="4449" spans="1:2" x14ac:dyDescent="0.25">
      <c r="A4449" t="s">
        <v>4475</v>
      </c>
      <c r="B4449" t="s">
        <v>11729</v>
      </c>
    </row>
    <row r="4450" spans="1:2" x14ac:dyDescent="0.25">
      <c r="A4450" t="s">
        <v>4476</v>
      </c>
      <c r="B4450" t="s">
        <v>11730</v>
      </c>
    </row>
    <row r="4451" spans="1:2" x14ac:dyDescent="0.25">
      <c r="A4451" t="s">
        <v>4477</v>
      </c>
      <c r="B4451" t="s">
        <v>11731</v>
      </c>
    </row>
    <row r="4452" spans="1:2" x14ac:dyDescent="0.25">
      <c r="A4452" t="s">
        <v>4478</v>
      </c>
      <c r="B4452" t="s">
        <v>11732</v>
      </c>
    </row>
    <row r="4453" spans="1:2" x14ac:dyDescent="0.25">
      <c r="A4453" t="s">
        <v>4479</v>
      </c>
      <c r="B4453" t="s">
        <v>11733</v>
      </c>
    </row>
    <row r="4454" spans="1:2" x14ac:dyDescent="0.25">
      <c r="A4454" t="s">
        <v>4480</v>
      </c>
      <c r="B4454" t="s">
        <v>11734</v>
      </c>
    </row>
    <row r="4455" spans="1:2" x14ac:dyDescent="0.25">
      <c r="A4455" t="s">
        <v>4481</v>
      </c>
      <c r="B4455" t="s">
        <v>11735</v>
      </c>
    </row>
    <row r="4456" spans="1:2" x14ac:dyDescent="0.25">
      <c r="A4456" t="s">
        <v>4482</v>
      </c>
      <c r="B4456" t="s">
        <v>11736</v>
      </c>
    </row>
    <row r="4457" spans="1:2" x14ac:dyDescent="0.25">
      <c r="A4457" t="s">
        <v>4483</v>
      </c>
      <c r="B4457" t="s">
        <v>11737</v>
      </c>
    </row>
    <row r="4458" spans="1:2" x14ac:dyDescent="0.25">
      <c r="A4458" t="s">
        <v>4484</v>
      </c>
      <c r="B4458" t="s">
        <v>11738</v>
      </c>
    </row>
    <row r="4459" spans="1:2" x14ac:dyDescent="0.25">
      <c r="A4459" t="s">
        <v>4485</v>
      </c>
      <c r="B4459" t="s">
        <v>11739</v>
      </c>
    </row>
    <row r="4460" spans="1:2" x14ac:dyDescent="0.25">
      <c r="A4460" t="s">
        <v>4486</v>
      </c>
      <c r="B4460" t="s">
        <v>11740</v>
      </c>
    </row>
    <row r="4461" spans="1:2" x14ac:dyDescent="0.25">
      <c r="A4461" t="s">
        <v>4487</v>
      </c>
      <c r="B4461" t="s">
        <v>11741</v>
      </c>
    </row>
    <row r="4462" spans="1:2" x14ac:dyDescent="0.25">
      <c r="A4462" t="s">
        <v>4488</v>
      </c>
      <c r="B4462" t="s">
        <v>11742</v>
      </c>
    </row>
    <row r="4463" spans="1:2" x14ac:dyDescent="0.25">
      <c r="A4463" t="s">
        <v>4489</v>
      </c>
      <c r="B4463" t="s">
        <v>11743</v>
      </c>
    </row>
    <row r="4464" spans="1:2" x14ac:dyDescent="0.25">
      <c r="A4464" t="s">
        <v>4490</v>
      </c>
      <c r="B4464" t="s">
        <v>11744</v>
      </c>
    </row>
    <row r="4465" spans="1:2" x14ac:dyDescent="0.25">
      <c r="A4465" t="s">
        <v>4491</v>
      </c>
      <c r="B4465" t="s">
        <v>11745</v>
      </c>
    </row>
    <row r="4466" spans="1:2" x14ac:dyDescent="0.25">
      <c r="A4466" t="s">
        <v>4492</v>
      </c>
      <c r="B4466" t="s">
        <v>11746</v>
      </c>
    </row>
    <row r="4467" spans="1:2" x14ac:dyDescent="0.25">
      <c r="A4467" t="s">
        <v>4493</v>
      </c>
      <c r="B4467" t="s">
        <v>11747</v>
      </c>
    </row>
    <row r="4468" spans="1:2" x14ac:dyDescent="0.25">
      <c r="A4468" t="s">
        <v>4494</v>
      </c>
      <c r="B4468" t="s">
        <v>11748</v>
      </c>
    </row>
    <row r="4469" spans="1:2" x14ac:dyDescent="0.25">
      <c r="A4469" t="s">
        <v>4495</v>
      </c>
      <c r="B4469" t="s">
        <v>11749</v>
      </c>
    </row>
    <row r="4470" spans="1:2" x14ac:dyDescent="0.25">
      <c r="A4470" t="s">
        <v>4496</v>
      </c>
      <c r="B4470" t="s">
        <v>11750</v>
      </c>
    </row>
    <row r="4471" spans="1:2" x14ac:dyDescent="0.25">
      <c r="A4471" t="s">
        <v>4497</v>
      </c>
      <c r="B4471" t="s">
        <v>11751</v>
      </c>
    </row>
    <row r="4472" spans="1:2" x14ac:dyDescent="0.25">
      <c r="A4472" t="s">
        <v>4498</v>
      </c>
      <c r="B4472" t="s">
        <v>11752</v>
      </c>
    </row>
    <row r="4473" spans="1:2" x14ac:dyDescent="0.25">
      <c r="A4473" t="s">
        <v>4499</v>
      </c>
      <c r="B4473" t="s">
        <v>11753</v>
      </c>
    </row>
    <row r="4474" spans="1:2" x14ac:dyDescent="0.25">
      <c r="A4474" t="s">
        <v>4500</v>
      </c>
      <c r="B4474" t="s">
        <v>11754</v>
      </c>
    </row>
    <row r="4475" spans="1:2" x14ac:dyDescent="0.25">
      <c r="A4475" t="s">
        <v>4501</v>
      </c>
      <c r="B4475" t="s">
        <v>11755</v>
      </c>
    </row>
    <row r="4476" spans="1:2" x14ac:dyDescent="0.25">
      <c r="A4476" t="s">
        <v>4502</v>
      </c>
      <c r="B4476" t="s">
        <v>11756</v>
      </c>
    </row>
    <row r="4477" spans="1:2" x14ac:dyDescent="0.25">
      <c r="A4477" t="s">
        <v>4503</v>
      </c>
      <c r="B4477" t="s">
        <v>11757</v>
      </c>
    </row>
    <row r="4478" spans="1:2" x14ac:dyDescent="0.25">
      <c r="A4478" t="s">
        <v>4504</v>
      </c>
      <c r="B4478" t="s">
        <v>11758</v>
      </c>
    </row>
    <row r="4479" spans="1:2" x14ac:dyDescent="0.25">
      <c r="A4479" t="s">
        <v>4505</v>
      </c>
      <c r="B4479" t="s">
        <v>11759</v>
      </c>
    </row>
    <row r="4480" spans="1:2" x14ac:dyDescent="0.25">
      <c r="A4480" t="s">
        <v>4506</v>
      </c>
      <c r="B4480" t="s">
        <v>11760</v>
      </c>
    </row>
    <row r="4481" spans="1:2" x14ac:dyDescent="0.25">
      <c r="A4481" t="s">
        <v>4507</v>
      </c>
      <c r="B4481" t="s">
        <v>11761</v>
      </c>
    </row>
    <row r="4482" spans="1:2" x14ac:dyDescent="0.25">
      <c r="A4482" t="s">
        <v>4508</v>
      </c>
      <c r="B4482" t="s">
        <v>11762</v>
      </c>
    </row>
    <row r="4483" spans="1:2" x14ac:dyDescent="0.25">
      <c r="A4483" t="s">
        <v>4509</v>
      </c>
      <c r="B4483" t="s">
        <v>11763</v>
      </c>
    </row>
    <row r="4484" spans="1:2" x14ac:dyDescent="0.25">
      <c r="A4484" t="s">
        <v>4510</v>
      </c>
      <c r="B4484" t="s">
        <v>11764</v>
      </c>
    </row>
    <row r="4485" spans="1:2" x14ac:dyDescent="0.25">
      <c r="A4485" t="s">
        <v>4511</v>
      </c>
      <c r="B4485" t="s">
        <v>11765</v>
      </c>
    </row>
    <row r="4486" spans="1:2" x14ac:dyDescent="0.25">
      <c r="A4486" t="s">
        <v>4512</v>
      </c>
      <c r="B4486" t="s">
        <v>11766</v>
      </c>
    </row>
    <row r="4487" spans="1:2" x14ac:dyDescent="0.25">
      <c r="A4487" t="s">
        <v>4513</v>
      </c>
      <c r="B4487" t="s">
        <v>11767</v>
      </c>
    </row>
    <row r="4488" spans="1:2" x14ac:dyDescent="0.25">
      <c r="A4488" t="s">
        <v>4514</v>
      </c>
      <c r="B4488" t="s">
        <v>11768</v>
      </c>
    </row>
    <row r="4489" spans="1:2" x14ac:dyDescent="0.25">
      <c r="A4489" t="s">
        <v>4515</v>
      </c>
      <c r="B4489" t="s">
        <v>11769</v>
      </c>
    </row>
    <row r="4490" spans="1:2" x14ac:dyDescent="0.25">
      <c r="A4490" t="s">
        <v>4516</v>
      </c>
      <c r="B4490" t="s">
        <v>11770</v>
      </c>
    </row>
    <row r="4491" spans="1:2" x14ac:dyDescent="0.25">
      <c r="A4491" t="s">
        <v>4517</v>
      </c>
      <c r="B4491" t="s">
        <v>11771</v>
      </c>
    </row>
    <row r="4492" spans="1:2" x14ac:dyDescent="0.25">
      <c r="A4492" t="s">
        <v>4518</v>
      </c>
      <c r="B4492" t="s">
        <v>11772</v>
      </c>
    </row>
    <row r="4493" spans="1:2" x14ac:dyDescent="0.25">
      <c r="A4493" t="s">
        <v>4519</v>
      </c>
      <c r="B4493" t="s">
        <v>11773</v>
      </c>
    </row>
    <row r="4494" spans="1:2" x14ac:dyDescent="0.25">
      <c r="A4494" t="s">
        <v>4520</v>
      </c>
      <c r="B4494" t="s">
        <v>11774</v>
      </c>
    </row>
    <row r="4495" spans="1:2" x14ac:dyDescent="0.25">
      <c r="A4495" t="s">
        <v>4521</v>
      </c>
      <c r="B4495" t="s">
        <v>11775</v>
      </c>
    </row>
    <row r="4496" spans="1:2" x14ac:dyDescent="0.25">
      <c r="A4496" t="s">
        <v>4522</v>
      </c>
      <c r="B4496" t="s">
        <v>11776</v>
      </c>
    </row>
    <row r="4497" spans="1:2" x14ac:dyDescent="0.25">
      <c r="A4497" t="s">
        <v>4523</v>
      </c>
      <c r="B4497" t="s">
        <v>11777</v>
      </c>
    </row>
    <row r="4498" spans="1:2" x14ac:dyDescent="0.25">
      <c r="A4498" t="s">
        <v>4524</v>
      </c>
      <c r="B4498" t="s">
        <v>11778</v>
      </c>
    </row>
    <row r="4499" spans="1:2" x14ac:dyDescent="0.25">
      <c r="A4499" t="s">
        <v>4525</v>
      </c>
      <c r="B4499" t="s">
        <v>11779</v>
      </c>
    </row>
    <row r="4500" spans="1:2" x14ac:dyDescent="0.25">
      <c r="A4500" t="s">
        <v>4526</v>
      </c>
      <c r="B4500" t="s">
        <v>11780</v>
      </c>
    </row>
    <row r="4501" spans="1:2" x14ac:dyDescent="0.25">
      <c r="A4501" t="s">
        <v>4527</v>
      </c>
      <c r="B4501" t="s">
        <v>11781</v>
      </c>
    </row>
    <row r="4502" spans="1:2" x14ac:dyDescent="0.25">
      <c r="A4502" t="s">
        <v>4528</v>
      </c>
      <c r="B4502" t="s">
        <v>11782</v>
      </c>
    </row>
    <row r="4503" spans="1:2" x14ac:dyDescent="0.25">
      <c r="A4503" t="s">
        <v>4529</v>
      </c>
      <c r="B4503" t="s">
        <v>11783</v>
      </c>
    </row>
    <row r="4504" spans="1:2" x14ac:dyDescent="0.25">
      <c r="A4504" t="s">
        <v>4530</v>
      </c>
      <c r="B4504" t="s">
        <v>11784</v>
      </c>
    </row>
    <row r="4505" spans="1:2" x14ac:dyDescent="0.25">
      <c r="A4505" t="s">
        <v>4531</v>
      </c>
      <c r="B4505" t="s">
        <v>11785</v>
      </c>
    </row>
    <row r="4506" spans="1:2" x14ac:dyDescent="0.25">
      <c r="A4506" t="s">
        <v>4532</v>
      </c>
      <c r="B4506" t="s">
        <v>11786</v>
      </c>
    </row>
    <row r="4507" spans="1:2" x14ac:dyDescent="0.25">
      <c r="A4507" t="s">
        <v>4533</v>
      </c>
      <c r="B4507" t="s">
        <v>11787</v>
      </c>
    </row>
    <row r="4508" spans="1:2" x14ac:dyDescent="0.25">
      <c r="A4508" t="s">
        <v>4534</v>
      </c>
      <c r="B4508" t="s">
        <v>11788</v>
      </c>
    </row>
    <row r="4509" spans="1:2" x14ac:dyDescent="0.25">
      <c r="A4509" t="s">
        <v>4535</v>
      </c>
      <c r="B4509" t="s">
        <v>11789</v>
      </c>
    </row>
    <row r="4510" spans="1:2" x14ac:dyDescent="0.25">
      <c r="A4510" t="s">
        <v>4536</v>
      </c>
      <c r="B4510" t="s">
        <v>11790</v>
      </c>
    </row>
    <row r="4511" spans="1:2" x14ac:dyDescent="0.25">
      <c r="A4511" t="s">
        <v>4537</v>
      </c>
      <c r="B4511" t="s">
        <v>11791</v>
      </c>
    </row>
    <row r="4512" spans="1:2" x14ac:dyDescent="0.25">
      <c r="A4512" t="s">
        <v>4538</v>
      </c>
      <c r="B4512" t="s">
        <v>11792</v>
      </c>
    </row>
    <row r="4513" spans="1:2" x14ac:dyDescent="0.25">
      <c r="A4513" t="s">
        <v>4539</v>
      </c>
      <c r="B4513" t="s">
        <v>11793</v>
      </c>
    </row>
    <row r="4514" spans="1:2" x14ac:dyDescent="0.25">
      <c r="A4514" t="s">
        <v>4540</v>
      </c>
      <c r="B4514" t="s">
        <v>11794</v>
      </c>
    </row>
    <row r="4515" spans="1:2" x14ac:dyDescent="0.25">
      <c r="A4515" t="s">
        <v>4541</v>
      </c>
      <c r="B4515" t="s">
        <v>11795</v>
      </c>
    </row>
    <row r="4516" spans="1:2" x14ac:dyDescent="0.25">
      <c r="A4516" t="s">
        <v>4542</v>
      </c>
      <c r="B4516" t="s">
        <v>11796</v>
      </c>
    </row>
    <row r="4517" spans="1:2" x14ac:dyDescent="0.25">
      <c r="A4517" t="s">
        <v>4543</v>
      </c>
      <c r="B4517" t="s">
        <v>11797</v>
      </c>
    </row>
    <row r="4518" spans="1:2" x14ac:dyDescent="0.25">
      <c r="A4518" t="s">
        <v>4544</v>
      </c>
      <c r="B4518" t="s">
        <v>11798</v>
      </c>
    </row>
    <row r="4519" spans="1:2" x14ac:dyDescent="0.25">
      <c r="A4519" t="s">
        <v>4545</v>
      </c>
      <c r="B4519" t="s">
        <v>11799</v>
      </c>
    </row>
    <row r="4520" spans="1:2" x14ac:dyDescent="0.25">
      <c r="A4520" t="s">
        <v>4546</v>
      </c>
      <c r="B4520" t="s">
        <v>11800</v>
      </c>
    </row>
    <row r="4521" spans="1:2" x14ac:dyDescent="0.25">
      <c r="A4521" t="s">
        <v>4547</v>
      </c>
      <c r="B4521" t="s">
        <v>11801</v>
      </c>
    </row>
    <row r="4522" spans="1:2" x14ac:dyDescent="0.25">
      <c r="A4522" t="s">
        <v>4548</v>
      </c>
      <c r="B4522" t="s">
        <v>11802</v>
      </c>
    </row>
    <row r="4523" spans="1:2" x14ac:dyDescent="0.25">
      <c r="A4523" t="s">
        <v>4549</v>
      </c>
      <c r="B4523" t="s">
        <v>11803</v>
      </c>
    </row>
    <row r="4524" spans="1:2" x14ac:dyDescent="0.25">
      <c r="A4524" t="s">
        <v>4550</v>
      </c>
      <c r="B4524" t="s">
        <v>11804</v>
      </c>
    </row>
    <row r="4525" spans="1:2" x14ac:dyDescent="0.25">
      <c r="A4525" t="s">
        <v>4551</v>
      </c>
      <c r="B4525" t="s">
        <v>11805</v>
      </c>
    </row>
    <row r="4526" spans="1:2" x14ac:dyDescent="0.25">
      <c r="A4526" t="s">
        <v>4552</v>
      </c>
      <c r="B4526" t="s">
        <v>11806</v>
      </c>
    </row>
    <row r="4527" spans="1:2" x14ac:dyDescent="0.25">
      <c r="A4527" t="s">
        <v>4553</v>
      </c>
      <c r="B4527" t="s">
        <v>11807</v>
      </c>
    </row>
    <row r="4528" spans="1:2" x14ac:dyDescent="0.25">
      <c r="A4528" t="s">
        <v>4554</v>
      </c>
      <c r="B4528" t="s">
        <v>11808</v>
      </c>
    </row>
    <row r="4529" spans="1:2" x14ac:dyDescent="0.25">
      <c r="A4529" t="s">
        <v>4555</v>
      </c>
      <c r="B4529" t="s">
        <v>11809</v>
      </c>
    </row>
    <row r="4530" spans="1:2" x14ac:dyDescent="0.25">
      <c r="A4530" t="s">
        <v>4556</v>
      </c>
      <c r="B4530" t="s">
        <v>11810</v>
      </c>
    </row>
    <row r="4531" spans="1:2" x14ac:dyDescent="0.25">
      <c r="A4531" t="s">
        <v>4557</v>
      </c>
      <c r="B4531" t="s">
        <v>11811</v>
      </c>
    </row>
    <row r="4532" spans="1:2" x14ac:dyDescent="0.25">
      <c r="A4532" t="s">
        <v>4558</v>
      </c>
      <c r="B4532" t="s">
        <v>11812</v>
      </c>
    </row>
    <row r="4533" spans="1:2" x14ac:dyDescent="0.25">
      <c r="A4533" t="s">
        <v>4559</v>
      </c>
      <c r="B4533" t="s">
        <v>11813</v>
      </c>
    </row>
    <row r="4534" spans="1:2" x14ac:dyDescent="0.25">
      <c r="A4534" t="s">
        <v>4560</v>
      </c>
      <c r="B4534" t="s">
        <v>11814</v>
      </c>
    </row>
    <row r="4535" spans="1:2" x14ac:dyDescent="0.25">
      <c r="A4535" t="s">
        <v>4561</v>
      </c>
      <c r="B4535" t="s">
        <v>11815</v>
      </c>
    </row>
    <row r="4536" spans="1:2" x14ac:dyDescent="0.25">
      <c r="A4536" t="s">
        <v>4562</v>
      </c>
      <c r="B4536" t="s">
        <v>11816</v>
      </c>
    </row>
    <row r="4537" spans="1:2" x14ac:dyDescent="0.25">
      <c r="A4537" t="s">
        <v>4563</v>
      </c>
      <c r="B4537" t="s">
        <v>11817</v>
      </c>
    </row>
    <row r="4538" spans="1:2" x14ac:dyDescent="0.25">
      <c r="A4538" t="s">
        <v>4564</v>
      </c>
      <c r="B4538" t="s">
        <v>11818</v>
      </c>
    </row>
    <row r="4539" spans="1:2" x14ac:dyDescent="0.25">
      <c r="A4539" t="s">
        <v>4565</v>
      </c>
      <c r="B4539" t="s">
        <v>11819</v>
      </c>
    </row>
    <row r="4540" spans="1:2" x14ac:dyDescent="0.25">
      <c r="A4540" t="s">
        <v>4566</v>
      </c>
      <c r="B4540" t="s">
        <v>11820</v>
      </c>
    </row>
    <row r="4541" spans="1:2" x14ac:dyDescent="0.25">
      <c r="A4541" t="s">
        <v>4567</v>
      </c>
      <c r="B4541" t="s">
        <v>11821</v>
      </c>
    </row>
    <row r="4542" spans="1:2" x14ac:dyDescent="0.25">
      <c r="A4542" t="s">
        <v>4568</v>
      </c>
      <c r="B4542" t="s">
        <v>11822</v>
      </c>
    </row>
    <row r="4543" spans="1:2" x14ac:dyDescent="0.25">
      <c r="A4543" t="s">
        <v>4569</v>
      </c>
      <c r="B4543" t="s">
        <v>11823</v>
      </c>
    </row>
    <row r="4544" spans="1:2" x14ac:dyDescent="0.25">
      <c r="A4544" t="s">
        <v>4570</v>
      </c>
      <c r="B4544" t="s">
        <v>11824</v>
      </c>
    </row>
    <row r="4545" spans="1:2" x14ac:dyDescent="0.25">
      <c r="A4545" t="s">
        <v>4571</v>
      </c>
      <c r="B4545" t="s">
        <v>11825</v>
      </c>
    </row>
    <row r="4546" spans="1:2" x14ac:dyDescent="0.25">
      <c r="A4546" t="s">
        <v>4572</v>
      </c>
      <c r="B4546" t="s">
        <v>11826</v>
      </c>
    </row>
    <row r="4547" spans="1:2" x14ac:dyDescent="0.25">
      <c r="A4547" t="s">
        <v>4573</v>
      </c>
      <c r="B4547" t="s">
        <v>11827</v>
      </c>
    </row>
    <row r="4548" spans="1:2" x14ac:dyDescent="0.25">
      <c r="A4548" t="s">
        <v>4574</v>
      </c>
      <c r="B4548" t="s">
        <v>11828</v>
      </c>
    </row>
    <row r="4549" spans="1:2" x14ac:dyDescent="0.25">
      <c r="A4549" t="s">
        <v>4575</v>
      </c>
      <c r="B4549" t="s">
        <v>11829</v>
      </c>
    </row>
    <row r="4550" spans="1:2" x14ac:dyDescent="0.25">
      <c r="A4550" t="s">
        <v>4576</v>
      </c>
      <c r="B4550" t="s">
        <v>11830</v>
      </c>
    </row>
    <row r="4551" spans="1:2" x14ac:dyDescent="0.25">
      <c r="A4551" t="s">
        <v>4577</v>
      </c>
      <c r="B4551" t="s">
        <v>11831</v>
      </c>
    </row>
    <row r="4552" spans="1:2" x14ac:dyDescent="0.25">
      <c r="A4552" t="s">
        <v>4578</v>
      </c>
      <c r="B4552" t="s">
        <v>11832</v>
      </c>
    </row>
    <row r="4553" spans="1:2" x14ac:dyDescent="0.25">
      <c r="A4553" t="s">
        <v>4579</v>
      </c>
      <c r="B4553" t="s">
        <v>11833</v>
      </c>
    </row>
    <row r="4554" spans="1:2" x14ac:dyDescent="0.25">
      <c r="A4554" t="s">
        <v>4580</v>
      </c>
      <c r="B4554" t="s">
        <v>11834</v>
      </c>
    </row>
    <row r="4555" spans="1:2" x14ac:dyDescent="0.25">
      <c r="A4555" t="s">
        <v>4581</v>
      </c>
      <c r="B4555" t="s">
        <v>11835</v>
      </c>
    </row>
    <row r="4556" spans="1:2" x14ac:dyDescent="0.25">
      <c r="A4556" t="s">
        <v>4582</v>
      </c>
      <c r="B4556" t="s">
        <v>11836</v>
      </c>
    </row>
    <row r="4557" spans="1:2" x14ac:dyDescent="0.25">
      <c r="A4557" t="s">
        <v>4583</v>
      </c>
      <c r="B4557" t="s">
        <v>11837</v>
      </c>
    </row>
    <row r="4558" spans="1:2" x14ac:dyDescent="0.25">
      <c r="A4558" t="s">
        <v>4584</v>
      </c>
      <c r="B4558" t="s">
        <v>11838</v>
      </c>
    </row>
    <row r="4559" spans="1:2" x14ac:dyDescent="0.25">
      <c r="A4559" t="s">
        <v>4585</v>
      </c>
      <c r="B4559" t="s">
        <v>11839</v>
      </c>
    </row>
    <row r="4560" spans="1:2" x14ac:dyDescent="0.25">
      <c r="A4560" t="s">
        <v>4586</v>
      </c>
      <c r="B4560" t="s">
        <v>11840</v>
      </c>
    </row>
    <row r="4561" spans="1:2" x14ac:dyDescent="0.25">
      <c r="A4561" t="s">
        <v>4587</v>
      </c>
      <c r="B4561" t="s">
        <v>11841</v>
      </c>
    </row>
    <row r="4562" spans="1:2" x14ac:dyDescent="0.25">
      <c r="A4562" t="s">
        <v>4588</v>
      </c>
      <c r="B4562" t="s">
        <v>11842</v>
      </c>
    </row>
    <row r="4563" spans="1:2" x14ac:dyDescent="0.25">
      <c r="A4563" t="s">
        <v>4589</v>
      </c>
      <c r="B4563" t="s">
        <v>11843</v>
      </c>
    </row>
    <row r="4564" spans="1:2" x14ac:dyDescent="0.25">
      <c r="A4564" t="s">
        <v>4590</v>
      </c>
      <c r="B4564" t="s">
        <v>11844</v>
      </c>
    </row>
    <row r="4565" spans="1:2" x14ac:dyDescent="0.25">
      <c r="A4565" t="s">
        <v>4591</v>
      </c>
      <c r="B4565" t="s">
        <v>11845</v>
      </c>
    </row>
    <row r="4566" spans="1:2" x14ac:dyDescent="0.25">
      <c r="A4566" t="s">
        <v>4592</v>
      </c>
      <c r="B4566" t="s">
        <v>11846</v>
      </c>
    </row>
    <row r="4567" spans="1:2" x14ac:dyDescent="0.25">
      <c r="A4567" t="s">
        <v>4593</v>
      </c>
      <c r="B4567" t="s">
        <v>11847</v>
      </c>
    </row>
    <row r="4568" spans="1:2" x14ac:dyDescent="0.25">
      <c r="A4568" t="s">
        <v>4594</v>
      </c>
      <c r="B4568" t="s">
        <v>11848</v>
      </c>
    </row>
    <row r="4569" spans="1:2" x14ac:dyDescent="0.25">
      <c r="A4569" t="s">
        <v>4595</v>
      </c>
      <c r="B4569" t="s">
        <v>11849</v>
      </c>
    </row>
    <row r="4570" spans="1:2" x14ac:dyDescent="0.25">
      <c r="A4570" t="s">
        <v>4596</v>
      </c>
      <c r="B4570" t="s">
        <v>11850</v>
      </c>
    </row>
    <row r="4571" spans="1:2" x14ac:dyDescent="0.25">
      <c r="A4571" t="s">
        <v>4597</v>
      </c>
      <c r="B4571" t="s">
        <v>11851</v>
      </c>
    </row>
    <row r="4572" spans="1:2" x14ac:dyDescent="0.25">
      <c r="A4572" t="s">
        <v>4598</v>
      </c>
      <c r="B4572" t="s">
        <v>11852</v>
      </c>
    </row>
    <row r="4573" spans="1:2" x14ac:dyDescent="0.25">
      <c r="A4573" t="s">
        <v>4599</v>
      </c>
      <c r="B4573" t="s">
        <v>11853</v>
      </c>
    </row>
    <row r="4574" spans="1:2" x14ac:dyDescent="0.25">
      <c r="A4574" t="s">
        <v>4600</v>
      </c>
      <c r="B4574" t="s">
        <v>11854</v>
      </c>
    </row>
    <row r="4575" spans="1:2" x14ac:dyDescent="0.25">
      <c r="A4575" t="s">
        <v>4601</v>
      </c>
      <c r="B4575" t="s">
        <v>11855</v>
      </c>
    </row>
    <row r="4576" spans="1:2" x14ac:dyDescent="0.25">
      <c r="A4576" t="s">
        <v>4602</v>
      </c>
      <c r="B4576" t="s">
        <v>11856</v>
      </c>
    </row>
    <row r="4577" spans="1:2" x14ac:dyDescent="0.25">
      <c r="A4577" t="s">
        <v>4603</v>
      </c>
      <c r="B4577" t="s">
        <v>11857</v>
      </c>
    </row>
    <row r="4578" spans="1:2" x14ac:dyDescent="0.25">
      <c r="A4578" t="s">
        <v>4604</v>
      </c>
      <c r="B4578" t="s">
        <v>11858</v>
      </c>
    </row>
    <row r="4579" spans="1:2" x14ac:dyDescent="0.25">
      <c r="A4579" t="s">
        <v>4605</v>
      </c>
      <c r="B4579" t="s">
        <v>11859</v>
      </c>
    </row>
    <row r="4580" spans="1:2" x14ac:dyDescent="0.25">
      <c r="A4580" t="s">
        <v>4606</v>
      </c>
      <c r="B4580" t="s">
        <v>11860</v>
      </c>
    </row>
    <row r="4581" spans="1:2" x14ac:dyDescent="0.25">
      <c r="A4581" t="s">
        <v>4607</v>
      </c>
      <c r="B4581" t="s">
        <v>11861</v>
      </c>
    </row>
    <row r="4582" spans="1:2" x14ac:dyDescent="0.25">
      <c r="A4582" t="s">
        <v>4608</v>
      </c>
      <c r="B4582" t="s">
        <v>11862</v>
      </c>
    </row>
    <row r="4583" spans="1:2" x14ac:dyDescent="0.25">
      <c r="A4583" t="s">
        <v>4609</v>
      </c>
      <c r="B4583" t="s">
        <v>11863</v>
      </c>
    </row>
    <row r="4584" spans="1:2" x14ac:dyDescent="0.25">
      <c r="A4584" t="s">
        <v>4610</v>
      </c>
      <c r="B4584" t="s">
        <v>11864</v>
      </c>
    </row>
    <row r="4585" spans="1:2" x14ac:dyDescent="0.25">
      <c r="A4585" t="s">
        <v>4611</v>
      </c>
      <c r="B4585" t="s">
        <v>11865</v>
      </c>
    </row>
    <row r="4586" spans="1:2" x14ac:dyDescent="0.25">
      <c r="A4586" t="s">
        <v>4612</v>
      </c>
      <c r="B4586" t="s">
        <v>11866</v>
      </c>
    </row>
    <row r="4587" spans="1:2" x14ac:dyDescent="0.25">
      <c r="A4587" t="s">
        <v>4613</v>
      </c>
      <c r="B4587" t="s">
        <v>11867</v>
      </c>
    </row>
    <row r="4588" spans="1:2" x14ac:dyDescent="0.25">
      <c r="A4588" t="s">
        <v>4614</v>
      </c>
      <c r="B4588" t="s">
        <v>11868</v>
      </c>
    </row>
    <row r="4589" spans="1:2" x14ac:dyDescent="0.25">
      <c r="A4589" t="s">
        <v>4615</v>
      </c>
      <c r="B4589" t="s">
        <v>11869</v>
      </c>
    </row>
    <row r="4590" spans="1:2" x14ac:dyDescent="0.25">
      <c r="A4590" t="s">
        <v>4616</v>
      </c>
      <c r="B4590" t="s">
        <v>11870</v>
      </c>
    </row>
    <row r="4591" spans="1:2" x14ac:dyDescent="0.25">
      <c r="A4591" t="s">
        <v>4617</v>
      </c>
      <c r="B4591" t="s">
        <v>11871</v>
      </c>
    </row>
    <row r="4592" spans="1:2" x14ac:dyDescent="0.25">
      <c r="A4592" t="s">
        <v>4618</v>
      </c>
      <c r="B4592" t="s">
        <v>11872</v>
      </c>
    </row>
    <row r="4593" spans="1:2" x14ac:dyDescent="0.25">
      <c r="A4593" t="s">
        <v>4619</v>
      </c>
      <c r="B4593" t="s">
        <v>11873</v>
      </c>
    </row>
    <row r="4594" spans="1:2" x14ac:dyDescent="0.25">
      <c r="A4594" t="s">
        <v>4620</v>
      </c>
      <c r="B4594" t="s">
        <v>11874</v>
      </c>
    </row>
    <row r="4595" spans="1:2" x14ac:dyDescent="0.25">
      <c r="A4595" t="s">
        <v>4621</v>
      </c>
      <c r="B4595" t="s">
        <v>11875</v>
      </c>
    </row>
    <row r="4596" spans="1:2" x14ac:dyDescent="0.25">
      <c r="A4596" t="s">
        <v>4622</v>
      </c>
      <c r="B4596" t="s">
        <v>11876</v>
      </c>
    </row>
    <row r="4597" spans="1:2" x14ac:dyDescent="0.25">
      <c r="A4597" t="s">
        <v>4623</v>
      </c>
      <c r="B4597" t="s">
        <v>11877</v>
      </c>
    </row>
    <row r="4598" spans="1:2" x14ac:dyDescent="0.25">
      <c r="A4598" t="s">
        <v>4624</v>
      </c>
      <c r="B4598" t="s">
        <v>11878</v>
      </c>
    </row>
    <row r="4599" spans="1:2" x14ac:dyDescent="0.25">
      <c r="A4599" t="s">
        <v>4625</v>
      </c>
      <c r="B4599" t="s">
        <v>11879</v>
      </c>
    </row>
    <row r="4600" spans="1:2" x14ac:dyDescent="0.25">
      <c r="A4600" t="s">
        <v>4626</v>
      </c>
      <c r="B4600" t="s">
        <v>11880</v>
      </c>
    </row>
    <row r="4601" spans="1:2" x14ac:dyDescent="0.25">
      <c r="A4601" t="s">
        <v>4627</v>
      </c>
      <c r="B4601" t="s">
        <v>11881</v>
      </c>
    </row>
    <row r="4602" spans="1:2" x14ac:dyDescent="0.25">
      <c r="A4602" t="s">
        <v>4628</v>
      </c>
      <c r="B4602" t="s">
        <v>11882</v>
      </c>
    </row>
    <row r="4603" spans="1:2" x14ac:dyDescent="0.25">
      <c r="A4603" t="s">
        <v>4629</v>
      </c>
      <c r="B4603" t="s">
        <v>11883</v>
      </c>
    </row>
    <row r="4604" spans="1:2" x14ac:dyDescent="0.25">
      <c r="A4604" t="s">
        <v>4630</v>
      </c>
      <c r="B4604" t="s">
        <v>11884</v>
      </c>
    </row>
    <row r="4605" spans="1:2" x14ac:dyDescent="0.25">
      <c r="A4605" t="s">
        <v>4631</v>
      </c>
      <c r="B4605" t="s">
        <v>11885</v>
      </c>
    </row>
    <row r="4606" spans="1:2" x14ac:dyDescent="0.25">
      <c r="A4606" t="s">
        <v>4632</v>
      </c>
      <c r="B4606" t="s">
        <v>11886</v>
      </c>
    </row>
    <row r="4607" spans="1:2" x14ac:dyDescent="0.25">
      <c r="A4607" t="s">
        <v>4633</v>
      </c>
      <c r="B4607" t="s">
        <v>11887</v>
      </c>
    </row>
    <row r="4608" spans="1:2" x14ac:dyDescent="0.25">
      <c r="A4608" t="s">
        <v>4634</v>
      </c>
      <c r="B4608" t="s">
        <v>11888</v>
      </c>
    </row>
    <row r="4609" spans="1:2" x14ac:dyDescent="0.25">
      <c r="A4609" t="s">
        <v>4635</v>
      </c>
      <c r="B4609" t="s">
        <v>11889</v>
      </c>
    </row>
    <row r="4610" spans="1:2" x14ac:dyDescent="0.25">
      <c r="A4610" t="s">
        <v>4636</v>
      </c>
      <c r="B4610" t="s">
        <v>11890</v>
      </c>
    </row>
    <row r="4611" spans="1:2" x14ac:dyDescent="0.25">
      <c r="A4611" t="s">
        <v>4637</v>
      </c>
      <c r="B4611" t="s">
        <v>11891</v>
      </c>
    </row>
    <row r="4612" spans="1:2" x14ac:dyDescent="0.25">
      <c r="A4612" t="s">
        <v>4638</v>
      </c>
      <c r="B4612" t="s">
        <v>11892</v>
      </c>
    </row>
    <row r="4613" spans="1:2" x14ac:dyDescent="0.25">
      <c r="A4613" t="s">
        <v>4639</v>
      </c>
      <c r="B4613" t="s">
        <v>11893</v>
      </c>
    </row>
    <row r="4614" spans="1:2" x14ac:dyDescent="0.25">
      <c r="A4614" t="s">
        <v>4640</v>
      </c>
      <c r="B4614" t="s">
        <v>11894</v>
      </c>
    </row>
    <row r="4615" spans="1:2" x14ac:dyDescent="0.25">
      <c r="A4615" t="s">
        <v>4641</v>
      </c>
      <c r="B4615" t="s">
        <v>11895</v>
      </c>
    </row>
    <row r="4616" spans="1:2" x14ac:dyDescent="0.25">
      <c r="A4616" t="s">
        <v>4642</v>
      </c>
      <c r="B4616" t="s">
        <v>11896</v>
      </c>
    </row>
    <row r="4617" spans="1:2" x14ac:dyDescent="0.25">
      <c r="A4617" t="s">
        <v>4643</v>
      </c>
      <c r="B4617" t="s">
        <v>11897</v>
      </c>
    </row>
    <row r="4618" spans="1:2" x14ac:dyDescent="0.25">
      <c r="A4618" t="s">
        <v>4644</v>
      </c>
      <c r="B4618" t="s">
        <v>11898</v>
      </c>
    </row>
    <row r="4619" spans="1:2" x14ac:dyDescent="0.25">
      <c r="A4619" t="s">
        <v>4645</v>
      </c>
      <c r="B4619" t="s">
        <v>11899</v>
      </c>
    </row>
    <row r="4620" spans="1:2" x14ac:dyDescent="0.25">
      <c r="A4620" t="s">
        <v>4646</v>
      </c>
      <c r="B4620" t="s">
        <v>11900</v>
      </c>
    </row>
    <row r="4621" spans="1:2" x14ac:dyDescent="0.25">
      <c r="A4621" t="s">
        <v>4647</v>
      </c>
      <c r="B4621" t="s">
        <v>11901</v>
      </c>
    </row>
    <row r="4622" spans="1:2" x14ac:dyDescent="0.25">
      <c r="A4622" t="s">
        <v>4648</v>
      </c>
      <c r="B4622" t="s">
        <v>11902</v>
      </c>
    </row>
    <row r="4623" spans="1:2" x14ac:dyDescent="0.25">
      <c r="A4623" t="s">
        <v>4649</v>
      </c>
      <c r="B4623" t="s">
        <v>11903</v>
      </c>
    </row>
    <row r="4624" spans="1:2" x14ac:dyDescent="0.25">
      <c r="A4624" t="s">
        <v>4650</v>
      </c>
      <c r="B4624" t="s">
        <v>11904</v>
      </c>
    </row>
    <row r="4625" spans="1:2" x14ac:dyDescent="0.25">
      <c r="A4625" t="s">
        <v>4651</v>
      </c>
      <c r="B4625" t="s">
        <v>11905</v>
      </c>
    </row>
    <row r="4626" spans="1:2" x14ac:dyDescent="0.25">
      <c r="A4626" t="s">
        <v>4652</v>
      </c>
      <c r="B4626" t="s">
        <v>11906</v>
      </c>
    </row>
    <row r="4627" spans="1:2" x14ac:dyDescent="0.25">
      <c r="A4627" t="s">
        <v>4653</v>
      </c>
      <c r="B4627" t="s">
        <v>11907</v>
      </c>
    </row>
    <row r="4628" spans="1:2" x14ac:dyDescent="0.25">
      <c r="A4628" t="s">
        <v>4654</v>
      </c>
      <c r="B4628" t="s">
        <v>11908</v>
      </c>
    </row>
    <row r="4629" spans="1:2" x14ac:dyDescent="0.25">
      <c r="A4629" t="s">
        <v>4655</v>
      </c>
      <c r="B4629" t="s">
        <v>11909</v>
      </c>
    </row>
    <row r="4630" spans="1:2" x14ac:dyDescent="0.25">
      <c r="A4630" t="s">
        <v>4656</v>
      </c>
      <c r="B4630" t="s">
        <v>11910</v>
      </c>
    </row>
    <row r="4631" spans="1:2" x14ac:dyDescent="0.25">
      <c r="A4631" t="s">
        <v>4657</v>
      </c>
      <c r="B4631" t="s">
        <v>11911</v>
      </c>
    </row>
    <row r="4632" spans="1:2" x14ac:dyDescent="0.25">
      <c r="A4632" t="s">
        <v>4658</v>
      </c>
      <c r="B4632" t="s">
        <v>11912</v>
      </c>
    </row>
    <row r="4633" spans="1:2" x14ac:dyDescent="0.25">
      <c r="A4633" t="s">
        <v>4659</v>
      </c>
      <c r="B4633" t="s">
        <v>11913</v>
      </c>
    </row>
    <row r="4634" spans="1:2" x14ac:dyDescent="0.25">
      <c r="A4634" t="s">
        <v>4660</v>
      </c>
      <c r="B4634" t="s">
        <v>11914</v>
      </c>
    </row>
    <row r="4635" spans="1:2" x14ac:dyDescent="0.25">
      <c r="A4635" t="s">
        <v>4661</v>
      </c>
      <c r="B4635" t="s">
        <v>11915</v>
      </c>
    </row>
    <row r="4636" spans="1:2" x14ac:dyDescent="0.25">
      <c r="A4636" t="s">
        <v>4662</v>
      </c>
      <c r="B4636" t="s">
        <v>11916</v>
      </c>
    </row>
    <row r="4637" spans="1:2" x14ac:dyDescent="0.25">
      <c r="A4637" t="s">
        <v>4663</v>
      </c>
      <c r="B4637" t="s">
        <v>11917</v>
      </c>
    </row>
    <row r="4638" spans="1:2" x14ac:dyDescent="0.25">
      <c r="A4638" t="s">
        <v>4664</v>
      </c>
      <c r="B4638" t="s">
        <v>11918</v>
      </c>
    </row>
    <row r="4639" spans="1:2" x14ac:dyDescent="0.25">
      <c r="A4639" t="s">
        <v>4665</v>
      </c>
      <c r="B4639" t="s">
        <v>11919</v>
      </c>
    </row>
    <row r="4640" spans="1:2" x14ac:dyDescent="0.25">
      <c r="A4640" t="s">
        <v>4666</v>
      </c>
      <c r="B4640" t="s">
        <v>11920</v>
      </c>
    </row>
    <row r="4641" spans="1:2" x14ac:dyDescent="0.25">
      <c r="A4641" t="s">
        <v>4667</v>
      </c>
      <c r="B4641" t="s">
        <v>11921</v>
      </c>
    </row>
    <row r="4642" spans="1:2" x14ac:dyDescent="0.25">
      <c r="A4642" t="s">
        <v>4668</v>
      </c>
      <c r="B4642" t="s">
        <v>11922</v>
      </c>
    </row>
    <row r="4643" spans="1:2" x14ac:dyDescent="0.25">
      <c r="A4643" t="s">
        <v>4669</v>
      </c>
      <c r="B4643" t="s">
        <v>11923</v>
      </c>
    </row>
    <row r="4644" spans="1:2" x14ac:dyDescent="0.25">
      <c r="A4644" t="s">
        <v>4670</v>
      </c>
      <c r="B4644" t="s">
        <v>11924</v>
      </c>
    </row>
    <row r="4645" spans="1:2" x14ac:dyDescent="0.25">
      <c r="A4645" t="s">
        <v>4671</v>
      </c>
      <c r="B4645" t="s">
        <v>11925</v>
      </c>
    </row>
    <row r="4646" spans="1:2" x14ac:dyDescent="0.25">
      <c r="A4646" t="s">
        <v>4672</v>
      </c>
      <c r="B4646" t="s">
        <v>11926</v>
      </c>
    </row>
    <row r="4647" spans="1:2" x14ac:dyDescent="0.25">
      <c r="A4647" t="s">
        <v>4673</v>
      </c>
      <c r="B4647" t="s">
        <v>11927</v>
      </c>
    </row>
    <row r="4648" spans="1:2" x14ac:dyDescent="0.25">
      <c r="A4648" t="s">
        <v>4674</v>
      </c>
      <c r="B4648" t="s">
        <v>11928</v>
      </c>
    </row>
    <row r="4649" spans="1:2" x14ac:dyDescent="0.25">
      <c r="A4649" t="s">
        <v>4675</v>
      </c>
      <c r="B4649" t="s">
        <v>11929</v>
      </c>
    </row>
    <row r="4650" spans="1:2" x14ac:dyDescent="0.25">
      <c r="A4650" t="s">
        <v>4676</v>
      </c>
      <c r="B4650" t="s">
        <v>11930</v>
      </c>
    </row>
    <row r="4651" spans="1:2" x14ac:dyDescent="0.25">
      <c r="A4651" t="s">
        <v>4677</v>
      </c>
      <c r="B4651" t="s">
        <v>11931</v>
      </c>
    </row>
    <row r="4652" spans="1:2" x14ac:dyDescent="0.25">
      <c r="A4652" t="s">
        <v>4678</v>
      </c>
      <c r="B4652" t="s">
        <v>11932</v>
      </c>
    </row>
    <row r="4653" spans="1:2" x14ac:dyDescent="0.25">
      <c r="A4653" t="s">
        <v>4679</v>
      </c>
      <c r="B4653" t="s">
        <v>11933</v>
      </c>
    </row>
    <row r="4654" spans="1:2" x14ac:dyDescent="0.25">
      <c r="A4654" t="s">
        <v>4680</v>
      </c>
      <c r="B4654" t="s">
        <v>11934</v>
      </c>
    </row>
    <row r="4655" spans="1:2" x14ac:dyDescent="0.25">
      <c r="A4655" t="s">
        <v>4681</v>
      </c>
      <c r="B4655" t="s">
        <v>11935</v>
      </c>
    </row>
    <row r="4656" spans="1:2" x14ac:dyDescent="0.25">
      <c r="A4656" t="s">
        <v>4682</v>
      </c>
      <c r="B4656" t="s">
        <v>11936</v>
      </c>
    </row>
    <row r="4657" spans="1:2" x14ac:dyDescent="0.25">
      <c r="A4657" t="s">
        <v>4683</v>
      </c>
      <c r="B4657" t="s">
        <v>11937</v>
      </c>
    </row>
    <row r="4658" spans="1:2" x14ac:dyDescent="0.25">
      <c r="A4658" t="s">
        <v>4684</v>
      </c>
      <c r="B4658" t="s">
        <v>11938</v>
      </c>
    </row>
    <row r="4659" spans="1:2" x14ac:dyDescent="0.25">
      <c r="A4659" t="s">
        <v>4685</v>
      </c>
      <c r="B4659" t="s">
        <v>11939</v>
      </c>
    </row>
    <row r="4660" spans="1:2" x14ac:dyDescent="0.25">
      <c r="A4660" t="s">
        <v>4686</v>
      </c>
      <c r="B4660" t="s">
        <v>11940</v>
      </c>
    </row>
    <row r="4661" spans="1:2" x14ac:dyDescent="0.25">
      <c r="A4661" t="s">
        <v>4687</v>
      </c>
      <c r="B4661" t="s">
        <v>11941</v>
      </c>
    </row>
    <row r="4662" spans="1:2" x14ac:dyDescent="0.25">
      <c r="A4662" t="s">
        <v>4688</v>
      </c>
      <c r="B4662" t="s">
        <v>11942</v>
      </c>
    </row>
    <row r="4663" spans="1:2" x14ac:dyDescent="0.25">
      <c r="A4663" t="s">
        <v>4689</v>
      </c>
      <c r="B4663" t="s">
        <v>11943</v>
      </c>
    </row>
    <row r="4664" spans="1:2" x14ac:dyDescent="0.25">
      <c r="A4664" t="s">
        <v>4690</v>
      </c>
      <c r="B4664" t="s">
        <v>11944</v>
      </c>
    </row>
    <row r="4665" spans="1:2" x14ac:dyDescent="0.25">
      <c r="A4665" t="s">
        <v>4691</v>
      </c>
      <c r="B4665" t="s">
        <v>11945</v>
      </c>
    </row>
    <row r="4666" spans="1:2" x14ac:dyDescent="0.25">
      <c r="A4666" t="s">
        <v>4692</v>
      </c>
      <c r="B4666" t="s">
        <v>11946</v>
      </c>
    </row>
    <row r="4667" spans="1:2" x14ac:dyDescent="0.25">
      <c r="A4667" t="s">
        <v>4693</v>
      </c>
      <c r="B4667" t="s">
        <v>11947</v>
      </c>
    </row>
    <row r="4668" spans="1:2" x14ac:dyDescent="0.25">
      <c r="A4668" t="s">
        <v>4694</v>
      </c>
      <c r="B4668" t="s">
        <v>11948</v>
      </c>
    </row>
    <row r="4669" spans="1:2" x14ac:dyDescent="0.25">
      <c r="A4669" t="s">
        <v>4695</v>
      </c>
      <c r="B4669" t="s">
        <v>11949</v>
      </c>
    </row>
    <row r="4670" spans="1:2" x14ac:dyDescent="0.25">
      <c r="A4670" t="s">
        <v>4696</v>
      </c>
      <c r="B4670" t="s">
        <v>11950</v>
      </c>
    </row>
    <row r="4671" spans="1:2" x14ac:dyDescent="0.25">
      <c r="A4671" t="s">
        <v>4697</v>
      </c>
      <c r="B4671" t="s">
        <v>11951</v>
      </c>
    </row>
    <row r="4672" spans="1:2" x14ac:dyDescent="0.25">
      <c r="A4672" t="s">
        <v>4698</v>
      </c>
      <c r="B4672" t="s">
        <v>11952</v>
      </c>
    </row>
    <row r="4673" spans="1:2" x14ac:dyDescent="0.25">
      <c r="A4673" t="s">
        <v>4699</v>
      </c>
      <c r="B4673" t="s">
        <v>11953</v>
      </c>
    </row>
    <row r="4674" spans="1:2" x14ac:dyDescent="0.25">
      <c r="A4674" t="s">
        <v>4700</v>
      </c>
      <c r="B4674" t="s">
        <v>11954</v>
      </c>
    </row>
    <row r="4675" spans="1:2" x14ac:dyDescent="0.25">
      <c r="A4675" t="s">
        <v>4701</v>
      </c>
      <c r="B4675" t="s">
        <v>11955</v>
      </c>
    </row>
    <row r="4676" spans="1:2" x14ac:dyDescent="0.25">
      <c r="A4676" t="s">
        <v>4702</v>
      </c>
      <c r="B4676" t="s">
        <v>11956</v>
      </c>
    </row>
    <row r="4677" spans="1:2" x14ac:dyDescent="0.25">
      <c r="A4677" t="s">
        <v>4703</v>
      </c>
      <c r="B4677" t="s">
        <v>11957</v>
      </c>
    </row>
    <row r="4678" spans="1:2" x14ac:dyDescent="0.25">
      <c r="A4678" t="s">
        <v>4704</v>
      </c>
      <c r="B4678" t="s">
        <v>11958</v>
      </c>
    </row>
    <row r="4679" spans="1:2" x14ac:dyDescent="0.25">
      <c r="A4679" t="s">
        <v>4705</v>
      </c>
      <c r="B4679" t="s">
        <v>11959</v>
      </c>
    </row>
    <row r="4680" spans="1:2" x14ac:dyDescent="0.25">
      <c r="A4680" t="s">
        <v>4706</v>
      </c>
      <c r="B4680" t="s">
        <v>11960</v>
      </c>
    </row>
    <row r="4681" spans="1:2" x14ac:dyDescent="0.25">
      <c r="A4681" t="s">
        <v>4707</v>
      </c>
      <c r="B4681" t="s">
        <v>11961</v>
      </c>
    </row>
    <row r="4682" spans="1:2" x14ac:dyDescent="0.25">
      <c r="A4682" t="s">
        <v>4708</v>
      </c>
      <c r="B4682" t="s">
        <v>11962</v>
      </c>
    </row>
    <row r="4683" spans="1:2" x14ac:dyDescent="0.25">
      <c r="A4683" t="s">
        <v>4709</v>
      </c>
      <c r="B4683" t="s">
        <v>11963</v>
      </c>
    </row>
    <row r="4684" spans="1:2" x14ac:dyDescent="0.25">
      <c r="A4684" t="s">
        <v>4710</v>
      </c>
      <c r="B4684" t="s">
        <v>11964</v>
      </c>
    </row>
    <row r="4685" spans="1:2" x14ac:dyDescent="0.25">
      <c r="A4685" t="s">
        <v>4711</v>
      </c>
      <c r="B4685" t="s">
        <v>11965</v>
      </c>
    </row>
    <row r="4686" spans="1:2" x14ac:dyDescent="0.25">
      <c r="A4686" t="s">
        <v>4712</v>
      </c>
      <c r="B4686" t="s">
        <v>11966</v>
      </c>
    </row>
    <row r="4687" spans="1:2" x14ac:dyDescent="0.25">
      <c r="A4687" t="s">
        <v>4713</v>
      </c>
      <c r="B4687" t="s">
        <v>11967</v>
      </c>
    </row>
    <row r="4688" spans="1:2" x14ac:dyDescent="0.25">
      <c r="A4688" t="s">
        <v>4714</v>
      </c>
      <c r="B4688" t="s">
        <v>11968</v>
      </c>
    </row>
    <row r="4689" spans="1:2" x14ac:dyDescent="0.25">
      <c r="A4689" t="s">
        <v>4715</v>
      </c>
      <c r="B4689" t="s">
        <v>11969</v>
      </c>
    </row>
    <row r="4690" spans="1:2" x14ac:dyDescent="0.25">
      <c r="A4690" t="s">
        <v>4716</v>
      </c>
      <c r="B4690" t="s">
        <v>11970</v>
      </c>
    </row>
    <row r="4691" spans="1:2" x14ac:dyDescent="0.25">
      <c r="A4691" t="s">
        <v>4717</v>
      </c>
      <c r="B4691" t="s">
        <v>11971</v>
      </c>
    </row>
    <row r="4692" spans="1:2" x14ac:dyDescent="0.25">
      <c r="A4692" t="s">
        <v>4718</v>
      </c>
      <c r="B4692" t="s">
        <v>11972</v>
      </c>
    </row>
    <row r="4693" spans="1:2" x14ac:dyDescent="0.25">
      <c r="A4693" t="s">
        <v>4719</v>
      </c>
      <c r="B4693" t="s">
        <v>11973</v>
      </c>
    </row>
    <row r="4694" spans="1:2" x14ac:dyDescent="0.25">
      <c r="A4694" t="s">
        <v>4720</v>
      </c>
      <c r="B4694" t="s">
        <v>11974</v>
      </c>
    </row>
    <row r="4695" spans="1:2" x14ac:dyDescent="0.25">
      <c r="A4695" t="s">
        <v>4721</v>
      </c>
      <c r="B4695" t="s">
        <v>11975</v>
      </c>
    </row>
    <row r="4696" spans="1:2" x14ac:dyDescent="0.25">
      <c r="A4696" t="s">
        <v>4722</v>
      </c>
      <c r="B4696" t="s">
        <v>11976</v>
      </c>
    </row>
    <row r="4697" spans="1:2" x14ac:dyDescent="0.25">
      <c r="A4697" t="s">
        <v>4723</v>
      </c>
      <c r="B4697" t="s">
        <v>11977</v>
      </c>
    </row>
    <row r="4698" spans="1:2" x14ac:dyDescent="0.25">
      <c r="A4698" t="s">
        <v>4724</v>
      </c>
      <c r="B4698" t="s">
        <v>11978</v>
      </c>
    </row>
    <row r="4699" spans="1:2" x14ac:dyDescent="0.25">
      <c r="A4699" t="s">
        <v>4725</v>
      </c>
      <c r="B4699" t="s">
        <v>11979</v>
      </c>
    </row>
    <row r="4700" spans="1:2" x14ac:dyDescent="0.25">
      <c r="A4700" t="s">
        <v>4726</v>
      </c>
      <c r="B4700" t="s">
        <v>11980</v>
      </c>
    </row>
    <row r="4701" spans="1:2" x14ac:dyDescent="0.25">
      <c r="A4701" t="s">
        <v>4727</v>
      </c>
      <c r="B4701" t="s">
        <v>11981</v>
      </c>
    </row>
    <row r="4702" spans="1:2" x14ac:dyDescent="0.25">
      <c r="A4702" t="s">
        <v>4728</v>
      </c>
      <c r="B4702" t="s">
        <v>11982</v>
      </c>
    </row>
    <row r="4703" spans="1:2" x14ac:dyDescent="0.25">
      <c r="A4703" t="s">
        <v>4729</v>
      </c>
      <c r="B4703" t="s">
        <v>11983</v>
      </c>
    </row>
    <row r="4704" spans="1:2" x14ac:dyDescent="0.25">
      <c r="A4704" t="s">
        <v>4730</v>
      </c>
      <c r="B4704" t="s">
        <v>11984</v>
      </c>
    </row>
    <row r="4705" spans="1:2" x14ac:dyDescent="0.25">
      <c r="A4705" t="s">
        <v>4731</v>
      </c>
      <c r="B4705" t="s">
        <v>11985</v>
      </c>
    </row>
    <row r="4706" spans="1:2" x14ac:dyDescent="0.25">
      <c r="A4706" t="s">
        <v>4732</v>
      </c>
      <c r="B4706" t="s">
        <v>11986</v>
      </c>
    </row>
    <row r="4707" spans="1:2" x14ac:dyDescent="0.25">
      <c r="A4707" t="s">
        <v>4733</v>
      </c>
      <c r="B4707" t="s">
        <v>11987</v>
      </c>
    </row>
    <row r="4708" spans="1:2" x14ac:dyDescent="0.25">
      <c r="A4708" t="s">
        <v>4734</v>
      </c>
      <c r="B4708" t="s">
        <v>11988</v>
      </c>
    </row>
    <row r="4709" spans="1:2" x14ac:dyDescent="0.25">
      <c r="A4709" t="s">
        <v>4735</v>
      </c>
      <c r="B4709" t="s">
        <v>11989</v>
      </c>
    </row>
    <row r="4710" spans="1:2" x14ac:dyDescent="0.25">
      <c r="A4710" t="s">
        <v>4736</v>
      </c>
      <c r="B4710" t="s">
        <v>11990</v>
      </c>
    </row>
    <row r="4711" spans="1:2" x14ac:dyDescent="0.25">
      <c r="A4711" t="s">
        <v>4737</v>
      </c>
      <c r="B4711" t="s">
        <v>11991</v>
      </c>
    </row>
    <row r="4712" spans="1:2" x14ac:dyDescent="0.25">
      <c r="A4712" t="s">
        <v>4738</v>
      </c>
      <c r="B4712" t="s">
        <v>11992</v>
      </c>
    </row>
    <row r="4713" spans="1:2" x14ac:dyDescent="0.25">
      <c r="A4713" t="s">
        <v>4739</v>
      </c>
      <c r="B4713" t="s">
        <v>11993</v>
      </c>
    </row>
    <row r="4714" spans="1:2" x14ac:dyDescent="0.25">
      <c r="A4714" t="s">
        <v>4740</v>
      </c>
      <c r="B4714" t="s">
        <v>11994</v>
      </c>
    </row>
    <row r="4715" spans="1:2" x14ac:dyDescent="0.25">
      <c r="A4715" t="s">
        <v>4741</v>
      </c>
      <c r="B4715" t="s">
        <v>11995</v>
      </c>
    </row>
    <row r="4716" spans="1:2" x14ac:dyDescent="0.25">
      <c r="A4716" t="s">
        <v>4742</v>
      </c>
      <c r="B4716" t="s">
        <v>11996</v>
      </c>
    </row>
    <row r="4717" spans="1:2" x14ac:dyDescent="0.25">
      <c r="A4717" t="s">
        <v>4743</v>
      </c>
      <c r="B4717" t="s">
        <v>11997</v>
      </c>
    </row>
    <row r="4718" spans="1:2" x14ac:dyDescent="0.25">
      <c r="A4718" t="s">
        <v>4744</v>
      </c>
      <c r="B4718" t="s">
        <v>11998</v>
      </c>
    </row>
    <row r="4719" spans="1:2" x14ac:dyDescent="0.25">
      <c r="A4719" t="s">
        <v>4745</v>
      </c>
      <c r="B4719" t="s">
        <v>11999</v>
      </c>
    </row>
    <row r="4720" spans="1:2" x14ac:dyDescent="0.25">
      <c r="A4720" t="s">
        <v>4746</v>
      </c>
      <c r="B4720" t="s">
        <v>12000</v>
      </c>
    </row>
    <row r="4721" spans="1:2" x14ac:dyDescent="0.25">
      <c r="A4721" t="s">
        <v>4747</v>
      </c>
      <c r="B4721" t="s">
        <v>12001</v>
      </c>
    </row>
    <row r="4722" spans="1:2" x14ac:dyDescent="0.25">
      <c r="A4722" t="s">
        <v>4748</v>
      </c>
      <c r="B4722" t="s">
        <v>12002</v>
      </c>
    </row>
    <row r="4723" spans="1:2" x14ac:dyDescent="0.25">
      <c r="A4723" t="s">
        <v>4749</v>
      </c>
      <c r="B4723" t="s">
        <v>12003</v>
      </c>
    </row>
    <row r="4724" spans="1:2" x14ac:dyDescent="0.25">
      <c r="A4724" t="s">
        <v>4750</v>
      </c>
      <c r="B4724" t="s">
        <v>12004</v>
      </c>
    </row>
    <row r="4725" spans="1:2" x14ac:dyDescent="0.25">
      <c r="A4725" t="s">
        <v>4751</v>
      </c>
      <c r="B4725" t="s">
        <v>12005</v>
      </c>
    </row>
    <row r="4726" spans="1:2" x14ac:dyDescent="0.25">
      <c r="A4726" t="s">
        <v>4752</v>
      </c>
      <c r="B4726" t="s">
        <v>12006</v>
      </c>
    </row>
    <row r="4727" spans="1:2" x14ac:dyDescent="0.25">
      <c r="A4727" t="s">
        <v>4753</v>
      </c>
      <c r="B4727" t="s">
        <v>12007</v>
      </c>
    </row>
    <row r="4728" spans="1:2" x14ac:dyDescent="0.25">
      <c r="A4728" t="s">
        <v>4754</v>
      </c>
      <c r="B4728" t="s">
        <v>12008</v>
      </c>
    </row>
    <row r="4729" spans="1:2" x14ac:dyDescent="0.25">
      <c r="A4729" t="s">
        <v>4755</v>
      </c>
      <c r="B4729" t="s">
        <v>12009</v>
      </c>
    </row>
    <row r="4730" spans="1:2" x14ac:dyDescent="0.25">
      <c r="A4730" t="s">
        <v>4756</v>
      </c>
      <c r="B4730" t="s">
        <v>12010</v>
      </c>
    </row>
    <row r="4731" spans="1:2" x14ac:dyDescent="0.25">
      <c r="A4731" t="s">
        <v>4757</v>
      </c>
      <c r="B4731" t="s">
        <v>12011</v>
      </c>
    </row>
    <row r="4732" spans="1:2" x14ac:dyDescent="0.25">
      <c r="A4732" t="s">
        <v>4758</v>
      </c>
      <c r="B4732" t="s">
        <v>12012</v>
      </c>
    </row>
    <row r="4733" spans="1:2" x14ac:dyDescent="0.25">
      <c r="A4733" t="s">
        <v>4759</v>
      </c>
      <c r="B4733" t="s">
        <v>12013</v>
      </c>
    </row>
    <row r="4734" spans="1:2" x14ac:dyDescent="0.25">
      <c r="A4734" t="s">
        <v>4760</v>
      </c>
      <c r="B4734" t="s">
        <v>12014</v>
      </c>
    </row>
    <row r="4735" spans="1:2" x14ac:dyDescent="0.25">
      <c r="A4735" t="s">
        <v>4761</v>
      </c>
      <c r="B4735" t="s">
        <v>12015</v>
      </c>
    </row>
    <row r="4736" spans="1:2" x14ac:dyDescent="0.25">
      <c r="A4736" t="s">
        <v>4762</v>
      </c>
      <c r="B4736" t="s">
        <v>12016</v>
      </c>
    </row>
    <row r="4737" spans="1:2" x14ac:dyDescent="0.25">
      <c r="A4737" t="s">
        <v>4763</v>
      </c>
      <c r="B4737" t="s">
        <v>12017</v>
      </c>
    </row>
    <row r="4738" spans="1:2" x14ac:dyDescent="0.25">
      <c r="A4738" t="s">
        <v>4764</v>
      </c>
      <c r="B4738" t="s">
        <v>12018</v>
      </c>
    </row>
    <row r="4739" spans="1:2" x14ac:dyDescent="0.25">
      <c r="A4739" t="s">
        <v>4765</v>
      </c>
      <c r="B4739" t="s">
        <v>12019</v>
      </c>
    </row>
    <row r="4740" spans="1:2" x14ac:dyDescent="0.25">
      <c r="A4740" t="s">
        <v>4766</v>
      </c>
      <c r="B4740" t="s">
        <v>12020</v>
      </c>
    </row>
    <row r="4741" spans="1:2" x14ac:dyDescent="0.25">
      <c r="A4741" t="s">
        <v>4767</v>
      </c>
      <c r="B4741" t="s">
        <v>12021</v>
      </c>
    </row>
    <row r="4742" spans="1:2" x14ac:dyDescent="0.25">
      <c r="A4742" t="s">
        <v>4768</v>
      </c>
      <c r="B4742" t="s">
        <v>12022</v>
      </c>
    </row>
    <row r="4743" spans="1:2" x14ac:dyDescent="0.25">
      <c r="A4743" t="s">
        <v>4769</v>
      </c>
      <c r="B4743" t="s">
        <v>12023</v>
      </c>
    </row>
    <row r="4744" spans="1:2" x14ac:dyDescent="0.25">
      <c r="A4744" t="s">
        <v>4770</v>
      </c>
      <c r="B4744" t="s">
        <v>12024</v>
      </c>
    </row>
    <row r="4745" spans="1:2" x14ac:dyDescent="0.25">
      <c r="A4745" t="s">
        <v>4771</v>
      </c>
      <c r="B4745" t="s">
        <v>12025</v>
      </c>
    </row>
    <row r="4746" spans="1:2" x14ac:dyDescent="0.25">
      <c r="A4746" t="s">
        <v>4772</v>
      </c>
      <c r="B4746" t="s">
        <v>12026</v>
      </c>
    </row>
    <row r="4747" spans="1:2" x14ac:dyDescent="0.25">
      <c r="A4747" t="s">
        <v>4773</v>
      </c>
      <c r="B4747" t="s">
        <v>12027</v>
      </c>
    </row>
    <row r="4748" spans="1:2" x14ac:dyDescent="0.25">
      <c r="A4748" t="s">
        <v>4774</v>
      </c>
      <c r="B4748" t="s">
        <v>12028</v>
      </c>
    </row>
    <row r="4749" spans="1:2" x14ac:dyDescent="0.25">
      <c r="A4749" t="s">
        <v>4775</v>
      </c>
      <c r="B4749" t="s">
        <v>12029</v>
      </c>
    </row>
    <row r="4750" spans="1:2" x14ac:dyDescent="0.25">
      <c r="A4750" t="s">
        <v>4776</v>
      </c>
      <c r="B4750" t="s">
        <v>12030</v>
      </c>
    </row>
    <row r="4751" spans="1:2" x14ac:dyDescent="0.25">
      <c r="A4751" t="s">
        <v>4777</v>
      </c>
      <c r="B4751" t="s">
        <v>12031</v>
      </c>
    </row>
    <row r="4752" spans="1:2" x14ac:dyDescent="0.25">
      <c r="A4752" t="s">
        <v>4778</v>
      </c>
      <c r="B4752" t="s">
        <v>12032</v>
      </c>
    </row>
    <row r="4753" spans="1:2" x14ac:dyDescent="0.25">
      <c r="A4753" t="s">
        <v>4779</v>
      </c>
      <c r="B4753" t="s">
        <v>12033</v>
      </c>
    </row>
    <row r="4754" spans="1:2" x14ac:dyDescent="0.25">
      <c r="A4754" t="s">
        <v>4780</v>
      </c>
      <c r="B4754" t="s">
        <v>12034</v>
      </c>
    </row>
    <row r="4755" spans="1:2" x14ac:dyDescent="0.25">
      <c r="A4755" t="s">
        <v>4781</v>
      </c>
      <c r="B4755" t="s">
        <v>12035</v>
      </c>
    </row>
    <row r="4756" spans="1:2" x14ac:dyDescent="0.25">
      <c r="A4756" t="s">
        <v>4782</v>
      </c>
      <c r="B4756" t="s">
        <v>12036</v>
      </c>
    </row>
    <row r="4757" spans="1:2" x14ac:dyDescent="0.25">
      <c r="A4757" t="s">
        <v>4783</v>
      </c>
      <c r="B4757" t="s">
        <v>12037</v>
      </c>
    </row>
    <row r="4758" spans="1:2" x14ac:dyDescent="0.25">
      <c r="A4758" t="s">
        <v>4784</v>
      </c>
      <c r="B4758" t="s">
        <v>12038</v>
      </c>
    </row>
    <row r="4759" spans="1:2" x14ac:dyDescent="0.25">
      <c r="A4759" t="s">
        <v>4785</v>
      </c>
      <c r="B4759" t="s">
        <v>12039</v>
      </c>
    </row>
    <row r="4760" spans="1:2" x14ac:dyDescent="0.25">
      <c r="A4760" t="s">
        <v>4786</v>
      </c>
      <c r="B4760" t="s">
        <v>12040</v>
      </c>
    </row>
    <row r="4761" spans="1:2" x14ac:dyDescent="0.25">
      <c r="A4761" t="s">
        <v>4787</v>
      </c>
      <c r="B4761" t="s">
        <v>12041</v>
      </c>
    </row>
    <row r="4762" spans="1:2" x14ac:dyDescent="0.25">
      <c r="A4762" t="s">
        <v>4788</v>
      </c>
      <c r="B4762" t="s">
        <v>12042</v>
      </c>
    </row>
    <row r="4763" spans="1:2" x14ac:dyDescent="0.25">
      <c r="A4763" t="s">
        <v>4789</v>
      </c>
      <c r="B4763" t="s">
        <v>12043</v>
      </c>
    </row>
    <row r="4764" spans="1:2" x14ac:dyDescent="0.25">
      <c r="A4764" t="s">
        <v>4790</v>
      </c>
      <c r="B4764" t="s">
        <v>12044</v>
      </c>
    </row>
    <row r="4765" spans="1:2" x14ac:dyDescent="0.25">
      <c r="A4765" t="s">
        <v>4791</v>
      </c>
      <c r="B4765" t="s">
        <v>12045</v>
      </c>
    </row>
    <row r="4766" spans="1:2" x14ac:dyDescent="0.25">
      <c r="A4766" t="s">
        <v>4792</v>
      </c>
      <c r="B4766" t="s">
        <v>12046</v>
      </c>
    </row>
    <row r="4767" spans="1:2" x14ac:dyDescent="0.25">
      <c r="A4767" t="s">
        <v>4793</v>
      </c>
      <c r="B4767" t="s">
        <v>12047</v>
      </c>
    </row>
    <row r="4768" spans="1:2" x14ac:dyDescent="0.25">
      <c r="A4768" t="s">
        <v>4794</v>
      </c>
      <c r="B4768" t="s">
        <v>12048</v>
      </c>
    </row>
    <row r="4769" spans="1:2" x14ac:dyDescent="0.25">
      <c r="A4769" t="s">
        <v>4795</v>
      </c>
      <c r="B4769" t="s">
        <v>12049</v>
      </c>
    </row>
    <row r="4770" spans="1:2" x14ac:dyDescent="0.25">
      <c r="A4770" t="s">
        <v>4796</v>
      </c>
      <c r="B4770" t="s">
        <v>12050</v>
      </c>
    </row>
    <row r="4771" spans="1:2" x14ac:dyDescent="0.25">
      <c r="A4771" t="s">
        <v>4797</v>
      </c>
      <c r="B4771" t="s">
        <v>12051</v>
      </c>
    </row>
    <row r="4772" spans="1:2" x14ac:dyDescent="0.25">
      <c r="A4772" t="s">
        <v>4798</v>
      </c>
      <c r="B4772" t="s">
        <v>12052</v>
      </c>
    </row>
    <row r="4773" spans="1:2" x14ac:dyDescent="0.25">
      <c r="A4773" t="s">
        <v>4799</v>
      </c>
      <c r="B4773" t="s">
        <v>12053</v>
      </c>
    </row>
    <row r="4774" spans="1:2" x14ac:dyDescent="0.25">
      <c r="A4774" t="s">
        <v>4800</v>
      </c>
      <c r="B4774" t="s">
        <v>12054</v>
      </c>
    </row>
    <row r="4775" spans="1:2" x14ac:dyDescent="0.25">
      <c r="A4775" t="s">
        <v>4801</v>
      </c>
      <c r="B4775" t="s">
        <v>12055</v>
      </c>
    </row>
    <row r="4776" spans="1:2" x14ac:dyDescent="0.25">
      <c r="A4776" t="s">
        <v>4802</v>
      </c>
      <c r="B4776" t="s">
        <v>12056</v>
      </c>
    </row>
    <row r="4777" spans="1:2" x14ac:dyDescent="0.25">
      <c r="A4777" t="s">
        <v>4803</v>
      </c>
      <c r="B4777" t="s">
        <v>12057</v>
      </c>
    </row>
    <row r="4778" spans="1:2" x14ac:dyDescent="0.25">
      <c r="A4778" t="s">
        <v>4804</v>
      </c>
      <c r="B4778" t="s">
        <v>12058</v>
      </c>
    </row>
    <row r="4779" spans="1:2" x14ac:dyDescent="0.25">
      <c r="A4779" t="s">
        <v>4805</v>
      </c>
      <c r="B4779" t="s">
        <v>12059</v>
      </c>
    </row>
    <row r="4780" spans="1:2" x14ac:dyDescent="0.25">
      <c r="A4780" t="s">
        <v>4806</v>
      </c>
      <c r="B4780" t="s">
        <v>12060</v>
      </c>
    </row>
    <row r="4781" spans="1:2" x14ac:dyDescent="0.25">
      <c r="A4781" t="s">
        <v>4807</v>
      </c>
      <c r="B4781" t="s">
        <v>12061</v>
      </c>
    </row>
    <row r="4782" spans="1:2" x14ac:dyDescent="0.25">
      <c r="A4782" t="s">
        <v>4808</v>
      </c>
      <c r="B4782" t="s">
        <v>12062</v>
      </c>
    </row>
    <row r="4783" spans="1:2" x14ac:dyDescent="0.25">
      <c r="A4783" t="s">
        <v>4809</v>
      </c>
      <c r="B4783" t="s">
        <v>12063</v>
      </c>
    </row>
    <row r="4784" spans="1:2" x14ac:dyDescent="0.25">
      <c r="A4784" t="s">
        <v>4810</v>
      </c>
      <c r="B4784" t="s">
        <v>12064</v>
      </c>
    </row>
    <row r="4785" spans="1:2" x14ac:dyDescent="0.25">
      <c r="A4785" t="s">
        <v>4811</v>
      </c>
      <c r="B4785" t="s">
        <v>12065</v>
      </c>
    </row>
    <row r="4786" spans="1:2" x14ac:dyDescent="0.25">
      <c r="A4786" t="s">
        <v>4812</v>
      </c>
      <c r="B4786" t="s">
        <v>12066</v>
      </c>
    </row>
    <row r="4787" spans="1:2" x14ac:dyDescent="0.25">
      <c r="A4787" t="s">
        <v>4813</v>
      </c>
      <c r="B4787" t="s">
        <v>12067</v>
      </c>
    </row>
    <row r="4788" spans="1:2" x14ac:dyDescent="0.25">
      <c r="A4788" t="s">
        <v>4814</v>
      </c>
      <c r="B4788" t="s">
        <v>12068</v>
      </c>
    </row>
    <row r="4789" spans="1:2" x14ac:dyDescent="0.25">
      <c r="A4789" t="s">
        <v>4815</v>
      </c>
      <c r="B4789" t="s">
        <v>12069</v>
      </c>
    </row>
    <row r="4790" spans="1:2" x14ac:dyDescent="0.25">
      <c r="A4790" t="s">
        <v>4816</v>
      </c>
      <c r="B4790" t="s">
        <v>12070</v>
      </c>
    </row>
    <row r="4791" spans="1:2" x14ac:dyDescent="0.25">
      <c r="A4791" t="s">
        <v>4817</v>
      </c>
      <c r="B4791" t="s">
        <v>12071</v>
      </c>
    </row>
    <row r="4792" spans="1:2" x14ac:dyDescent="0.25">
      <c r="A4792" t="s">
        <v>4818</v>
      </c>
      <c r="B4792" t="s">
        <v>12072</v>
      </c>
    </row>
    <row r="4793" spans="1:2" x14ac:dyDescent="0.25">
      <c r="A4793" t="s">
        <v>4819</v>
      </c>
      <c r="B4793" t="s">
        <v>12073</v>
      </c>
    </row>
    <row r="4794" spans="1:2" x14ac:dyDescent="0.25">
      <c r="A4794" t="s">
        <v>4820</v>
      </c>
      <c r="B4794" t="s">
        <v>12074</v>
      </c>
    </row>
    <row r="4795" spans="1:2" x14ac:dyDescent="0.25">
      <c r="A4795" t="s">
        <v>4821</v>
      </c>
      <c r="B4795" t="s">
        <v>12075</v>
      </c>
    </row>
    <row r="4796" spans="1:2" x14ac:dyDescent="0.25">
      <c r="A4796" t="s">
        <v>4822</v>
      </c>
      <c r="B4796" t="s">
        <v>12076</v>
      </c>
    </row>
    <row r="4797" spans="1:2" x14ac:dyDescent="0.25">
      <c r="A4797" t="s">
        <v>4823</v>
      </c>
      <c r="B4797" t="s">
        <v>12077</v>
      </c>
    </row>
    <row r="4798" spans="1:2" x14ac:dyDescent="0.25">
      <c r="A4798" t="s">
        <v>4824</v>
      </c>
      <c r="B4798" t="s">
        <v>12078</v>
      </c>
    </row>
    <row r="4799" spans="1:2" x14ac:dyDescent="0.25">
      <c r="A4799" t="s">
        <v>4825</v>
      </c>
      <c r="B4799" t="s">
        <v>12079</v>
      </c>
    </row>
    <row r="4800" spans="1:2" x14ac:dyDescent="0.25">
      <c r="A4800" t="s">
        <v>4826</v>
      </c>
      <c r="B4800" t="s">
        <v>12080</v>
      </c>
    </row>
    <row r="4801" spans="1:2" x14ac:dyDescent="0.25">
      <c r="A4801" t="s">
        <v>4827</v>
      </c>
      <c r="B4801" t="s">
        <v>12081</v>
      </c>
    </row>
    <row r="4802" spans="1:2" x14ac:dyDescent="0.25">
      <c r="A4802" t="s">
        <v>4828</v>
      </c>
      <c r="B4802" t="s">
        <v>12082</v>
      </c>
    </row>
    <row r="4803" spans="1:2" x14ac:dyDescent="0.25">
      <c r="A4803" t="s">
        <v>4829</v>
      </c>
      <c r="B4803" t="s">
        <v>12083</v>
      </c>
    </row>
    <row r="4804" spans="1:2" x14ac:dyDescent="0.25">
      <c r="A4804" t="s">
        <v>4830</v>
      </c>
      <c r="B4804" t="s">
        <v>12084</v>
      </c>
    </row>
    <row r="4805" spans="1:2" x14ac:dyDescent="0.25">
      <c r="A4805" t="s">
        <v>4831</v>
      </c>
      <c r="B4805" t="s">
        <v>12085</v>
      </c>
    </row>
    <row r="4806" spans="1:2" x14ac:dyDescent="0.25">
      <c r="A4806" t="s">
        <v>4832</v>
      </c>
      <c r="B4806" t="s">
        <v>12086</v>
      </c>
    </row>
    <row r="4807" spans="1:2" x14ac:dyDescent="0.25">
      <c r="A4807" t="s">
        <v>4833</v>
      </c>
      <c r="B4807" t="s">
        <v>12087</v>
      </c>
    </row>
    <row r="4808" spans="1:2" x14ac:dyDescent="0.25">
      <c r="A4808" t="s">
        <v>4834</v>
      </c>
      <c r="B4808" t="s">
        <v>12088</v>
      </c>
    </row>
    <row r="4809" spans="1:2" x14ac:dyDescent="0.25">
      <c r="A4809" t="s">
        <v>4835</v>
      </c>
      <c r="B4809" t="s">
        <v>12089</v>
      </c>
    </row>
    <row r="4810" spans="1:2" x14ac:dyDescent="0.25">
      <c r="A4810" t="s">
        <v>4836</v>
      </c>
      <c r="B4810" t="s">
        <v>12090</v>
      </c>
    </row>
    <row r="4811" spans="1:2" x14ac:dyDescent="0.25">
      <c r="A4811" t="s">
        <v>4837</v>
      </c>
      <c r="B4811" t="s">
        <v>12091</v>
      </c>
    </row>
    <row r="4812" spans="1:2" x14ac:dyDescent="0.25">
      <c r="A4812" t="s">
        <v>4838</v>
      </c>
      <c r="B4812" t="s">
        <v>12092</v>
      </c>
    </row>
    <row r="4813" spans="1:2" x14ac:dyDescent="0.25">
      <c r="A4813" t="s">
        <v>4839</v>
      </c>
      <c r="B4813" t="s">
        <v>12093</v>
      </c>
    </row>
    <row r="4814" spans="1:2" x14ac:dyDescent="0.25">
      <c r="A4814" t="s">
        <v>4840</v>
      </c>
      <c r="B4814" t="s">
        <v>12094</v>
      </c>
    </row>
    <row r="4815" spans="1:2" x14ac:dyDescent="0.25">
      <c r="A4815" t="s">
        <v>4841</v>
      </c>
      <c r="B4815" t="s">
        <v>12095</v>
      </c>
    </row>
    <row r="4816" spans="1:2" x14ac:dyDescent="0.25">
      <c r="A4816" t="s">
        <v>4842</v>
      </c>
      <c r="B4816" t="s">
        <v>12096</v>
      </c>
    </row>
    <row r="4817" spans="1:2" x14ac:dyDescent="0.25">
      <c r="A4817" t="s">
        <v>4843</v>
      </c>
      <c r="B4817" t="s">
        <v>12097</v>
      </c>
    </row>
    <row r="4818" spans="1:2" x14ac:dyDescent="0.25">
      <c r="A4818" t="s">
        <v>4844</v>
      </c>
      <c r="B4818" t="s">
        <v>12098</v>
      </c>
    </row>
    <row r="4819" spans="1:2" x14ac:dyDescent="0.25">
      <c r="A4819" t="s">
        <v>4845</v>
      </c>
      <c r="B4819" t="s">
        <v>12099</v>
      </c>
    </row>
    <row r="4820" spans="1:2" x14ac:dyDescent="0.25">
      <c r="A4820" t="s">
        <v>4846</v>
      </c>
      <c r="B4820" t="s">
        <v>12100</v>
      </c>
    </row>
    <row r="4821" spans="1:2" x14ac:dyDescent="0.25">
      <c r="A4821" t="s">
        <v>4847</v>
      </c>
      <c r="B4821" t="s">
        <v>12101</v>
      </c>
    </row>
    <row r="4822" spans="1:2" x14ac:dyDescent="0.25">
      <c r="A4822" t="s">
        <v>4848</v>
      </c>
      <c r="B4822" t="s">
        <v>12102</v>
      </c>
    </row>
    <row r="4823" spans="1:2" x14ac:dyDescent="0.25">
      <c r="A4823" t="s">
        <v>4849</v>
      </c>
      <c r="B4823" t="s">
        <v>12103</v>
      </c>
    </row>
    <row r="4824" spans="1:2" x14ac:dyDescent="0.25">
      <c r="A4824" t="s">
        <v>4850</v>
      </c>
      <c r="B4824" t="s">
        <v>12104</v>
      </c>
    </row>
    <row r="4825" spans="1:2" x14ac:dyDescent="0.25">
      <c r="A4825" t="s">
        <v>4851</v>
      </c>
      <c r="B4825" t="s">
        <v>12105</v>
      </c>
    </row>
    <row r="4826" spans="1:2" x14ac:dyDescent="0.25">
      <c r="A4826" t="s">
        <v>4852</v>
      </c>
      <c r="B4826" t="s">
        <v>12106</v>
      </c>
    </row>
    <row r="4827" spans="1:2" x14ac:dyDescent="0.25">
      <c r="A4827" t="s">
        <v>4853</v>
      </c>
      <c r="B4827" t="s">
        <v>12107</v>
      </c>
    </row>
    <row r="4828" spans="1:2" x14ac:dyDescent="0.25">
      <c r="A4828" t="s">
        <v>4854</v>
      </c>
      <c r="B4828" t="s">
        <v>12108</v>
      </c>
    </row>
    <row r="4829" spans="1:2" x14ac:dyDescent="0.25">
      <c r="A4829" t="s">
        <v>4855</v>
      </c>
      <c r="B4829" t="s">
        <v>12109</v>
      </c>
    </row>
    <row r="4830" spans="1:2" x14ac:dyDescent="0.25">
      <c r="A4830" t="s">
        <v>4856</v>
      </c>
      <c r="B4830" t="s">
        <v>12110</v>
      </c>
    </row>
    <row r="4831" spans="1:2" x14ac:dyDescent="0.25">
      <c r="A4831" t="s">
        <v>4857</v>
      </c>
      <c r="B4831" t="s">
        <v>12111</v>
      </c>
    </row>
    <row r="4832" spans="1:2" x14ac:dyDescent="0.25">
      <c r="A4832" t="s">
        <v>4858</v>
      </c>
      <c r="B4832" t="s">
        <v>12112</v>
      </c>
    </row>
    <row r="4833" spans="1:2" x14ac:dyDescent="0.25">
      <c r="A4833" t="s">
        <v>4859</v>
      </c>
      <c r="B4833" t="s">
        <v>12113</v>
      </c>
    </row>
    <row r="4834" spans="1:2" x14ac:dyDescent="0.25">
      <c r="A4834" t="s">
        <v>4860</v>
      </c>
      <c r="B4834" t="s">
        <v>12114</v>
      </c>
    </row>
    <row r="4835" spans="1:2" x14ac:dyDescent="0.25">
      <c r="A4835" t="s">
        <v>4861</v>
      </c>
      <c r="B4835" t="s">
        <v>12115</v>
      </c>
    </row>
    <row r="4836" spans="1:2" x14ac:dyDescent="0.25">
      <c r="A4836" t="s">
        <v>4862</v>
      </c>
      <c r="B4836" t="s">
        <v>12116</v>
      </c>
    </row>
    <row r="4837" spans="1:2" x14ac:dyDescent="0.25">
      <c r="A4837" t="s">
        <v>4863</v>
      </c>
      <c r="B4837" t="s">
        <v>12117</v>
      </c>
    </row>
    <row r="4838" spans="1:2" x14ac:dyDescent="0.25">
      <c r="A4838" t="s">
        <v>4864</v>
      </c>
      <c r="B4838" t="s">
        <v>12118</v>
      </c>
    </row>
    <row r="4839" spans="1:2" x14ac:dyDescent="0.25">
      <c r="A4839" t="s">
        <v>4865</v>
      </c>
      <c r="B4839" t="s">
        <v>12119</v>
      </c>
    </row>
    <row r="4840" spans="1:2" x14ac:dyDescent="0.25">
      <c r="A4840" t="s">
        <v>4866</v>
      </c>
      <c r="B4840" t="s">
        <v>12120</v>
      </c>
    </row>
    <row r="4841" spans="1:2" x14ac:dyDescent="0.25">
      <c r="A4841" t="s">
        <v>4867</v>
      </c>
      <c r="B4841" t="s">
        <v>12121</v>
      </c>
    </row>
    <row r="4842" spans="1:2" x14ac:dyDescent="0.25">
      <c r="A4842" t="s">
        <v>4868</v>
      </c>
      <c r="B4842" t="s">
        <v>12122</v>
      </c>
    </row>
    <row r="4843" spans="1:2" x14ac:dyDescent="0.25">
      <c r="A4843" t="s">
        <v>4869</v>
      </c>
      <c r="B4843" t="s">
        <v>12123</v>
      </c>
    </row>
    <row r="4844" spans="1:2" x14ac:dyDescent="0.25">
      <c r="A4844" t="s">
        <v>4870</v>
      </c>
      <c r="B4844" t="s">
        <v>12124</v>
      </c>
    </row>
    <row r="4845" spans="1:2" x14ac:dyDescent="0.25">
      <c r="A4845" t="s">
        <v>4871</v>
      </c>
      <c r="B4845" t="s">
        <v>12125</v>
      </c>
    </row>
    <row r="4846" spans="1:2" x14ac:dyDescent="0.25">
      <c r="A4846" t="s">
        <v>4872</v>
      </c>
      <c r="B4846" t="s">
        <v>12126</v>
      </c>
    </row>
    <row r="4847" spans="1:2" x14ac:dyDescent="0.25">
      <c r="A4847" t="s">
        <v>4873</v>
      </c>
      <c r="B4847" t="s">
        <v>12127</v>
      </c>
    </row>
    <row r="4848" spans="1:2" x14ac:dyDescent="0.25">
      <c r="A4848" t="s">
        <v>4874</v>
      </c>
      <c r="B4848" t="s">
        <v>12128</v>
      </c>
    </row>
    <row r="4849" spans="1:2" x14ac:dyDescent="0.25">
      <c r="A4849" t="s">
        <v>4875</v>
      </c>
      <c r="B4849" t="s">
        <v>12129</v>
      </c>
    </row>
    <row r="4850" spans="1:2" x14ac:dyDescent="0.25">
      <c r="A4850" t="s">
        <v>4876</v>
      </c>
      <c r="B4850" t="s">
        <v>12130</v>
      </c>
    </row>
    <row r="4851" spans="1:2" x14ac:dyDescent="0.25">
      <c r="A4851" t="s">
        <v>4877</v>
      </c>
      <c r="B4851" t="s">
        <v>12131</v>
      </c>
    </row>
    <row r="4852" spans="1:2" x14ac:dyDescent="0.25">
      <c r="A4852" t="s">
        <v>4878</v>
      </c>
      <c r="B4852" t="s">
        <v>12132</v>
      </c>
    </row>
    <row r="4853" spans="1:2" x14ac:dyDescent="0.25">
      <c r="A4853" t="s">
        <v>4879</v>
      </c>
      <c r="B4853" t="s">
        <v>12133</v>
      </c>
    </row>
    <row r="4854" spans="1:2" x14ac:dyDescent="0.25">
      <c r="A4854" t="s">
        <v>4880</v>
      </c>
      <c r="B4854" t="s">
        <v>12134</v>
      </c>
    </row>
    <row r="4855" spans="1:2" x14ac:dyDescent="0.25">
      <c r="A4855" t="s">
        <v>4881</v>
      </c>
      <c r="B4855" t="s">
        <v>12135</v>
      </c>
    </row>
    <row r="4856" spans="1:2" x14ac:dyDescent="0.25">
      <c r="A4856" t="s">
        <v>4882</v>
      </c>
      <c r="B4856" t="s">
        <v>12136</v>
      </c>
    </row>
    <row r="4857" spans="1:2" x14ac:dyDescent="0.25">
      <c r="A4857" t="s">
        <v>4883</v>
      </c>
      <c r="B4857" t="s">
        <v>12137</v>
      </c>
    </row>
    <row r="4858" spans="1:2" x14ac:dyDescent="0.25">
      <c r="A4858" t="s">
        <v>4884</v>
      </c>
      <c r="B4858" t="s">
        <v>12138</v>
      </c>
    </row>
    <row r="4859" spans="1:2" x14ac:dyDescent="0.25">
      <c r="A4859" t="s">
        <v>4885</v>
      </c>
      <c r="B4859" t="s">
        <v>12139</v>
      </c>
    </row>
    <row r="4860" spans="1:2" x14ac:dyDescent="0.25">
      <c r="A4860" t="s">
        <v>4886</v>
      </c>
      <c r="B4860" t="s">
        <v>12140</v>
      </c>
    </row>
    <row r="4861" spans="1:2" x14ac:dyDescent="0.25">
      <c r="A4861" t="s">
        <v>4887</v>
      </c>
      <c r="B4861" t="s">
        <v>12141</v>
      </c>
    </row>
    <row r="4862" spans="1:2" x14ac:dyDescent="0.25">
      <c r="A4862" t="s">
        <v>4888</v>
      </c>
      <c r="B4862" t="s">
        <v>12142</v>
      </c>
    </row>
    <row r="4863" spans="1:2" x14ac:dyDescent="0.25">
      <c r="A4863" t="s">
        <v>4889</v>
      </c>
      <c r="B4863" t="s">
        <v>12143</v>
      </c>
    </row>
    <row r="4864" spans="1:2" x14ac:dyDescent="0.25">
      <c r="A4864" t="s">
        <v>4890</v>
      </c>
      <c r="B4864" t="s">
        <v>12144</v>
      </c>
    </row>
    <row r="4865" spans="1:2" x14ac:dyDescent="0.25">
      <c r="A4865" t="s">
        <v>4891</v>
      </c>
      <c r="B4865" t="s">
        <v>12145</v>
      </c>
    </row>
    <row r="4866" spans="1:2" x14ac:dyDescent="0.25">
      <c r="A4866" t="s">
        <v>4892</v>
      </c>
      <c r="B4866" t="s">
        <v>12146</v>
      </c>
    </row>
    <row r="4867" spans="1:2" x14ac:dyDescent="0.25">
      <c r="A4867" t="s">
        <v>4893</v>
      </c>
      <c r="B4867" t="s">
        <v>12147</v>
      </c>
    </row>
    <row r="4868" spans="1:2" x14ac:dyDescent="0.25">
      <c r="A4868" t="s">
        <v>4894</v>
      </c>
      <c r="B4868" t="s">
        <v>12148</v>
      </c>
    </row>
    <row r="4869" spans="1:2" x14ac:dyDescent="0.25">
      <c r="A4869" t="s">
        <v>4895</v>
      </c>
      <c r="B4869" t="s">
        <v>12149</v>
      </c>
    </row>
    <row r="4870" spans="1:2" x14ac:dyDescent="0.25">
      <c r="A4870" t="s">
        <v>4896</v>
      </c>
      <c r="B4870" t="s">
        <v>12150</v>
      </c>
    </row>
    <row r="4871" spans="1:2" x14ac:dyDescent="0.25">
      <c r="A4871" t="s">
        <v>4897</v>
      </c>
      <c r="B4871" t="s">
        <v>12151</v>
      </c>
    </row>
    <row r="4872" spans="1:2" x14ac:dyDescent="0.25">
      <c r="A4872" t="s">
        <v>4898</v>
      </c>
      <c r="B4872" t="s">
        <v>12152</v>
      </c>
    </row>
    <row r="4873" spans="1:2" x14ac:dyDescent="0.25">
      <c r="A4873" t="s">
        <v>4899</v>
      </c>
      <c r="B4873" t="s">
        <v>12153</v>
      </c>
    </row>
    <row r="4874" spans="1:2" x14ac:dyDescent="0.25">
      <c r="A4874" t="s">
        <v>4900</v>
      </c>
      <c r="B4874" t="s">
        <v>12154</v>
      </c>
    </row>
    <row r="4875" spans="1:2" x14ac:dyDescent="0.25">
      <c r="A4875" t="s">
        <v>4901</v>
      </c>
      <c r="B4875" t="s">
        <v>12155</v>
      </c>
    </row>
    <row r="4876" spans="1:2" x14ac:dyDescent="0.25">
      <c r="A4876" t="s">
        <v>4902</v>
      </c>
      <c r="B4876" t="s">
        <v>12156</v>
      </c>
    </row>
    <row r="4877" spans="1:2" x14ac:dyDescent="0.25">
      <c r="A4877" t="s">
        <v>4903</v>
      </c>
      <c r="B4877" t="s">
        <v>12157</v>
      </c>
    </row>
    <row r="4878" spans="1:2" x14ac:dyDescent="0.25">
      <c r="A4878" t="s">
        <v>4904</v>
      </c>
      <c r="B4878" t="s">
        <v>12158</v>
      </c>
    </row>
    <row r="4879" spans="1:2" x14ac:dyDescent="0.25">
      <c r="A4879" t="s">
        <v>4905</v>
      </c>
      <c r="B4879" t="s">
        <v>12159</v>
      </c>
    </row>
    <row r="4880" spans="1:2" x14ac:dyDescent="0.25">
      <c r="A4880" t="s">
        <v>4906</v>
      </c>
      <c r="B4880" t="s">
        <v>12160</v>
      </c>
    </row>
    <row r="4881" spans="1:2" x14ac:dyDescent="0.25">
      <c r="A4881" t="s">
        <v>4907</v>
      </c>
      <c r="B4881" t="s">
        <v>12161</v>
      </c>
    </row>
    <row r="4882" spans="1:2" x14ac:dyDescent="0.25">
      <c r="A4882" t="s">
        <v>4908</v>
      </c>
      <c r="B4882" t="s">
        <v>12162</v>
      </c>
    </row>
    <row r="4883" spans="1:2" x14ac:dyDescent="0.25">
      <c r="A4883" t="s">
        <v>4909</v>
      </c>
      <c r="B4883" t="s">
        <v>12163</v>
      </c>
    </row>
    <row r="4884" spans="1:2" x14ac:dyDescent="0.25">
      <c r="A4884" t="s">
        <v>4910</v>
      </c>
      <c r="B4884" t="s">
        <v>12164</v>
      </c>
    </row>
    <row r="4885" spans="1:2" x14ac:dyDescent="0.25">
      <c r="A4885" t="s">
        <v>4911</v>
      </c>
      <c r="B4885" t="s">
        <v>12165</v>
      </c>
    </row>
    <row r="4886" spans="1:2" x14ac:dyDescent="0.25">
      <c r="A4886" t="s">
        <v>4912</v>
      </c>
      <c r="B4886" t="s">
        <v>12166</v>
      </c>
    </row>
    <row r="4887" spans="1:2" x14ac:dyDescent="0.25">
      <c r="A4887" t="s">
        <v>4913</v>
      </c>
      <c r="B4887" t="s">
        <v>12167</v>
      </c>
    </row>
    <row r="4888" spans="1:2" x14ac:dyDescent="0.25">
      <c r="A4888" t="s">
        <v>4914</v>
      </c>
      <c r="B4888" t="s">
        <v>12168</v>
      </c>
    </row>
    <row r="4889" spans="1:2" x14ac:dyDescent="0.25">
      <c r="A4889" t="s">
        <v>4915</v>
      </c>
      <c r="B4889" t="s">
        <v>12169</v>
      </c>
    </row>
    <row r="4890" spans="1:2" x14ac:dyDescent="0.25">
      <c r="A4890" t="s">
        <v>4916</v>
      </c>
      <c r="B4890" t="s">
        <v>12170</v>
      </c>
    </row>
    <row r="4891" spans="1:2" x14ac:dyDescent="0.25">
      <c r="A4891" t="s">
        <v>4917</v>
      </c>
      <c r="B4891" t="s">
        <v>12171</v>
      </c>
    </row>
    <row r="4892" spans="1:2" x14ac:dyDescent="0.25">
      <c r="A4892" t="s">
        <v>4918</v>
      </c>
      <c r="B4892" t="s">
        <v>12172</v>
      </c>
    </row>
    <row r="4893" spans="1:2" x14ac:dyDescent="0.25">
      <c r="A4893" t="s">
        <v>4919</v>
      </c>
      <c r="B4893" t="s">
        <v>12173</v>
      </c>
    </row>
    <row r="4894" spans="1:2" x14ac:dyDescent="0.25">
      <c r="A4894" t="s">
        <v>4920</v>
      </c>
      <c r="B4894" t="s">
        <v>12174</v>
      </c>
    </row>
    <row r="4895" spans="1:2" x14ac:dyDescent="0.25">
      <c r="A4895" t="s">
        <v>4921</v>
      </c>
      <c r="B4895" t="s">
        <v>12175</v>
      </c>
    </row>
    <row r="4896" spans="1:2" x14ac:dyDescent="0.25">
      <c r="A4896" t="s">
        <v>4922</v>
      </c>
      <c r="B4896" t="s">
        <v>12176</v>
      </c>
    </row>
    <row r="4897" spans="1:2" x14ac:dyDescent="0.25">
      <c r="A4897" t="s">
        <v>4923</v>
      </c>
      <c r="B4897" t="s">
        <v>12177</v>
      </c>
    </row>
    <row r="4898" spans="1:2" x14ac:dyDescent="0.25">
      <c r="A4898" t="s">
        <v>4924</v>
      </c>
      <c r="B4898" t="s">
        <v>12178</v>
      </c>
    </row>
    <row r="4899" spans="1:2" x14ac:dyDescent="0.25">
      <c r="A4899" t="s">
        <v>4925</v>
      </c>
      <c r="B4899" t="s">
        <v>12179</v>
      </c>
    </row>
    <row r="4900" spans="1:2" x14ac:dyDescent="0.25">
      <c r="A4900" t="s">
        <v>4926</v>
      </c>
      <c r="B4900" t="s">
        <v>12180</v>
      </c>
    </row>
    <row r="4901" spans="1:2" x14ac:dyDescent="0.25">
      <c r="A4901" t="s">
        <v>4927</v>
      </c>
      <c r="B4901" t="s">
        <v>12181</v>
      </c>
    </row>
    <row r="4902" spans="1:2" x14ac:dyDescent="0.25">
      <c r="A4902" t="s">
        <v>4928</v>
      </c>
      <c r="B4902" t="s">
        <v>12182</v>
      </c>
    </row>
    <row r="4903" spans="1:2" x14ac:dyDescent="0.25">
      <c r="A4903" t="s">
        <v>4929</v>
      </c>
      <c r="B4903" t="s">
        <v>12183</v>
      </c>
    </row>
    <row r="4904" spans="1:2" x14ac:dyDescent="0.25">
      <c r="A4904" t="s">
        <v>4930</v>
      </c>
      <c r="B4904" t="s">
        <v>12184</v>
      </c>
    </row>
    <row r="4905" spans="1:2" x14ac:dyDescent="0.25">
      <c r="A4905" t="s">
        <v>4931</v>
      </c>
      <c r="B4905" t="s">
        <v>12185</v>
      </c>
    </row>
    <row r="4906" spans="1:2" x14ac:dyDescent="0.25">
      <c r="A4906" t="s">
        <v>4932</v>
      </c>
      <c r="B4906" t="s">
        <v>12186</v>
      </c>
    </row>
    <row r="4907" spans="1:2" x14ac:dyDescent="0.25">
      <c r="A4907" t="s">
        <v>4933</v>
      </c>
      <c r="B4907" t="s">
        <v>12187</v>
      </c>
    </row>
    <row r="4908" spans="1:2" x14ac:dyDescent="0.25">
      <c r="A4908" t="s">
        <v>4934</v>
      </c>
      <c r="B4908" t="s">
        <v>12188</v>
      </c>
    </row>
    <row r="4909" spans="1:2" x14ac:dyDescent="0.25">
      <c r="A4909" t="s">
        <v>4935</v>
      </c>
      <c r="B4909" t="s">
        <v>12189</v>
      </c>
    </row>
    <row r="4910" spans="1:2" x14ac:dyDescent="0.25">
      <c r="A4910" t="s">
        <v>4936</v>
      </c>
      <c r="B4910" t="s">
        <v>12190</v>
      </c>
    </row>
    <row r="4911" spans="1:2" x14ac:dyDescent="0.25">
      <c r="A4911" t="s">
        <v>4937</v>
      </c>
      <c r="B4911" t="s">
        <v>12191</v>
      </c>
    </row>
    <row r="4912" spans="1:2" x14ac:dyDescent="0.25">
      <c r="A4912" t="s">
        <v>4938</v>
      </c>
      <c r="B4912" t="s">
        <v>12192</v>
      </c>
    </row>
    <row r="4913" spans="1:2" x14ac:dyDescent="0.25">
      <c r="A4913" t="s">
        <v>4939</v>
      </c>
      <c r="B4913" t="s">
        <v>12193</v>
      </c>
    </row>
    <row r="4914" spans="1:2" x14ac:dyDescent="0.25">
      <c r="A4914" t="s">
        <v>4940</v>
      </c>
      <c r="B4914" t="s">
        <v>12194</v>
      </c>
    </row>
    <row r="4915" spans="1:2" x14ac:dyDescent="0.25">
      <c r="A4915" t="s">
        <v>4941</v>
      </c>
      <c r="B4915" t="s">
        <v>12195</v>
      </c>
    </row>
    <row r="4916" spans="1:2" x14ac:dyDescent="0.25">
      <c r="A4916" t="s">
        <v>4942</v>
      </c>
      <c r="B4916" t="s">
        <v>12196</v>
      </c>
    </row>
    <row r="4917" spans="1:2" x14ac:dyDescent="0.25">
      <c r="A4917" t="s">
        <v>4943</v>
      </c>
      <c r="B4917" t="s">
        <v>12197</v>
      </c>
    </row>
    <row r="4918" spans="1:2" x14ac:dyDescent="0.25">
      <c r="A4918" t="s">
        <v>4944</v>
      </c>
      <c r="B4918" t="s">
        <v>12198</v>
      </c>
    </row>
    <row r="4919" spans="1:2" x14ac:dyDescent="0.25">
      <c r="A4919" t="s">
        <v>4945</v>
      </c>
      <c r="B4919" t="s">
        <v>12199</v>
      </c>
    </row>
    <row r="4920" spans="1:2" x14ac:dyDescent="0.25">
      <c r="A4920" t="s">
        <v>4946</v>
      </c>
      <c r="B4920" t="s">
        <v>12200</v>
      </c>
    </row>
    <row r="4921" spans="1:2" x14ac:dyDescent="0.25">
      <c r="A4921" t="s">
        <v>4947</v>
      </c>
      <c r="B4921" t="s">
        <v>12201</v>
      </c>
    </row>
    <row r="4922" spans="1:2" x14ac:dyDescent="0.25">
      <c r="A4922" t="s">
        <v>4948</v>
      </c>
      <c r="B4922" t="s">
        <v>12202</v>
      </c>
    </row>
    <row r="4923" spans="1:2" x14ac:dyDescent="0.25">
      <c r="A4923" t="s">
        <v>4949</v>
      </c>
      <c r="B4923" t="s">
        <v>12203</v>
      </c>
    </row>
    <row r="4924" spans="1:2" x14ac:dyDescent="0.25">
      <c r="A4924" t="s">
        <v>4950</v>
      </c>
      <c r="B4924" t="s">
        <v>12204</v>
      </c>
    </row>
    <row r="4925" spans="1:2" x14ac:dyDescent="0.25">
      <c r="A4925" t="s">
        <v>4951</v>
      </c>
      <c r="B4925" t="s">
        <v>12205</v>
      </c>
    </row>
    <row r="4926" spans="1:2" x14ac:dyDescent="0.25">
      <c r="A4926" t="s">
        <v>4952</v>
      </c>
      <c r="B4926" t="s">
        <v>12206</v>
      </c>
    </row>
    <row r="4927" spans="1:2" x14ac:dyDescent="0.25">
      <c r="A4927" t="s">
        <v>4953</v>
      </c>
      <c r="B4927" t="s">
        <v>12207</v>
      </c>
    </row>
    <row r="4928" spans="1:2" x14ac:dyDescent="0.25">
      <c r="A4928" t="s">
        <v>4954</v>
      </c>
      <c r="B4928" t="s">
        <v>12208</v>
      </c>
    </row>
    <row r="4929" spans="1:2" x14ac:dyDescent="0.25">
      <c r="A4929" t="s">
        <v>4955</v>
      </c>
      <c r="B4929" t="s">
        <v>12209</v>
      </c>
    </row>
    <row r="4930" spans="1:2" x14ac:dyDescent="0.25">
      <c r="A4930" t="s">
        <v>4956</v>
      </c>
      <c r="B4930" t="s">
        <v>12210</v>
      </c>
    </row>
    <row r="4931" spans="1:2" x14ac:dyDescent="0.25">
      <c r="A4931" t="s">
        <v>4957</v>
      </c>
      <c r="B4931" t="s">
        <v>12211</v>
      </c>
    </row>
    <row r="4932" spans="1:2" x14ac:dyDescent="0.25">
      <c r="A4932" t="s">
        <v>4958</v>
      </c>
      <c r="B4932" t="s">
        <v>12212</v>
      </c>
    </row>
    <row r="4933" spans="1:2" x14ac:dyDescent="0.25">
      <c r="A4933" t="s">
        <v>4959</v>
      </c>
      <c r="B4933" t="s">
        <v>12213</v>
      </c>
    </row>
    <row r="4934" spans="1:2" x14ac:dyDescent="0.25">
      <c r="A4934" t="s">
        <v>4960</v>
      </c>
      <c r="B4934" t="s">
        <v>12214</v>
      </c>
    </row>
    <row r="4935" spans="1:2" x14ac:dyDescent="0.25">
      <c r="A4935" t="s">
        <v>4961</v>
      </c>
      <c r="B4935" t="s">
        <v>12215</v>
      </c>
    </row>
    <row r="4936" spans="1:2" x14ac:dyDescent="0.25">
      <c r="A4936" t="s">
        <v>4962</v>
      </c>
      <c r="B4936" t="s">
        <v>12216</v>
      </c>
    </row>
    <row r="4937" spans="1:2" x14ac:dyDescent="0.25">
      <c r="A4937" t="s">
        <v>4963</v>
      </c>
      <c r="B4937" t="s">
        <v>12217</v>
      </c>
    </row>
    <row r="4938" spans="1:2" x14ac:dyDescent="0.25">
      <c r="A4938" t="s">
        <v>4964</v>
      </c>
      <c r="B4938" t="s">
        <v>12218</v>
      </c>
    </row>
    <row r="4939" spans="1:2" x14ac:dyDescent="0.25">
      <c r="A4939" t="s">
        <v>4965</v>
      </c>
      <c r="B4939" t="s">
        <v>12219</v>
      </c>
    </row>
    <row r="4940" spans="1:2" x14ac:dyDescent="0.25">
      <c r="A4940" t="s">
        <v>4966</v>
      </c>
      <c r="B4940" t="s">
        <v>12220</v>
      </c>
    </row>
    <row r="4941" spans="1:2" x14ac:dyDescent="0.25">
      <c r="A4941" t="s">
        <v>4967</v>
      </c>
      <c r="B4941" t="s">
        <v>12221</v>
      </c>
    </row>
    <row r="4942" spans="1:2" x14ac:dyDescent="0.25">
      <c r="A4942" t="s">
        <v>4968</v>
      </c>
      <c r="B4942" t="s">
        <v>12222</v>
      </c>
    </row>
    <row r="4943" spans="1:2" x14ac:dyDescent="0.25">
      <c r="A4943" t="s">
        <v>4969</v>
      </c>
      <c r="B4943" t="s">
        <v>12223</v>
      </c>
    </row>
    <row r="4944" spans="1:2" x14ac:dyDescent="0.25">
      <c r="A4944" t="s">
        <v>4970</v>
      </c>
      <c r="B4944" t="s">
        <v>12224</v>
      </c>
    </row>
    <row r="4945" spans="1:2" x14ac:dyDescent="0.25">
      <c r="A4945" t="s">
        <v>4971</v>
      </c>
      <c r="B4945" t="s">
        <v>12225</v>
      </c>
    </row>
    <row r="4946" spans="1:2" x14ac:dyDescent="0.25">
      <c r="A4946" t="s">
        <v>4972</v>
      </c>
      <c r="B4946" t="s">
        <v>12226</v>
      </c>
    </row>
    <row r="4947" spans="1:2" x14ac:dyDescent="0.25">
      <c r="A4947" t="s">
        <v>4973</v>
      </c>
      <c r="B4947" t="s">
        <v>12227</v>
      </c>
    </row>
    <row r="4948" spans="1:2" x14ac:dyDescent="0.25">
      <c r="A4948" t="s">
        <v>4974</v>
      </c>
      <c r="B4948" t="s">
        <v>12228</v>
      </c>
    </row>
    <row r="4949" spans="1:2" x14ac:dyDescent="0.25">
      <c r="A4949" t="s">
        <v>4975</v>
      </c>
      <c r="B4949" t="s">
        <v>12229</v>
      </c>
    </row>
    <row r="4950" spans="1:2" x14ac:dyDescent="0.25">
      <c r="A4950" t="s">
        <v>4976</v>
      </c>
      <c r="B4950" t="s">
        <v>12230</v>
      </c>
    </row>
    <row r="4951" spans="1:2" x14ac:dyDescent="0.25">
      <c r="A4951" t="s">
        <v>4977</v>
      </c>
      <c r="B4951" t="s">
        <v>12231</v>
      </c>
    </row>
    <row r="4952" spans="1:2" x14ac:dyDescent="0.25">
      <c r="A4952" t="s">
        <v>4978</v>
      </c>
      <c r="B4952" t="s">
        <v>12232</v>
      </c>
    </row>
    <row r="4953" spans="1:2" x14ac:dyDescent="0.25">
      <c r="A4953" t="s">
        <v>4979</v>
      </c>
      <c r="B4953" t="s">
        <v>12233</v>
      </c>
    </row>
    <row r="4954" spans="1:2" x14ac:dyDescent="0.25">
      <c r="A4954" t="s">
        <v>4980</v>
      </c>
      <c r="B4954" t="s">
        <v>12234</v>
      </c>
    </row>
    <row r="4955" spans="1:2" x14ac:dyDescent="0.25">
      <c r="A4955" t="s">
        <v>4981</v>
      </c>
      <c r="B4955" t="s">
        <v>12235</v>
      </c>
    </row>
    <row r="4956" spans="1:2" x14ac:dyDescent="0.25">
      <c r="A4956" t="s">
        <v>4982</v>
      </c>
      <c r="B4956" t="s">
        <v>12236</v>
      </c>
    </row>
    <row r="4957" spans="1:2" x14ac:dyDescent="0.25">
      <c r="A4957" t="s">
        <v>4983</v>
      </c>
      <c r="B4957" t="s">
        <v>12237</v>
      </c>
    </row>
    <row r="4958" spans="1:2" x14ac:dyDescent="0.25">
      <c r="A4958" t="s">
        <v>4984</v>
      </c>
      <c r="B4958" t="s">
        <v>12238</v>
      </c>
    </row>
    <row r="4959" spans="1:2" x14ac:dyDescent="0.25">
      <c r="A4959" t="s">
        <v>4985</v>
      </c>
      <c r="B4959" t="s">
        <v>12239</v>
      </c>
    </row>
    <row r="4960" spans="1:2" x14ac:dyDescent="0.25">
      <c r="A4960" t="s">
        <v>4986</v>
      </c>
      <c r="B4960" t="s">
        <v>12240</v>
      </c>
    </row>
    <row r="4961" spans="1:2" x14ac:dyDescent="0.25">
      <c r="A4961" t="s">
        <v>4987</v>
      </c>
      <c r="B4961" t="s">
        <v>12241</v>
      </c>
    </row>
    <row r="4962" spans="1:2" x14ac:dyDescent="0.25">
      <c r="A4962" t="s">
        <v>4988</v>
      </c>
      <c r="B4962" t="s">
        <v>12242</v>
      </c>
    </row>
    <row r="4963" spans="1:2" x14ac:dyDescent="0.25">
      <c r="A4963" t="s">
        <v>4989</v>
      </c>
      <c r="B4963" t="s">
        <v>12243</v>
      </c>
    </row>
    <row r="4964" spans="1:2" x14ac:dyDescent="0.25">
      <c r="A4964" t="s">
        <v>4990</v>
      </c>
      <c r="B4964" t="s">
        <v>12244</v>
      </c>
    </row>
    <row r="4965" spans="1:2" x14ac:dyDescent="0.25">
      <c r="A4965" t="s">
        <v>4991</v>
      </c>
      <c r="B4965" t="s">
        <v>12245</v>
      </c>
    </row>
    <row r="4966" spans="1:2" x14ac:dyDescent="0.25">
      <c r="A4966" t="s">
        <v>4992</v>
      </c>
      <c r="B4966" t="s">
        <v>12246</v>
      </c>
    </row>
    <row r="4967" spans="1:2" x14ac:dyDescent="0.25">
      <c r="A4967" t="s">
        <v>4993</v>
      </c>
      <c r="B4967" t="s">
        <v>12247</v>
      </c>
    </row>
    <row r="4968" spans="1:2" x14ac:dyDescent="0.25">
      <c r="A4968" t="s">
        <v>4994</v>
      </c>
      <c r="B4968" t="s">
        <v>12248</v>
      </c>
    </row>
    <row r="4969" spans="1:2" x14ac:dyDescent="0.25">
      <c r="A4969" t="s">
        <v>4995</v>
      </c>
      <c r="B4969" t="s">
        <v>12249</v>
      </c>
    </row>
    <row r="4970" spans="1:2" x14ac:dyDescent="0.25">
      <c r="A4970" t="s">
        <v>4996</v>
      </c>
      <c r="B4970" t="s">
        <v>12250</v>
      </c>
    </row>
    <row r="4971" spans="1:2" x14ac:dyDescent="0.25">
      <c r="A4971" t="s">
        <v>4997</v>
      </c>
      <c r="B4971" t="s">
        <v>12251</v>
      </c>
    </row>
    <row r="4972" spans="1:2" x14ac:dyDescent="0.25">
      <c r="A4972" t="s">
        <v>4998</v>
      </c>
      <c r="B4972" t="s">
        <v>12252</v>
      </c>
    </row>
    <row r="4973" spans="1:2" x14ac:dyDescent="0.25">
      <c r="A4973" t="s">
        <v>4999</v>
      </c>
      <c r="B4973" t="s">
        <v>12253</v>
      </c>
    </row>
    <row r="4974" spans="1:2" x14ac:dyDescent="0.25">
      <c r="A4974" t="s">
        <v>5000</v>
      </c>
      <c r="B4974" t="s">
        <v>12254</v>
      </c>
    </row>
    <row r="4975" spans="1:2" x14ac:dyDescent="0.25">
      <c r="A4975" t="s">
        <v>5001</v>
      </c>
      <c r="B4975" t="s">
        <v>12255</v>
      </c>
    </row>
    <row r="4976" spans="1:2" x14ac:dyDescent="0.25">
      <c r="A4976" t="s">
        <v>5002</v>
      </c>
      <c r="B4976" t="s">
        <v>12256</v>
      </c>
    </row>
    <row r="4977" spans="1:2" x14ac:dyDescent="0.25">
      <c r="A4977" t="s">
        <v>5003</v>
      </c>
      <c r="B4977" t="s">
        <v>12257</v>
      </c>
    </row>
    <row r="4978" spans="1:2" x14ac:dyDescent="0.25">
      <c r="A4978" t="s">
        <v>5004</v>
      </c>
      <c r="B4978" t="s">
        <v>12258</v>
      </c>
    </row>
    <row r="4979" spans="1:2" x14ac:dyDescent="0.25">
      <c r="A4979" t="s">
        <v>5005</v>
      </c>
      <c r="B4979" t="s">
        <v>12259</v>
      </c>
    </row>
    <row r="4980" spans="1:2" x14ac:dyDescent="0.25">
      <c r="A4980" t="s">
        <v>5006</v>
      </c>
      <c r="B4980" t="s">
        <v>12260</v>
      </c>
    </row>
    <row r="4981" spans="1:2" x14ac:dyDescent="0.25">
      <c r="A4981" t="s">
        <v>5007</v>
      </c>
      <c r="B4981" t="s">
        <v>12261</v>
      </c>
    </row>
    <row r="4982" spans="1:2" x14ac:dyDescent="0.25">
      <c r="A4982" t="s">
        <v>5008</v>
      </c>
      <c r="B4982" t="s">
        <v>12262</v>
      </c>
    </row>
    <row r="4983" spans="1:2" x14ac:dyDescent="0.25">
      <c r="A4983" t="s">
        <v>5009</v>
      </c>
      <c r="B4983" t="s">
        <v>12263</v>
      </c>
    </row>
    <row r="4984" spans="1:2" x14ac:dyDescent="0.25">
      <c r="A4984" t="s">
        <v>5010</v>
      </c>
      <c r="B4984" t="s">
        <v>12264</v>
      </c>
    </row>
    <row r="4985" spans="1:2" x14ac:dyDescent="0.25">
      <c r="A4985" t="s">
        <v>5011</v>
      </c>
      <c r="B4985" t="s">
        <v>12265</v>
      </c>
    </row>
    <row r="4986" spans="1:2" x14ac:dyDescent="0.25">
      <c r="A4986" t="s">
        <v>5012</v>
      </c>
      <c r="B4986" t="s">
        <v>12266</v>
      </c>
    </row>
    <row r="4987" spans="1:2" x14ac:dyDescent="0.25">
      <c r="A4987" t="s">
        <v>5013</v>
      </c>
      <c r="B4987" t="s">
        <v>12267</v>
      </c>
    </row>
    <row r="4988" spans="1:2" x14ac:dyDescent="0.25">
      <c r="A4988" t="s">
        <v>5014</v>
      </c>
      <c r="B4988" t="s">
        <v>12268</v>
      </c>
    </row>
    <row r="4989" spans="1:2" x14ac:dyDescent="0.25">
      <c r="A4989" t="s">
        <v>5015</v>
      </c>
      <c r="B4989" t="s">
        <v>12269</v>
      </c>
    </row>
    <row r="4990" spans="1:2" x14ac:dyDescent="0.25">
      <c r="A4990" t="s">
        <v>5016</v>
      </c>
      <c r="B4990" t="s">
        <v>12270</v>
      </c>
    </row>
    <row r="4991" spans="1:2" x14ac:dyDescent="0.25">
      <c r="A4991" t="s">
        <v>5017</v>
      </c>
      <c r="B4991" t="s">
        <v>12271</v>
      </c>
    </row>
    <row r="4992" spans="1:2" x14ac:dyDescent="0.25">
      <c r="A4992" t="s">
        <v>5018</v>
      </c>
      <c r="B4992" t="s">
        <v>12272</v>
      </c>
    </row>
    <row r="4993" spans="1:2" x14ac:dyDescent="0.25">
      <c r="A4993" t="s">
        <v>5019</v>
      </c>
      <c r="B4993" t="s">
        <v>12273</v>
      </c>
    </row>
    <row r="4994" spans="1:2" x14ac:dyDescent="0.25">
      <c r="A4994" t="s">
        <v>5020</v>
      </c>
      <c r="B4994" t="s">
        <v>12274</v>
      </c>
    </row>
    <row r="4995" spans="1:2" x14ac:dyDescent="0.25">
      <c r="A4995" t="s">
        <v>5021</v>
      </c>
      <c r="B4995" t="s">
        <v>12275</v>
      </c>
    </row>
    <row r="4996" spans="1:2" x14ac:dyDescent="0.25">
      <c r="A4996" t="s">
        <v>5022</v>
      </c>
      <c r="B4996" t="s">
        <v>12276</v>
      </c>
    </row>
    <row r="4997" spans="1:2" x14ac:dyDescent="0.25">
      <c r="A4997" t="s">
        <v>5023</v>
      </c>
      <c r="B4997" t="s">
        <v>12277</v>
      </c>
    </row>
    <row r="4998" spans="1:2" x14ac:dyDescent="0.25">
      <c r="A4998" t="s">
        <v>5024</v>
      </c>
      <c r="B4998" t="s">
        <v>12278</v>
      </c>
    </row>
    <row r="4999" spans="1:2" x14ac:dyDescent="0.25">
      <c r="A4999" t="s">
        <v>5025</v>
      </c>
      <c r="B4999" t="s">
        <v>12279</v>
      </c>
    </row>
    <row r="5000" spans="1:2" x14ac:dyDescent="0.25">
      <c r="A5000" t="s">
        <v>5026</v>
      </c>
      <c r="B5000" t="s">
        <v>12280</v>
      </c>
    </row>
    <row r="5001" spans="1:2" x14ac:dyDescent="0.25">
      <c r="A5001" t="s">
        <v>5027</v>
      </c>
      <c r="B5001" t="s">
        <v>12281</v>
      </c>
    </row>
    <row r="5002" spans="1:2" x14ac:dyDescent="0.25">
      <c r="A5002" t="s">
        <v>5028</v>
      </c>
      <c r="B5002" t="s">
        <v>12282</v>
      </c>
    </row>
    <row r="5003" spans="1:2" x14ac:dyDescent="0.25">
      <c r="A5003" t="s">
        <v>5029</v>
      </c>
      <c r="B5003" t="s">
        <v>12283</v>
      </c>
    </row>
    <row r="5004" spans="1:2" x14ac:dyDescent="0.25">
      <c r="A5004" t="s">
        <v>5030</v>
      </c>
      <c r="B5004" t="s">
        <v>12284</v>
      </c>
    </row>
    <row r="5005" spans="1:2" x14ac:dyDescent="0.25">
      <c r="A5005" t="s">
        <v>5031</v>
      </c>
      <c r="B5005" t="s">
        <v>12285</v>
      </c>
    </row>
    <row r="5006" spans="1:2" x14ac:dyDescent="0.25">
      <c r="A5006" t="s">
        <v>5032</v>
      </c>
      <c r="B5006" t="s">
        <v>12286</v>
      </c>
    </row>
    <row r="5007" spans="1:2" x14ac:dyDescent="0.25">
      <c r="A5007" t="s">
        <v>5033</v>
      </c>
      <c r="B5007" t="s">
        <v>12287</v>
      </c>
    </row>
    <row r="5008" spans="1:2" x14ac:dyDescent="0.25">
      <c r="A5008" t="s">
        <v>5034</v>
      </c>
      <c r="B5008" t="s">
        <v>12288</v>
      </c>
    </row>
    <row r="5009" spans="1:2" x14ac:dyDescent="0.25">
      <c r="A5009" t="s">
        <v>5035</v>
      </c>
      <c r="B5009" t="s">
        <v>12289</v>
      </c>
    </row>
    <row r="5010" spans="1:2" x14ac:dyDescent="0.25">
      <c r="A5010" t="s">
        <v>5036</v>
      </c>
      <c r="B5010" t="s">
        <v>12290</v>
      </c>
    </row>
    <row r="5011" spans="1:2" x14ac:dyDescent="0.25">
      <c r="A5011" t="s">
        <v>5037</v>
      </c>
      <c r="B5011" t="s">
        <v>12291</v>
      </c>
    </row>
    <row r="5012" spans="1:2" x14ac:dyDescent="0.25">
      <c r="A5012" t="s">
        <v>5038</v>
      </c>
      <c r="B5012" t="s">
        <v>12292</v>
      </c>
    </row>
    <row r="5013" spans="1:2" x14ac:dyDescent="0.25">
      <c r="A5013" t="s">
        <v>5039</v>
      </c>
      <c r="B5013" t="s">
        <v>12293</v>
      </c>
    </row>
    <row r="5014" spans="1:2" x14ac:dyDescent="0.25">
      <c r="A5014" t="s">
        <v>5040</v>
      </c>
      <c r="B5014" t="s">
        <v>12294</v>
      </c>
    </row>
    <row r="5015" spans="1:2" x14ac:dyDescent="0.25">
      <c r="A5015" t="s">
        <v>5041</v>
      </c>
      <c r="B5015" t="s">
        <v>12295</v>
      </c>
    </row>
    <row r="5016" spans="1:2" x14ac:dyDescent="0.25">
      <c r="A5016" t="s">
        <v>5042</v>
      </c>
      <c r="B5016" t="s">
        <v>12296</v>
      </c>
    </row>
    <row r="5017" spans="1:2" x14ac:dyDescent="0.25">
      <c r="A5017" t="s">
        <v>5043</v>
      </c>
      <c r="B5017" t="s">
        <v>12297</v>
      </c>
    </row>
    <row r="5018" spans="1:2" x14ac:dyDescent="0.25">
      <c r="A5018" t="s">
        <v>5044</v>
      </c>
      <c r="B5018" t="s">
        <v>12298</v>
      </c>
    </row>
    <row r="5019" spans="1:2" x14ac:dyDescent="0.25">
      <c r="A5019" t="s">
        <v>5045</v>
      </c>
      <c r="B5019" t="s">
        <v>12299</v>
      </c>
    </row>
    <row r="5020" spans="1:2" x14ac:dyDescent="0.25">
      <c r="A5020" t="s">
        <v>5046</v>
      </c>
      <c r="B5020" t="s">
        <v>12300</v>
      </c>
    </row>
    <row r="5021" spans="1:2" x14ac:dyDescent="0.25">
      <c r="A5021" t="s">
        <v>5047</v>
      </c>
      <c r="B5021" t="s">
        <v>12301</v>
      </c>
    </row>
    <row r="5022" spans="1:2" x14ac:dyDescent="0.25">
      <c r="A5022" t="s">
        <v>5048</v>
      </c>
      <c r="B5022" t="s">
        <v>12302</v>
      </c>
    </row>
    <row r="5023" spans="1:2" x14ac:dyDescent="0.25">
      <c r="A5023" t="s">
        <v>5049</v>
      </c>
      <c r="B5023" t="s">
        <v>12303</v>
      </c>
    </row>
    <row r="5024" spans="1:2" x14ac:dyDescent="0.25">
      <c r="A5024" t="s">
        <v>5050</v>
      </c>
      <c r="B5024" t="s">
        <v>12304</v>
      </c>
    </row>
    <row r="5025" spans="1:2" x14ac:dyDescent="0.25">
      <c r="A5025" t="s">
        <v>5051</v>
      </c>
      <c r="B5025" t="s">
        <v>12305</v>
      </c>
    </row>
    <row r="5026" spans="1:2" x14ac:dyDescent="0.25">
      <c r="A5026" t="s">
        <v>5052</v>
      </c>
      <c r="B5026" t="s">
        <v>12306</v>
      </c>
    </row>
    <row r="5027" spans="1:2" x14ac:dyDescent="0.25">
      <c r="A5027" t="s">
        <v>5053</v>
      </c>
      <c r="B5027" t="s">
        <v>12307</v>
      </c>
    </row>
    <row r="5028" spans="1:2" x14ac:dyDescent="0.25">
      <c r="A5028" t="s">
        <v>5054</v>
      </c>
      <c r="B5028" t="s">
        <v>12308</v>
      </c>
    </row>
    <row r="5029" spans="1:2" x14ac:dyDescent="0.25">
      <c r="A5029" t="s">
        <v>5055</v>
      </c>
      <c r="B5029" t="s">
        <v>12309</v>
      </c>
    </row>
    <row r="5030" spans="1:2" x14ac:dyDescent="0.25">
      <c r="A5030" t="s">
        <v>5056</v>
      </c>
      <c r="B5030" t="s">
        <v>12310</v>
      </c>
    </row>
    <row r="5031" spans="1:2" x14ac:dyDescent="0.25">
      <c r="A5031" t="s">
        <v>5057</v>
      </c>
      <c r="B5031" t="s">
        <v>12311</v>
      </c>
    </row>
    <row r="5032" spans="1:2" x14ac:dyDescent="0.25">
      <c r="A5032" t="s">
        <v>5058</v>
      </c>
      <c r="B5032" t="s">
        <v>12312</v>
      </c>
    </row>
    <row r="5033" spans="1:2" x14ac:dyDescent="0.25">
      <c r="A5033" t="s">
        <v>5059</v>
      </c>
      <c r="B5033" t="s">
        <v>12313</v>
      </c>
    </row>
    <row r="5034" spans="1:2" x14ac:dyDescent="0.25">
      <c r="A5034" t="s">
        <v>5060</v>
      </c>
      <c r="B5034" t="s">
        <v>12314</v>
      </c>
    </row>
    <row r="5035" spans="1:2" x14ac:dyDescent="0.25">
      <c r="A5035" t="s">
        <v>5061</v>
      </c>
      <c r="B5035" t="s">
        <v>12315</v>
      </c>
    </row>
    <row r="5036" spans="1:2" x14ac:dyDescent="0.25">
      <c r="A5036" t="s">
        <v>5062</v>
      </c>
      <c r="B5036" t="s">
        <v>12316</v>
      </c>
    </row>
    <row r="5037" spans="1:2" x14ac:dyDescent="0.25">
      <c r="A5037" t="s">
        <v>5063</v>
      </c>
      <c r="B5037" t="s">
        <v>12317</v>
      </c>
    </row>
    <row r="5038" spans="1:2" x14ac:dyDescent="0.25">
      <c r="A5038" t="s">
        <v>5064</v>
      </c>
      <c r="B5038" t="s">
        <v>12318</v>
      </c>
    </row>
    <row r="5039" spans="1:2" x14ac:dyDescent="0.25">
      <c r="A5039" t="s">
        <v>5065</v>
      </c>
      <c r="B5039" t="s">
        <v>12319</v>
      </c>
    </row>
    <row r="5040" spans="1:2" x14ac:dyDescent="0.25">
      <c r="A5040" t="s">
        <v>5066</v>
      </c>
      <c r="B5040" t="s">
        <v>12320</v>
      </c>
    </row>
    <row r="5041" spans="1:2" x14ac:dyDescent="0.25">
      <c r="A5041" t="s">
        <v>5067</v>
      </c>
      <c r="B5041" t="s">
        <v>12321</v>
      </c>
    </row>
    <row r="5042" spans="1:2" x14ac:dyDescent="0.25">
      <c r="A5042" t="s">
        <v>5068</v>
      </c>
      <c r="B5042" t="s">
        <v>12322</v>
      </c>
    </row>
    <row r="5043" spans="1:2" x14ac:dyDescent="0.25">
      <c r="A5043" t="s">
        <v>5069</v>
      </c>
      <c r="B5043" t="s">
        <v>12323</v>
      </c>
    </row>
    <row r="5044" spans="1:2" x14ac:dyDescent="0.25">
      <c r="A5044" t="s">
        <v>5070</v>
      </c>
      <c r="B5044" t="s">
        <v>12324</v>
      </c>
    </row>
    <row r="5045" spans="1:2" x14ac:dyDescent="0.25">
      <c r="A5045" t="s">
        <v>5071</v>
      </c>
      <c r="B5045" t="s">
        <v>12325</v>
      </c>
    </row>
    <row r="5046" spans="1:2" x14ac:dyDescent="0.25">
      <c r="A5046" t="s">
        <v>5072</v>
      </c>
      <c r="B5046" t="s">
        <v>12326</v>
      </c>
    </row>
    <row r="5047" spans="1:2" x14ac:dyDescent="0.25">
      <c r="A5047" t="s">
        <v>5073</v>
      </c>
      <c r="B5047" t="s">
        <v>12327</v>
      </c>
    </row>
    <row r="5048" spans="1:2" x14ac:dyDescent="0.25">
      <c r="A5048" t="s">
        <v>5074</v>
      </c>
      <c r="B5048" t="s">
        <v>12328</v>
      </c>
    </row>
    <row r="5049" spans="1:2" x14ac:dyDescent="0.25">
      <c r="A5049" t="s">
        <v>5075</v>
      </c>
      <c r="B5049" t="s">
        <v>12329</v>
      </c>
    </row>
    <row r="5050" spans="1:2" x14ac:dyDescent="0.25">
      <c r="A5050" t="s">
        <v>5076</v>
      </c>
      <c r="B5050" t="s">
        <v>12330</v>
      </c>
    </row>
    <row r="5051" spans="1:2" x14ac:dyDescent="0.25">
      <c r="A5051" t="s">
        <v>5077</v>
      </c>
      <c r="B5051" t="s">
        <v>12331</v>
      </c>
    </row>
    <row r="5052" spans="1:2" x14ac:dyDescent="0.25">
      <c r="A5052" t="s">
        <v>5078</v>
      </c>
      <c r="B5052" t="s">
        <v>12332</v>
      </c>
    </row>
    <row r="5053" spans="1:2" x14ac:dyDescent="0.25">
      <c r="A5053" t="s">
        <v>5079</v>
      </c>
      <c r="B5053" t="s">
        <v>12333</v>
      </c>
    </row>
    <row r="5054" spans="1:2" x14ac:dyDescent="0.25">
      <c r="A5054" t="s">
        <v>5080</v>
      </c>
      <c r="B5054" t="s">
        <v>12334</v>
      </c>
    </row>
    <row r="5055" spans="1:2" x14ac:dyDescent="0.25">
      <c r="A5055" t="s">
        <v>5081</v>
      </c>
      <c r="B5055" t="s">
        <v>12335</v>
      </c>
    </row>
    <row r="5056" spans="1:2" x14ac:dyDescent="0.25">
      <c r="A5056" t="s">
        <v>5082</v>
      </c>
      <c r="B5056" t="s">
        <v>12336</v>
      </c>
    </row>
    <row r="5057" spans="1:2" x14ac:dyDescent="0.25">
      <c r="A5057" t="s">
        <v>5083</v>
      </c>
      <c r="B5057" t="s">
        <v>12337</v>
      </c>
    </row>
    <row r="5058" spans="1:2" x14ac:dyDescent="0.25">
      <c r="A5058" t="s">
        <v>5084</v>
      </c>
      <c r="B5058" t="s">
        <v>12338</v>
      </c>
    </row>
    <row r="5059" spans="1:2" x14ac:dyDescent="0.25">
      <c r="A5059" t="s">
        <v>5085</v>
      </c>
      <c r="B5059" t="s">
        <v>12339</v>
      </c>
    </row>
    <row r="5060" spans="1:2" x14ac:dyDescent="0.25">
      <c r="A5060" t="s">
        <v>5086</v>
      </c>
      <c r="B5060" t="s">
        <v>12340</v>
      </c>
    </row>
    <row r="5061" spans="1:2" x14ac:dyDescent="0.25">
      <c r="A5061" t="s">
        <v>5087</v>
      </c>
      <c r="B5061" t="s">
        <v>12341</v>
      </c>
    </row>
    <row r="5062" spans="1:2" x14ac:dyDescent="0.25">
      <c r="A5062" t="s">
        <v>5088</v>
      </c>
      <c r="B5062" t="s">
        <v>12342</v>
      </c>
    </row>
    <row r="5063" spans="1:2" x14ac:dyDescent="0.25">
      <c r="A5063" t="s">
        <v>5089</v>
      </c>
      <c r="B5063" t="s">
        <v>12343</v>
      </c>
    </row>
    <row r="5064" spans="1:2" x14ac:dyDescent="0.25">
      <c r="A5064" t="s">
        <v>5090</v>
      </c>
      <c r="B5064" t="s">
        <v>12344</v>
      </c>
    </row>
    <row r="5065" spans="1:2" x14ac:dyDescent="0.25">
      <c r="A5065" t="s">
        <v>5091</v>
      </c>
      <c r="B5065" t="s">
        <v>12345</v>
      </c>
    </row>
    <row r="5066" spans="1:2" x14ac:dyDescent="0.25">
      <c r="A5066" t="s">
        <v>5092</v>
      </c>
      <c r="B5066" t="s">
        <v>12346</v>
      </c>
    </row>
    <row r="5067" spans="1:2" x14ac:dyDescent="0.25">
      <c r="A5067" t="s">
        <v>5093</v>
      </c>
      <c r="B5067" t="s">
        <v>12347</v>
      </c>
    </row>
    <row r="5068" spans="1:2" x14ac:dyDescent="0.25">
      <c r="A5068" t="s">
        <v>5094</v>
      </c>
      <c r="B5068" t="s">
        <v>12348</v>
      </c>
    </row>
    <row r="5069" spans="1:2" x14ac:dyDescent="0.25">
      <c r="A5069" t="s">
        <v>5095</v>
      </c>
      <c r="B5069" t="s">
        <v>12349</v>
      </c>
    </row>
    <row r="5070" spans="1:2" x14ac:dyDescent="0.25">
      <c r="A5070" t="s">
        <v>5096</v>
      </c>
      <c r="B5070" t="s">
        <v>12350</v>
      </c>
    </row>
    <row r="5071" spans="1:2" x14ac:dyDescent="0.25">
      <c r="A5071" t="s">
        <v>5097</v>
      </c>
      <c r="B5071" t="s">
        <v>12351</v>
      </c>
    </row>
    <row r="5072" spans="1:2" x14ac:dyDescent="0.25">
      <c r="A5072" t="s">
        <v>5098</v>
      </c>
      <c r="B5072" t="s">
        <v>12352</v>
      </c>
    </row>
    <row r="5073" spans="1:2" x14ac:dyDescent="0.25">
      <c r="A5073" t="s">
        <v>5099</v>
      </c>
      <c r="B5073" t="s">
        <v>12353</v>
      </c>
    </row>
    <row r="5074" spans="1:2" x14ac:dyDescent="0.25">
      <c r="A5074" t="s">
        <v>5100</v>
      </c>
      <c r="B5074" t="s">
        <v>12354</v>
      </c>
    </row>
    <row r="5075" spans="1:2" x14ac:dyDescent="0.25">
      <c r="A5075" t="s">
        <v>5101</v>
      </c>
      <c r="B5075" t="s">
        <v>12355</v>
      </c>
    </row>
    <row r="5076" spans="1:2" x14ac:dyDescent="0.25">
      <c r="A5076" t="s">
        <v>5102</v>
      </c>
      <c r="B5076" t="s">
        <v>12356</v>
      </c>
    </row>
    <row r="5077" spans="1:2" x14ac:dyDescent="0.25">
      <c r="A5077" t="s">
        <v>5103</v>
      </c>
      <c r="B5077" t="s">
        <v>12357</v>
      </c>
    </row>
    <row r="5078" spans="1:2" x14ac:dyDescent="0.25">
      <c r="A5078" t="s">
        <v>5104</v>
      </c>
      <c r="B5078" t="s">
        <v>12358</v>
      </c>
    </row>
    <row r="5079" spans="1:2" x14ac:dyDescent="0.25">
      <c r="A5079" t="s">
        <v>5105</v>
      </c>
      <c r="B5079" t="s">
        <v>12359</v>
      </c>
    </row>
    <row r="5080" spans="1:2" x14ac:dyDescent="0.25">
      <c r="A5080" t="s">
        <v>5106</v>
      </c>
      <c r="B5080" t="s">
        <v>12360</v>
      </c>
    </row>
    <row r="5081" spans="1:2" x14ac:dyDescent="0.25">
      <c r="A5081" t="s">
        <v>5107</v>
      </c>
      <c r="B5081" t="s">
        <v>12361</v>
      </c>
    </row>
    <row r="5082" spans="1:2" x14ac:dyDescent="0.25">
      <c r="A5082" t="s">
        <v>5108</v>
      </c>
      <c r="B5082" t="s">
        <v>12362</v>
      </c>
    </row>
    <row r="5083" spans="1:2" x14ac:dyDescent="0.25">
      <c r="A5083" t="s">
        <v>5109</v>
      </c>
      <c r="B5083" t="s">
        <v>12363</v>
      </c>
    </row>
    <row r="5084" spans="1:2" x14ac:dyDescent="0.25">
      <c r="A5084" t="s">
        <v>5110</v>
      </c>
      <c r="B5084" t="s">
        <v>12364</v>
      </c>
    </row>
    <row r="5085" spans="1:2" x14ac:dyDescent="0.25">
      <c r="A5085" t="s">
        <v>5111</v>
      </c>
      <c r="B5085" t="s">
        <v>12365</v>
      </c>
    </row>
    <row r="5086" spans="1:2" x14ac:dyDescent="0.25">
      <c r="A5086" t="s">
        <v>5112</v>
      </c>
      <c r="B5086" t="s">
        <v>12366</v>
      </c>
    </row>
    <row r="5087" spans="1:2" x14ac:dyDescent="0.25">
      <c r="A5087" t="s">
        <v>5113</v>
      </c>
      <c r="B5087" t="s">
        <v>12367</v>
      </c>
    </row>
    <row r="5088" spans="1:2" x14ac:dyDescent="0.25">
      <c r="A5088" t="s">
        <v>5114</v>
      </c>
      <c r="B5088" t="s">
        <v>12368</v>
      </c>
    </row>
    <row r="5089" spans="1:2" x14ac:dyDescent="0.25">
      <c r="A5089" t="s">
        <v>5115</v>
      </c>
      <c r="B5089" t="s">
        <v>12369</v>
      </c>
    </row>
    <row r="5090" spans="1:2" x14ac:dyDescent="0.25">
      <c r="A5090" t="s">
        <v>5116</v>
      </c>
      <c r="B5090" t="s">
        <v>12370</v>
      </c>
    </row>
    <row r="5091" spans="1:2" x14ac:dyDescent="0.25">
      <c r="A5091" t="s">
        <v>5117</v>
      </c>
      <c r="B5091" t="s">
        <v>12371</v>
      </c>
    </row>
    <row r="5092" spans="1:2" x14ac:dyDescent="0.25">
      <c r="A5092" t="s">
        <v>5118</v>
      </c>
      <c r="B5092" t="s">
        <v>12372</v>
      </c>
    </row>
    <row r="5093" spans="1:2" x14ac:dyDescent="0.25">
      <c r="A5093" t="s">
        <v>5119</v>
      </c>
      <c r="B5093" t="s">
        <v>12373</v>
      </c>
    </row>
    <row r="5094" spans="1:2" x14ac:dyDescent="0.25">
      <c r="A5094" t="s">
        <v>5120</v>
      </c>
      <c r="B5094" t="s">
        <v>12374</v>
      </c>
    </row>
    <row r="5095" spans="1:2" x14ac:dyDescent="0.25">
      <c r="A5095" t="s">
        <v>5121</v>
      </c>
      <c r="B5095" t="s">
        <v>12375</v>
      </c>
    </row>
    <row r="5096" spans="1:2" x14ac:dyDescent="0.25">
      <c r="A5096" t="s">
        <v>5122</v>
      </c>
      <c r="B5096" t="s">
        <v>12376</v>
      </c>
    </row>
    <row r="5097" spans="1:2" x14ac:dyDescent="0.25">
      <c r="A5097" t="s">
        <v>5123</v>
      </c>
      <c r="B5097" t="s">
        <v>12377</v>
      </c>
    </row>
    <row r="5098" spans="1:2" x14ac:dyDescent="0.25">
      <c r="A5098" t="s">
        <v>5124</v>
      </c>
      <c r="B5098" t="s">
        <v>12378</v>
      </c>
    </row>
    <row r="5099" spans="1:2" x14ac:dyDescent="0.25">
      <c r="A5099" t="s">
        <v>5125</v>
      </c>
      <c r="B5099" t="s">
        <v>12379</v>
      </c>
    </row>
    <row r="5100" spans="1:2" x14ac:dyDescent="0.25">
      <c r="A5100" t="s">
        <v>5126</v>
      </c>
      <c r="B5100" t="s">
        <v>12380</v>
      </c>
    </row>
    <row r="5101" spans="1:2" x14ac:dyDescent="0.25">
      <c r="A5101" t="s">
        <v>5127</v>
      </c>
      <c r="B5101" t="s">
        <v>12381</v>
      </c>
    </row>
    <row r="5102" spans="1:2" x14ac:dyDescent="0.25">
      <c r="A5102" t="s">
        <v>5128</v>
      </c>
      <c r="B5102" t="s">
        <v>12382</v>
      </c>
    </row>
    <row r="5103" spans="1:2" x14ac:dyDescent="0.25">
      <c r="A5103" t="s">
        <v>5129</v>
      </c>
      <c r="B5103" t="s">
        <v>12383</v>
      </c>
    </row>
    <row r="5104" spans="1:2" x14ac:dyDescent="0.25">
      <c r="A5104" t="s">
        <v>5130</v>
      </c>
      <c r="B5104" t="s">
        <v>12384</v>
      </c>
    </row>
    <row r="5105" spans="1:2" x14ac:dyDescent="0.25">
      <c r="A5105" t="s">
        <v>5131</v>
      </c>
      <c r="B5105" t="s">
        <v>12385</v>
      </c>
    </row>
    <row r="5106" spans="1:2" x14ac:dyDescent="0.25">
      <c r="A5106" t="s">
        <v>5132</v>
      </c>
      <c r="B5106" t="s">
        <v>12386</v>
      </c>
    </row>
    <row r="5107" spans="1:2" x14ac:dyDescent="0.25">
      <c r="A5107" t="s">
        <v>5133</v>
      </c>
      <c r="B5107" t="s">
        <v>12387</v>
      </c>
    </row>
    <row r="5108" spans="1:2" x14ac:dyDescent="0.25">
      <c r="A5108" t="s">
        <v>5134</v>
      </c>
      <c r="B5108" t="s">
        <v>12388</v>
      </c>
    </row>
    <row r="5109" spans="1:2" x14ac:dyDescent="0.25">
      <c r="A5109" t="s">
        <v>5135</v>
      </c>
      <c r="B5109" t="s">
        <v>12389</v>
      </c>
    </row>
    <row r="5110" spans="1:2" x14ac:dyDescent="0.25">
      <c r="A5110" t="s">
        <v>5136</v>
      </c>
      <c r="B5110" t="s">
        <v>12390</v>
      </c>
    </row>
    <row r="5111" spans="1:2" x14ac:dyDescent="0.25">
      <c r="A5111" t="s">
        <v>5137</v>
      </c>
      <c r="B5111" t="s">
        <v>12391</v>
      </c>
    </row>
    <row r="5112" spans="1:2" x14ac:dyDescent="0.25">
      <c r="A5112" t="s">
        <v>5138</v>
      </c>
      <c r="B5112" t="s">
        <v>12392</v>
      </c>
    </row>
    <row r="5113" spans="1:2" x14ac:dyDescent="0.25">
      <c r="A5113" t="s">
        <v>5139</v>
      </c>
      <c r="B5113" t="s">
        <v>12393</v>
      </c>
    </row>
    <row r="5114" spans="1:2" x14ac:dyDescent="0.25">
      <c r="A5114" t="s">
        <v>5140</v>
      </c>
      <c r="B5114" t="s">
        <v>12394</v>
      </c>
    </row>
    <row r="5115" spans="1:2" x14ac:dyDescent="0.25">
      <c r="A5115" t="s">
        <v>5141</v>
      </c>
      <c r="B5115" t="s">
        <v>12395</v>
      </c>
    </row>
    <row r="5116" spans="1:2" x14ac:dyDescent="0.25">
      <c r="A5116" t="s">
        <v>5142</v>
      </c>
      <c r="B5116" t="s">
        <v>12396</v>
      </c>
    </row>
    <row r="5117" spans="1:2" x14ac:dyDescent="0.25">
      <c r="A5117" t="s">
        <v>5143</v>
      </c>
      <c r="B5117" t="s">
        <v>12397</v>
      </c>
    </row>
    <row r="5118" spans="1:2" x14ac:dyDescent="0.25">
      <c r="A5118" t="s">
        <v>5144</v>
      </c>
      <c r="B5118" t="s">
        <v>12398</v>
      </c>
    </row>
    <row r="5119" spans="1:2" x14ac:dyDescent="0.25">
      <c r="A5119" t="s">
        <v>5145</v>
      </c>
      <c r="B5119" t="s">
        <v>12399</v>
      </c>
    </row>
    <row r="5120" spans="1:2" x14ac:dyDescent="0.25">
      <c r="A5120" t="s">
        <v>5146</v>
      </c>
      <c r="B5120" t="s">
        <v>12400</v>
      </c>
    </row>
    <row r="5121" spans="1:2" x14ac:dyDescent="0.25">
      <c r="A5121" t="s">
        <v>5147</v>
      </c>
      <c r="B5121" t="s">
        <v>12401</v>
      </c>
    </row>
    <row r="5122" spans="1:2" x14ac:dyDescent="0.25">
      <c r="A5122" t="s">
        <v>5148</v>
      </c>
      <c r="B5122" t="s">
        <v>12402</v>
      </c>
    </row>
    <row r="5123" spans="1:2" x14ac:dyDescent="0.25">
      <c r="A5123" t="s">
        <v>5149</v>
      </c>
      <c r="B5123" t="s">
        <v>12403</v>
      </c>
    </row>
    <row r="5124" spans="1:2" x14ac:dyDescent="0.25">
      <c r="A5124" t="s">
        <v>5150</v>
      </c>
      <c r="B5124" t="s">
        <v>12404</v>
      </c>
    </row>
    <row r="5125" spans="1:2" x14ac:dyDescent="0.25">
      <c r="A5125" t="s">
        <v>5151</v>
      </c>
      <c r="B5125" t="s">
        <v>12405</v>
      </c>
    </row>
    <row r="5126" spans="1:2" x14ac:dyDescent="0.25">
      <c r="A5126" t="s">
        <v>5152</v>
      </c>
      <c r="B5126" t="s">
        <v>12406</v>
      </c>
    </row>
    <row r="5127" spans="1:2" x14ac:dyDescent="0.25">
      <c r="A5127" t="s">
        <v>5153</v>
      </c>
      <c r="B5127" t="s">
        <v>12407</v>
      </c>
    </row>
    <row r="5128" spans="1:2" x14ac:dyDescent="0.25">
      <c r="A5128" t="s">
        <v>5154</v>
      </c>
      <c r="B5128" t="s">
        <v>12408</v>
      </c>
    </row>
    <row r="5129" spans="1:2" x14ac:dyDescent="0.25">
      <c r="A5129" t="s">
        <v>5155</v>
      </c>
      <c r="B5129" t="s">
        <v>12409</v>
      </c>
    </row>
    <row r="5130" spans="1:2" x14ac:dyDescent="0.25">
      <c r="A5130" t="s">
        <v>5156</v>
      </c>
      <c r="B5130" t="s">
        <v>12410</v>
      </c>
    </row>
    <row r="5131" spans="1:2" x14ac:dyDescent="0.25">
      <c r="A5131" t="s">
        <v>5157</v>
      </c>
      <c r="B5131" t="s">
        <v>12411</v>
      </c>
    </row>
    <row r="5132" spans="1:2" x14ac:dyDescent="0.25">
      <c r="A5132" t="s">
        <v>5158</v>
      </c>
      <c r="B5132" t="s">
        <v>12412</v>
      </c>
    </row>
    <row r="5133" spans="1:2" x14ac:dyDescent="0.25">
      <c r="A5133" t="s">
        <v>5159</v>
      </c>
      <c r="B5133" t="s">
        <v>12413</v>
      </c>
    </row>
    <row r="5134" spans="1:2" x14ac:dyDescent="0.25">
      <c r="A5134" t="s">
        <v>5160</v>
      </c>
      <c r="B5134" t="s">
        <v>12414</v>
      </c>
    </row>
    <row r="5135" spans="1:2" x14ac:dyDescent="0.25">
      <c r="A5135" t="s">
        <v>5161</v>
      </c>
      <c r="B5135" t="s">
        <v>12415</v>
      </c>
    </row>
    <row r="5136" spans="1:2" x14ac:dyDescent="0.25">
      <c r="A5136" t="s">
        <v>5162</v>
      </c>
      <c r="B5136" t="s">
        <v>12416</v>
      </c>
    </row>
    <row r="5137" spans="1:2" x14ac:dyDescent="0.25">
      <c r="A5137" t="s">
        <v>5163</v>
      </c>
      <c r="B5137" t="s">
        <v>12417</v>
      </c>
    </row>
    <row r="5138" spans="1:2" x14ac:dyDescent="0.25">
      <c r="A5138" t="s">
        <v>5164</v>
      </c>
      <c r="B5138" t="s">
        <v>12418</v>
      </c>
    </row>
    <row r="5139" spans="1:2" x14ac:dyDescent="0.25">
      <c r="A5139" t="s">
        <v>5165</v>
      </c>
      <c r="B5139" t="s">
        <v>12419</v>
      </c>
    </row>
    <row r="5140" spans="1:2" x14ac:dyDescent="0.25">
      <c r="A5140" t="s">
        <v>5166</v>
      </c>
      <c r="B5140" t="s">
        <v>12420</v>
      </c>
    </row>
    <row r="5141" spans="1:2" x14ac:dyDescent="0.25">
      <c r="A5141" t="s">
        <v>5167</v>
      </c>
      <c r="B5141" t="s">
        <v>12421</v>
      </c>
    </row>
    <row r="5142" spans="1:2" x14ac:dyDescent="0.25">
      <c r="A5142" t="s">
        <v>5168</v>
      </c>
      <c r="B5142" t="s">
        <v>12422</v>
      </c>
    </row>
    <row r="5143" spans="1:2" x14ac:dyDescent="0.25">
      <c r="A5143" t="s">
        <v>5169</v>
      </c>
      <c r="B5143" t="s">
        <v>12423</v>
      </c>
    </row>
    <row r="5144" spans="1:2" x14ac:dyDescent="0.25">
      <c r="A5144" t="s">
        <v>5170</v>
      </c>
      <c r="B5144" t="s">
        <v>12424</v>
      </c>
    </row>
    <row r="5145" spans="1:2" x14ac:dyDescent="0.25">
      <c r="A5145" t="s">
        <v>5171</v>
      </c>
      <c r="B5145" t="s">
        <v>12425</v>
      </c>
    </row>
    <row r="5146" spans="1:2" x14ac:dyDescent="0.25">
      <c r="A5146" t="s">
        <v>5172</v>
      </c>
      <c r="B5146" t="s">
        <v>12426</v>
      </c>
    </row>
    <row r="5147" spans="1:2" x14ac:dyDescent="0.25">
      <c r="A5147" t="s">
        <v>5173</v>
      </c>
      <c r="B5147" t="s">
        <v>12427</v>
      </c>
    </row>
    <row r="5148" spans="1:2" x14ac:dyDescent="0.25">
      <c r="A5148" t="s">
        <v>5174</v>
      </c>
      <c r="B5148" t="s">
        <v>12428</v>
      </c>
    </row>
    <row r="5149" spans="1:2" x14ac:dyDescent="0.25">
      <c r="A5149" t="s">
        <v>5175</v>
      </c>
      <c r="B5149" t="s">
        <v>12429</v>
      </c>
    </row>
    <row r="5150" spans="1:2" x14ac:dyDescent="0.25">
      <c r="A5150" t="s">
        <v>5176</v>
      </c>
      <c r="B5150" t="s">
        <v>12430</v>
      </c>
    </row>
    <row r="5151" spans="1:2" x14ac:dyDescent="0.25">
      <c r="A5151" t="s">
        <v>5177</v>
      </c>
      <c r="B5151" t="s">
        <v>12431</v>
      </c>
    </row>
    <row r="5152" spans="1:2" x14ac:dyDescent="0.25">
      <c r="A5152" t="s">
        <v>5178</v>
      </c>
      <c r="B5152" t="s">
        <v>12432</v>
      </c>
    </row>
    <row r="5153" spans="1:2" x14ac:dyDescent="0.25">
      <c r="A5153" t="s">
        <v>5179</v>
      </c>
      <c r="B5153" t="s">
        <v>12433</v>
      </c>
    </row>
    <row r="5154" spans="1:2" x14ac:dyDescent="0.25">
      <c r="A5154" t="s">
        <v>5180</v>
      </c>
      <c r="B5154" t="s">
        <v>12434</v>
      </c>
    </row>
    <row r="5155" spans="1:2" x14ac:dyDescent="0.25">
      <c r="A5155" t="s">
        <v>5181</v>
      </c>
      <c r="B5155" t="s">
        <v>12435</v>
      </c>
    </row>
    <row r="5156" spans="1:2" x14ac:dyDescent="0.25">
      <c r="A5156" t="s">
        <v>5182</v>
      </c>
      <c r="B5156" t="s">
        <v>12436</v>
      </c>
    </row>
    <row r="5157" spans="1:2" x14ac:dyDescent="0.25">
      <c r="A5157" t="s">
        <v>5183</v>
      </c>
      <c r="B5157" t="s">
        <v>12437</v>
      </c>
    </row>
    <row r="5158" spans="1:2" x14ac:dyDescent="0.25">
      <c r="A5158" t="s">
        <v>5184</v>
      </c>
      <c r="B5158" t="s">
        <v>12438</v>
      </c>
    </row>
    <row r="5159" spans="1:2" x14ac:dyDescent="0.25">
      <c r="A5159" t="s">
        <v>5185</v>
      </c>
      <c r="B5159" t="s">
        <v>12439</v>
      </c>
    </row>
    <row r="5160" spans="1:2" x14ac:dyDescent="0.25">
      <c r="A5160" t="s">
        <v>5186</v>
      </c>
      <c r="B5160" t="s">
        <v>12440</v>
      </c>
    </row>
    <row r="5161" spans="1:2" x14ac:dyDescent="0.25">
      <c r="A5161" t="s">
        <v>5187</v>
      </c>
      <c r="B5161" t="s">
        <v>12441</v>
      </c>
    </row>
    <row r="5162" spans="1:2" x14ac:dyDescent="0.25">
      <c r="A5162" t="s">
        <v>5188</v>
      </c>
      <c r="B5162" t="s">
        <v>12442</v>
      </c>
    </row>
    <row r="5163" spans="1:2" x14ac:dyDescent="0.25">
      <c r="A5163" t="s">
        <v>5189</v>
      </c>
      <c r="B5163" t="s">
        <v>12443</v>
      </c>
    </row>
    <row r="5164" spans="1:2" x14ac:dyDescent="0.25">
      <c r="A5164" t="s">
        <v>5190</v>
      </c>
      <c r="B5164" t="s">
        <v>12444</v>
      </c>
    </row>
    <row r="5165" spans="1:2" x14ac:dyDescent="0.25">
      <c r="A5165" t="s">
        <v>5191</v>
      </c>
      <c r="B5165" t="s">
        <v>12445</v>
      </c>
    </row>
    <row r="5166" spans="1:2" x14ac:dyDescent="0.25">
      <c r="A5166" t="s">
        <v>5192</v>
      </c>
      <c r="B5166" t="s">
        <v>12446</v>
      </c>
    </row>
    <row r="5167" spans="1:2" x14ac:dyDescent="0.25">
      <c r="A5167" t="s">
        <v>5193</v>
      </c>
      <c r="B5167" t="s">
        <v>12447</v>
      </c>
    </row>
    <row r="5168" spans="1:2" x14ac:dyDescent="0.25">
      <c r="A5168" t="s">
        <v>5194</v>
      </c>
      <c r="B5168" t="s">
        <v>12448</v>
      </c>
    </row>
    <row r="5169" spans="1:2" x14ac:dyDescent="0.25">
      <c r="A5169" t="s">
        <v>5195</v>
      </c>
      <c r="B5169" t="s">
        <v>12449</v>
      </c>
    </row>
    <row r="5170" spans="1:2" x14ac:dyDescent="0.25">
      <c r="A5170" t="s">
        <v>5196</v>
      </c>
      <c r="B5170" t="s">
        <v>12450</v>
      </c>
    </row>
    <row r="5171" spans="1:2" x14ac:dyDescent="0.25">
      <c r="A5171" t="s">
        <v>5197</v>
      </c>
      <c r="B5171" t="s">
        <v>12451</v>
      </c>
    </row>
    <row r="5172" spans="1:2" x14ac:dyDescent="0.25">
      <c r="A5172" t="s">
        <v>5198</v>
      </c>
      <c r="B5172" t="s">
        <v>12452</v>
      </c>
    </row>
    <row r="5173" spans="1:2" x14ac:dyDescent="0.25">
      <c r="A5173" t="s">
        <v>5199</v>
      </c>
      <c r="B5173" t="s">
        <v>12453</v>
      </c>
    </row>
    <row r="5174" spans="1:2" x14ac:dyDescent="0.25">
      <c r="A5174" t="s">
        <v>5200</v>
      </c>
      <c r="B5174" t="s">
        <v>12454</v>
      </c>
    </row>
    <row r="5175" spans="1:2" x14ac:dyDescent="0.25">
      <c r="A5175" t="s">
        <v>5201</v>
      </c>
      <c r="B5175" t="s">
        <v>12455</v>
      </c>
    </row>
    <row r="5176" spans="1:2" x14ac:dyDescent="0.25">
      <c r="A5176" t="s">
        <v>5202</v>
      </c>
      <c r="B5176" t="s">
        <v>12456</v>
      </c>
    </row>
    <row r="5177" spans="1:2" x14ac:dyDescent="0.25">
      <c r="A5177" t="s">
        <v>5203</v>
      </c>
      <c r="B5177" t="s">
        <v>12457</v>
      </c>
    </row>
    <row r="5178" spans="1:2" x14ac:dyDescent="0.25">
      <c r="A5178" t="s">
        <v>5204</v>
      </c>
      <c r="B5178" t="s">
        <v>12458</v>
      </c>
    </row>
    <row r="5179" spans="1:2" x14ac:dyDescent="0.25">
      <c r="A5179" t="s">
        <v>5205</v>
      </c>
      <c r="B5179" t="s">
        <v>12459</v>
      </c>
    </row>
    <row r="5180" spans="1:2" x14ac:dyDescent="0.25">
      <c r="A5180" t="s">
        <v>5206</v>
      </c>
      <c r="B5180" t="s">
        <v>12460</v>
      </c>
    </row>
    <row r="5181" spans="1:2" x14ac:dyDescent="0.25">
      <c r="A5181" t="s">
        <v>5207</v>
      </c>
      <c r="B5181" t="s">
        <v>12461</v>
      </c>
    </row>
    <row r="5182" spans="1:2" x14ac:dyDescent="0.25">
      <c r="A5182" t="s">
        <v>5208</v>
      </c>
      <c r="B5182" t="s">
        <v>12462</v>
      </c>
    </row>
    <row r="5183" spans="1:2" x14ac:dyDescent="0.25">
      <c r="A5183" t="s">
        <v>5209</v>
      </c>
      <c r="B5183" t="s">
        <v>12463</v>
      </c>
    </row>
    <row r="5184" spans="1:2" x14ac:dyDescent="0.25">
      <c r="A5184" t="s">
        <v>5210</v>
      </c>
      <c r="B5184" t="s">
        <v>12464</v>
      </c>
    </row>
    <row r="5185" spans="1:2" x14ac:dyDescent="0.25">
      <c r="A5185" t="s">
        <v>5211</v>
      </c>
      <c r="B5185" t="s">
        <v>12465</v>
      </c>
    </row>
    <row r="5186" spans="1:2" x14ac:dyDescent="0.25">
      <c r="A5186" t="s">
        <v>5212</v>
      </c>
      <c r="B5186" t="s">
        <v>12466</v>
      </c>
    </row>
    <row r="5187" spans="1:2" x14ac:dyDescent="0.25">
      <c r="A5187" t="s">
        <v>5213</v>
      </c>
      <c r="B5187" t="s">
        <v>12467</v>
      </c>
    </row>
    <row r="5188" spans="1:2" x14ac:dyDescent="0.25">
      <c r="A5188" t="s">
        <v>5214</v>
      </c>
      <c r="B5188" t="s">
        <v>12468</v>
      </c>
    </row>
    <row r="5189" spans="1:2" x14ac:dyDescent="0.25">
      <c r="A5189" t="s">
        <v>5215</v>
      </c>
      <c r="B5189" t="s">
        <v>12469</v>
      </c>
    </row>
    <row r="5190" spans="1:2" x14ac:dyDescent="0.25">
      <c r="A5190" t="s">
        <v>5216</v>
      </c>
      <c r="B5190" t="s">
        <v>12470</v>
      </c>
    </row>
    <row r="5191" spans="1:2" x14ac:dyDescent="0.25">
      <c r="A5191" t="s">
        <v>5217</v>
      </c>
      <c r="B5191" t="s">
        <v>12471</v>
      </c>
    </row>
    <row r="5192" spans="1:2" x14ac:dyDescent="0.25">
      <c r="A5192" t="s">
        <v>5218</v>
      </c>
      <c r="B5192" t="s">
        <v>12472</v>
      </c>
    </row>
    <row r="5193" spans="1:2" x14ac:dyDescent="0.25">
      <c r="A5193" t="s">
        <v>5219</v>
      </c>
      <c r="B5193" t="s">
        <v>12473</v>
      </c>
    </row>
    <row r="5194" spans="1:2" x14ac:dyDescent="0.25">
      <c r="A5194" t="s">
        <v>5220</v>
      </c>
      <c r="B5194" t="s">
        <v>12474</v>
      </c>
    </row>
    <row r="5195" spans="1:2" x14ac:dyDescent="0.25">
      <c r="A5195" t="s">
        <v>5221</v>
      </c>
      <c r="B5195" t="s">
        <v>12475</v>
      </c>
    </row>
    <row r="5196" spans="1:2" x14ac:dyDescent="0.25">
      <c r="A5196" t="s">
        <v>5222</v>
      </c>
      <c r="B5196" t="s">
        <v>12476</v>
      </c>
    </row>
    <row r="5197" spans="1:2" x14ac:dyDescent="0.25">
      <c r="A5197" t="s">
        <v>5223</v>
      </c>
      <c r="B5197" t="s">
        <v>12477</v>
      </c>
    </row>
    <row r="5198" spans="1:2" x14ac:dyDescent="0.25">
      <c r="A5198" t="s">
        <v>5224</v>
      </c>
      <c r="B5198" t="s">
        <v>12478</v>
      </c>
    </row>
    <row r="5199" spans="1:2" x14ac:dyDescent="0.25">
      <c r="A5199" t="s">
        <v>5225</v>
      </c>
      <c r="B5199" t="s">
        <v>12479</v>
      </c>
    </row>
    <row r="5200" spans="1:2" x14ac:dyDescent="0.25">
      <c r="A5200" t="s">
        <v>5226</v>
      </c>
      <c r="B5200" t="s">
        <v>12480</v>
      </c>
    </row>
    <row r="5201" spans="1:2" x14ac:dyDescent="0.25">
      <c r="A5201" t="s">
        <v>5227</v>
      </c>
      <c r="B5201" t="s">
        <v>12481</v>
      </c>
    </row>
    <row r="5202" spans="1:2" x14ac:dyDescent="0.25">
      <c r="A5202" t="s">
        <v>5228</v>
      </c>
      <c r="B5202" t="s">
        <v>12482</v>
      </c>
    </row>
    <row r="5203" spans="1:2" x14ac:dyDescent="0.25">
      <c r="A5203" t="s">
        <v>5229</v>
      </c>
      <c r="B5203" t="s">
        <v>12483</v>
      </c>
    </row>
    <row r="5204" spans="1:2" x14ac:dyDescent="0.25">
      <c r="A5204" t="s">
        <v>5230</v>
      </c>
      <c r="B5204" t="s">
        <v>12484</v>
      </c>
    </row>
    <row r="5205" spans="1:2" x14ac:dyDescent="0.25">
      <c r="A5205" t="s">
        <v>5231</v>
      </c>
      <c r="B5205" t="s">
        <v>12485</v>
      </c>
    </row>
    <row r="5206" spans="1:2" x14ac:dyDescent="0.25">
      <c r="A5206" t="s">
        <v>5232</v>
      </c>
      <c r="B5206" t="s">
        <v>12486</v>
      </c>
    </row>
    <row r="5207" spans="1:2" x14ac:dyDescent="0.25">
      <c r="A5207" t="s">
        <v>5233</v>
      </c>
      <c r="B5207" t="s">
        <v>12487</v>
      </c>
    </row>
    <row r="5208" spans="1:2" x14ac:dyDescent="0.25">
      <c r="A5208" t="s">
        <v>5234</v>
      </c>
      <c r="B5208" t="s">
        <v>12488</v>
      </c>
    </row>
    <row r="5209" spans="1:2" x14ac:dyDescent="0.25">
      <c r="A5209" t="s">
        <v>5235</v>
      </c>
      <c r="B5209" t="s">
        <v>12489</v>
      </c>
    </row>
    <row r="5210" spans="1:2" x14ac:dyDescent="0.25">
      <c r="A5210" t="s">
        <v>5236</v>
      </c>
      <c r="B5210" t="s">
        <v>12490</v>
      </c>
    </row>
    <row r="5211" spans="1:2" x14ac:dyDescent="0.25">
      <c r="A5211" t="s">
        <v>5237</v>
      </c>
      <c r="B5211" t="s">
        <v>12491</v>
      </c>
    </row>
    <row r="5212" spans="1:2" x14ac:dyDescent="0.25">
      <c r="A5212" t="s">
        <v>5238</v>
      </c>
      <c r="B5212" t="s">
        <v>12492</v>
      </c>
    </row>
    <row r="5213" spans="1:2" x14ac:dyDescent="0.25">
      <c r="A5213" t="s">
        <v>5239</v>
      </c>
      <c r="B5213" t="s">
        <v>12493</v>
      </c>
    </row>
    <row r="5214" spans="1:2" x14ac:dyDescent="0.25">
      <c r="A5214" t="s">
        <v>5240</v>
      </c>
      <c r="B5214" t="s">
        <v>12494</v>
      </c>
    </row>
    <row r="5215" spans="1:2" x14ac:dyDescent="0.25">
      <c r="A5215" t="s">
        <v>5241</v>
      </c>
      <c r="B5215" t="s">
        <v>12495</v>
      </c>
    </row>
    <row r="5216" spans="1:2" x14ac:dyDescent="0.25">
      <c r="A5216" t="s">
        <v>5242</v>
      </c>
      <c r="B5216" t="s">
        <v>12496</v>
      </c>
    </row>
    <row r="5217" spans="1:2" x14ac:dyDescent="0.25">
      <c r="A5217" t="s">
        <v>5243</v>
      </c>
      <c r="B5217" t="s">
        <v>12497</v>
      </c>
    </row>
    <row r="5218" spans="1:2" x14ac:dyDescent="0.25">
      <c r="A5218" t="s">
        <v>5244</v>
      </c>
      <c r="B5218" t="s">
        <v>12498</v>
      </c>
    </row>
    <row r="5219" spans="1:2" x14ac:dyDescent="0.25">
      <c r="A5219" t="s">
        <v>5245</v>
      </c>
      <c r="B5219" t="s">
        <v>12499</v>
      </c>
    </row>
    <row r="5220" spans="1:2" x14ac:dyDescent="0.25">
      <c r="A5220" t="s">
        <v>5246</v>
      </c>
      <c r="B5220" t="s">
        <v>12500</v>
      </c>
    </row>
    <row r="5221" spans="1:2" x14ac:dyDescent="0.25">
      <c r="A5221" t="s">
        <v>5247</v>
      </c>
      <c r="B5221" t="s">
        <v>12501</v>
      </c>
    </row>
    <row r="5222" spans="1:2" x14ac:dyDescent="0.25">
      <c r="A5222" t="s">
        <v>5248</v>
      </c>
      <c r="B5222" t="s">
        <v>12502</v>
      </c>
    </row>
    <row r="5223" spans="1:2" x14ac:dyDescent="0.25">
      <c r="A5223" t="s">
        <v>5249</v>
      </c>
      <c r="B5223" t="s">
        <v>12503</v>
      </c>
    </row>
    <row r="5224" spans="1:2" x14ac:dyDescent="0.25">
      <c r="A5224" t="s">
        <v>5250</v>
      </c>
      <c r="B5224" t="s">
        <v>12504</v>
      </c>
    </row>
    <row r="5225" spans="1:2" x14ac:dyDescent="0.25">
      <c r="A5225" t="s">
        <v>5251</v>
      </c>
      <c r="B5225" t="s">
        <v>12505</v>
      </c>
    </row>
    <row r="5226" spans="1:2" x14ac:dyDescent="0.25">
      <c r="A5226" t="s">
        <v>5252</v>
      </c>
      <c r="B5226" t="s">
        <v>12506</v>
      </c>
    </row>
    <row r="5227" spans="1:2" x14ac:dyDescent="0.25">
      <c r="A5227" t="s">
        <v>5253</v>
      </c>
      <c r="B5227" t="s">
        <v>12507</v>
      </c>
    </row>
    <row r="5228" spans="1:2" x14ac:dyDescent="0.25">
      <c r="A5228" t="s">
        <v>5254</v>
      </c>
      <c r="B5228" t="s">
        <v>12508</v>
      </c>
    </row>
    <row r="5229" spans="1:2" x14ac:dyDescent="0.25">
      <c r="A5229" t="s">
        <v>5255</v>
      </c>
      <c r="B5229" t="s">
        <v>12509</v>
      </c>
    </row>
    <row r="5230" spans="1:2" x14ac:dyDescent="0.25">
      <c r="A5230" t="s">
        <v>5256</v>
      </c>
      <c r="B5230" t="s">
        <v>12510</v>
      </c>
    </row>
    <row r="5231" spans="1:2" x14ac:dyDescent="0.25">
      <c r="A5231" t="s">
        <v>5257</v>
      </c>
      <c r="B5231" t="s">
        <v>12511</v>
      </c>
    </row>
    <row r="5232" spans="1:2" x14ac:dyDescent="0.25">
      <c r="A5232" t="s">
        <v>5258</v>
      </c>
      <c r="B5232" t="s">
        <v>12512</v>
      </c>
    </row>
    <row r="5233" spans="1:2" x14ac:dyDescent="0.25">
      <c r="A5233" t="s">
        <v>5259</v>
      </c>
      <c r="B5233" t="s">
        <v>12513</v>
      </c>
    </row>
    <row r="5234" spans="1:2" x14ac:dyDescent="0.25">
      <c r="A5234" t="s">
        <v>5260</v>
      </c>
      <c r="B5234" t="s">
        <v>12514</v>
      </c>
    </row>
    <row r="5235" spans="1:2" x14ac:dyDescent="0.25">
      <c r="A5235" t="s">
        <v>5261</v>
      </c>
      <c r="B5235" t="s">
        <v>12515</v>
      </c>
    </row>
    <row r="5236" spans="1:2" x14ac:dyDescent="0.25">
      <c r="A5236" t="s">
        <v>5262</v>
      </c>
      <c r="B5236" t="s">
        <v>12516</v>
      </c>
    </row>
    <row r="5237" spans="1:2" x14ac:dyDescent="0.25">
      <c r="A5237" t="s">
        <v>5263</v>
      </c>
      <c r="B5237" t="s">
        <v>12517</v>
      </c>
    </row>
    <row r="5238" spans="1:2" x14ac:dyDescent="0.25">
      <c r="A5238" t="s">
        <v>5264</v>
      </c>
      <c r="B5238" t="s">
        <v>12518</v>
      </c>
    </row>
    <row r="5239" spans="1:2" x14ac:dyDescent="0.25">
      <c r="A5239" t="s">
        <v>5265</v>
      </c>
      <c r="B5239" t="s">
        <v>12519</v>
      </c>
    </row>
    <row r="5240" spans="1:2" x14ac:dyDescent="0.25">
      <c r="A5240" t="s">
        <v>5266</v>
      </c>
      <c r="B5240" t="s">
        <v>12520</v>
      </c>
    </row>
    <row r="5241" spans="1:2" x14ac:dyDescent="0.25">
      <c r="A5241" t="s">
        <v>5267</v>
      </c>
      <c r="B5241" t="s">
        <v>12521</v>
      </c>
    </row>
    <row r="5242" spans="1:2" x14ac:dyDescent="0.25">
      <c r="A5242" t="s">
        <v>5268</v>
      </c>
      <c r="B5242" t="s">
        <v>12522</v>
      </c>
    </row>
    <row r="5243" spans="1:2" x14ac:dyDescent="0.25">
      <c r="A5243" t="s">
        <v>5269</v>
      </c>
      <c r="B5243" t="s">
        <v>12523</v>
      </c>
    </row>
    <row r="5244" spans="1:2" x14ac:dyDescent="0.25">
      <c r="A5244" t="s">
        <v>5270</v>
      </c>
      <c r="B5244" t="s">
        <v>12524</v>
      </c>
    </row>
    <row r="5245" spans="1:2" x14ac:dyDescent="0.25">
      <c r="A5245" t="s">
        <v>5271</v>
      </c>
      <c r="B5245" t="s">
        <v>12525</v>
      </c>
    </row>
    <row r="5246" spans="1:2" x14ac:dyDescent="0.25">
      <c r="A5246" t="s">
        <v>5272</v>
      </c>
      <c r="B5246" t="s">
        <v>12526</v>
      </c>
    </row>
    <row r="5247" spans="1:2" x14ac:dyDescent="0.25">
      <c r="A5247" t="s">
        <v>5273</v>
      </c>
      <c r="B5247" t="s">
        <v>12527</v>
      </c>
    </row>
    <row r="5248" spans="1:2" x14ac:dyDescent="0.25">
      <c r="A5248" t="s">
        <v>5274</v>
      </c>
      <c r="B5248" t="s">
        <v>12528</v>
      </c>
    </row>
    <row r="5249" spans="1:2" x14ac:dyDescent="0.25">
      <c r="A5249" t="s">
        <v>5275</v>
      </c>
      <c r="B5249" t="s">
        <v>12529</v>
      </c>
    </row>
    <row r="5250" spans="1:2" x14ac:dyDescent="0.25">
      <c r="A5250" t="s">
        <v>5276</v>
      </c>
      <c r="B5250" t="s">
        <v>12530</v>
      </c>
    </row>
    <row r="5251" spans="1:2" x14ac:dyDescent="0.25">
      <c r="A5251" t="s">
        <v>5277</v>
      </c>
      <c r="B5251" t="s">
        <v>12531</v>
      </c>
    </row>
    <row r="5252" spans="1:2" x14ac:dyDescent="0.25">
      <c r="A5252" t="s">
        <v>5278</v>
      </c>
      <c r="B5252" t="s">
        <v>12532</v>
      </c>
    </row>
    <row r="5253" spans="1:2" x14ac:dyDescent="0.25">
      <c r="A5253" t="s">
        <v>5279</v>
      </c>
      <c r="B5253" t="s">
        <v>12533</v>
      </c>
    </row>
    <row r="5254" spans="1:2" x14ac:dyDescent="0.25">
      <c r="A5254" t="s">
        <v>5280</v>
      </c>
      <c r="B5254" t="s">
        <v>12534</v>
      </c>
    </row>
    <row r="5255" spans="1:2" x14ac:dyDescent="0.25">
      <c r="A5255" t="s">
        <v>5281</v>
      </c>
      <c r="B5255" t="s">
        <v>12535</v>
      </c>
    </row>
    <row r="5256" spans="1:2" x14ac:dyDescent="0.25">
      <c r="A5256" t="s">
        <v>5282</v>
      </c>
      <c r="B5256" t="s">
        <v>12536</v>
      </c>
    </row>
    <row r="5257" spans="1:2" x14ac:dyDescent="0.25">
      <c r="A5257" t="s">
        <v>5283</v>
      </c>
      <c r="B5257" t="s">
        <v>12537</v>
      </c>
    </row>
    <row r="5258" spans="1:2" x14ac:dyDescent="0.25">
      <c r="A5258" t="s">
        <v>5284</v>
      </c>
      <c r="B5258" t="s">
        <v>12538</v>
      </c>
    </row>
    <row r="5259" spans="1:2" x14ac:dyDescent="0.25">
      <c r="A5259" t="s">
        <v>5285</v>
      </c>
      <c r="B5259" t="s">
        <v>12539</v>
      </c>
    </row>
    <row r="5260" spans="1:2" x14ac:dyDescent="0.25">
      <c r="A5260" t="s">
        <v>5286</v>
      </c>
      <c r="B5260" t="s">
        <v>12540</v>
      </c>
    </row>
    <row r="5261" spans="1:2" x14ac:dyDescent="0.25">
      <c r="A5261" t="s">
        <v>5287</v>
      </c>
      <c r="B5261" t="s">
        <v>12541</v>
      </c>
    </row>
    <row r="5262" spans="1:2" x14ac:dyDescent="0.25">
      <c r="A5262" t="s">
        <v>5288</v>
      </c>
      <c r="B5262" t="s">
        <v>12542</v>
      </c>
    </row>
    <row r="5263" spans="1:2" x14ac:dyDescent="0.25">
      <c r="A5263" t="s">
        <v>5289</v>
      </c>
      <c r="B5263" t="s">
        <v>12543</v>
      </c>
    </row>
    <row r="5264" spans="1:2" x14ac:dyDescent="0.25">
      <c r="A5264" t="s">
        <v>5290</v>
      </c>
      <c r="B5264" t="s">
        <v>12544</v>
      </c>
    </row>
    <row r="5265" spans="1:2" x14ac:dyDescent="0.25">
      <c r="A5265" t="s">
        <v>5291</v>
      </c>
      <c r="B5265" t="s">
        <v>12545</v>
      </c>
    </row>
    <row r="5266" spans="1:2" x14ac:dyDescent="0.25">
      <c r="A5266" t="s">
        <v>5292</v>
      </c>
      <c r="B5266" t="s">
        <v>12546</v>
      </c>
    </row>
    <row r="5267" spans="1:2" x14ac:dyDescent="0.25">
      <c r="A5267" t="s">
        <v>5293</v>
      </c>
      <c r="B5267" t="s">
        <v>12547</v>
      </c>
    </row>
    <row r="5268" spans="1:2" x14ac:dyDescent="0.25">
      <c r="A5268" t="s">
        <v>5294</v>
      </c>
      <c r="B5268" t="s">
        <v>12548</v>
      </c>
    </row>
    <row r="5269" spans="1:2" x14ac:dyDescent="0.25">
      <c r="A5269" t="s">
        <v>5295</v>
      </c>
      <c r="B5269" t="s">
        <v>12549</v>
      </c>
    </row>
    <row r="5270" spans="1:2" x14ac:dyDescent="0.25">
      <c r="A5270" t="s">
        <v>5296</v>
      </c>
      <c r="B5270" t="s">
        <v>12550</v>
      </c>
    </row>
    <row r="5271" spans="1:2" x14ac:dyDescent="0.25">
      <c r="A5271" t="s">
        <v>5297</v>
      </c>
      <c r="B5271" t="s">
        <v>12551</v>
      </c>
    </row>
    <row r="5272" spans="1:2" x14ac:dyDescent="0.25">
      <c r="A5272" t="s">
        <v>5298</v>
      </c>
      <c r="B5272" t="s">
        <v>12552</v>
      </c>
    </row>
    <row r="5273" spans="1:2" x14ac:dyDescent="0.25">
      <c r="A5273" t="s">
        <v>5299</v>
      </c>
      <c r="B5273" t="s">
        <v>12553</v>
      </c>
    </row>
    <row r="5274" spans="1:2" x14ac:dyDescent="0.25">
      <c r="A5274" t="s">
        <v>5300</v>
      </c>
      <c r="B5274" t="s">
        <v>12554</v>
      </c>
    </row>
    <row r="5275" spans="1:2" x14ac:dyDescent="0.25">
      <c r="A5275" t="s">
        <v>5301</v>
      </c>
      <c r="B5275" t="s">
        <v>12555</v>
      </c>
    </row>
    <row r="5276" spans="1:2" x14ac:dyDescent="0.25">
      <c r="A5276" t="s">
        <v>5302</v>
      </c>
      <c r="B5276" t="s">
        <v>12556</v>
      </c>
    </row>
    <row r="5277" spans="1:2" x14ac:dyDescent="0.25">
      <c r="A5277" t="s">
        <v>5303</v>
      </c>
      <c r="B5277" t="s">
        <v>12557</v>
      </c>
    </row>
    <row r="5278" spans="1:2" x14ac:dyDescent="0.25">
      <c r="A5278" t="s">
        <v>5304</v>
      </c>
      <c r="B5278" t="s">
        <v>12558</v>
      </c>
    </row>
    <row r="5279" spans="1:2" x14ac:dyDescent="0.25">
      <c r="A5279" t="s">
        <v>5305</v>
      </c>
      <c r="B5279" t="s">
        <v>12559</v>
      </c>
    </row>
    <row r="5280" spans="1:2" x14ac:dyDescent="0.25">
      <c r="A5280" t="s">
        <v>5306</v>
      </c>
      <c r="B5280" t="s">
        <v>12560</v>
      </c>
    </row>
    <row r="5281" spans="1:2" x14ac:dyDescent="0.25">
      <c r="A5281" t="s">
        <v>5307</v>
      </c>
      <c r="B5281" t="s">
        <v>12561</v>
      </c>
    </row>
    <row r="5282" spans="1:2" x14ac:dyDescent="0.25">
      <c r="A5282" t="s">
        <v>5308</v>
      </c>
      <c r="B5282" t="s">
        <v>12562</v>
      </c>
    </row>
    <row r="5283" spans="1:2" x14ac:dyDescent="0.25">
      <c r="A5283" t="s">
        <v>5309</v>
      </c>
      <c r="B5283" t="s">
        <v>12563</v>
      </c>
    </row>
    <row r="5284" spans="1:2" x14ac:dyDescent="0.25">
      <c r="A5284" t="s">
        <v>5310</v>
      </c>
      <c r="B5284" t="s">
        <v>12564</v>
      </c>
    </row>
    <row r="5285" spans="1:2" x14ac:dyDescent="0.25">
      <c r="A5285" t="s">
        <v>5311</v>
      </c>
      <c r="B5285" t="s">
        <v>12565</v>
      </c>
    </row>
    <row r="5286" spans="1:2" x14ac:dyDescent="0.25">
      <c r="A5286" t="s">
        <v>5312</v>
      </c>
      <c r="B5286" t="s">
        <v>12566</v>
      </c>
    </row>
    <row r="5287" spans="1:2" x14ac:dyDescent="0.25">
      <c r="A5287" t="s">
        <v>5313</v>
      </c>
      <c r="B5287" t="s">
        <v>12567</v>
      </c>
    </row>
    <row r="5288" spans="1:2" x14ac:dyDescent="0.25">
      <c r="A5288" t="s">
        <v>5314</v>
      </c>
      <c r="B5288" t="s">
        <v>12568</v>
      </c>
    </row>
    <row r="5289" spans="1:2" x14ac:dyDescent="0.25">
      <c r="A5289" t="s">
        <v>5315</v>
      </c>
      <c r="B5289" t="s">
        <v>12569</v>
      </c>
    </row>
    <row r="5290" spans="1:2" x14ac:dyDescent="0.25">
      <c r="A5290" t="s">
        <v>5316</v>
      </c>
      <c r="B5290" t="s">
        <v>12570</v>
      </c>
    </row>
    <row r="5291" spans="1:2" x14ac:dyDescent="0.25">
      <c r="A5291" t="s">
        <v>5317</v>
      </c>
      <c r="B5291" t="s">
        <v>12571</v>
      </c>
    </row>
    <row r="5292" spans="1:2" x14ac:dyDescent="0.25">
      <c r="A5292" t="s">
        <v>5318</v>
      </c>
      <c r="B5292" t="s">
        <v>12572</v>
      </c>
    </row>
    <row r="5293" spans="1:2" x14ac:dyDescent="0.25">
      <c r="A5293" t="s">
        <v>5319</v>
      </c>
      <c r="B5293" t="s">
        <v>12573</v>
      </c>
    </row>
    <row r="5294" spans="1:2" x14ac:dyDescent="0.25">
      <c r="A5294" t="s">
        <v>5320</v>
      </c>
      <c r="B5294" t="s">
        <v>12574</v>
      </c>
    </row>
    <row r="5295" spans="1:2" x14ac:dyDescent="0.25">
      <c r="A5295" t="s">
        <v>5321</v>
      </c>
      <c r="B5295" t="s">
        <v>12575</v>
      </c>
    </row>
    <row r="5296" spans="1:2" x14ac:dyDescent="0.25">
      <c r="A5296" t="s">
        <v>5322</v>
      </c>
      <c r="B5296" t="s">
        <v>12576</v>
      </c>
    </row>
    <row r="5297" spans="1:2" x14ac:dyDescent="0.25">
      <c r="A5297" t="s">
        <v>5323</v>
      </c>
      <c r="B5297" t="s">
        <v>12577</v>
      </c>
    </row>
    <row r="5298" spans="1:2" x14ac:dyDescent="0.25">
      <c r="A5298" t="s">
        <v>5324</v>
      </c>
      <c r="B5298" t="s">
        <v>12578</v>
      </c>
    </row>
    <row r="5299" spans="1:2" x14ac:dyDescent="0.25">
      <c r="A5299" t="s">
        <v>5325</v>
      </c>
      <c r="B5299" t="s">
        <v>12579</v>
      </c>
    </row>
    <row r="5300" spans="1:2" x14ac:dyDescent="0.25">
      <c r="A5300" t="s">
        <v>5326</v>
      </c>
      <c r="B5300" t="s">
        <v>12580</v>
      </c>
    </row>
    <row r="5301" spans="1:2" x14ac:dyDescent="0.25">
      <c r="A5301" t="s">
        <v>5327</v>
      </c>
      <c r="B5301" t="s">
        <v>12581</v>
      </c>
    </row>
    <row r="5302" spans="1:2" x14ac:dyDescent="0.25">
      <c r="A5302" t="s">
        <v>5328</v>
      </c>
      <c r="B5302" t="s">
        <v>12582</v>
      </c>
    </row>
    <row r="5303" spans="1:2" x14ac:dyDescent="0.25">
      <c r="A5303" t="s">
        <v>5329</v>
      </c>
      <c r="B5303" t="s">
        <v>12583</v>
      </c>
    </row>
    <row r="5304" spans="1:2" x14ac:dyDescent="0.25">
      <c r="A5304" t="s">
        <v>5330</v>
      </c>
      <c r="B5304" t="s">
        <v>12584</v>
      </c>
    </row>
    <row r="5305" spans="1:2" x14ac:dyDescent="0.25">
      <c r="A5305" t="s">
        <v>5331</v>
      </c>
      <c r="B5305" t="s">
        <v>12585</v>
      </c>
    </row>
    <row r="5306" spans="1:2" x14ac:dyDescent="0.25">
      <c r="A5306" t="s">
        <v>5332</v>
      </c>
      <c r="B5306" t="s">
        <v>12586</v>
      </c>
    </row>
    <row r="5307" spans="1:2" x14ac:dyDescent="0.25">
      <c r="A5307" t="s">
        <v>5333</v>
      </c>
      <c r="B5307" t="s">
        <v>12587</v>
      </c>
    </row>
    <row r="5308" spans="1:2" x14ac:dyDescent="0.25">
      <c r="A5308" t="s">
        <v>5334</v>
      </c>
      <c r="B5308" t="s">
        <v>12588</v>
      </c>
    </row>
    <row r="5309" spans="1:2" x14ac:dyDescent="0.25">
      <c r="A5309" t="s">
        <v>5335</v>
      </c>
      <c r="B5309" t="s">
        <v>12589</v>
      </c>
    </row>
    <row r="5310" spans="1:2" x14ac:dyDescent="0.25">
      <c r="A5310" t="s">
        <v>5336</v>
      </c>
      <c r="B5310" t="s">
        <v>12590</v>
      </c>
    </row>
    <row r="5311" spans="1:2" x14ac:dyDescent="0.25">
      <c r="A5311" t="s">
        <v>5337</v>
      </c>
      <c r="B5311" t="s">
        <v>12591</v>
      </c>
    </row>
    <row r="5312" spans="1:2" x14ac:dyDescent="0.25">
      <c r="A5312" t="s">
        <v>5338</v>
      </c>
      <c r="B5312" t="s">
        <v>12592</v>
      </c>
    </row>
    <row r="5313" spans="1:2" x14ac:dyDescent="0.25">
      <c r="A5313" t="s">
        <v>5339</v>
      </c>
      <c r="B5313" t="s">
        <v>12593</v>
      </c>
    </row>
    <row r="5314" spans="1:2" x14ac:dyDescent="0.25">
      <c r="A5314" t="s">
        <v>5340</v>
      </c>
      <c r="B5314" t="s">
        <v>12594</v>
      </c>
    </row>
    <row r="5315" spans="1:2" x14ac:dyDescent="0.25">
      <c r="A5315" t="s">
        <v>5341</v>
      </c>
      <c r="B5315" t="s">
        <v>12595</v>
      </c>
    </row>
    <row r="5316" spans="1:2" x14ac:dyDescent="0.25">
      <c r="A5316" t="s">
        <v>5342</v>
      </c>
      <c r="B5316" t="s">
        <v>12596</v>
      </c>
    </row>
    <row r="5317" spans="1:2" x14ac:dyDescent="0.25">
      <c r="A5317" t="s">
        <v>5343</v>
      </c>
      <c r="B5317" t="s">
        <v>12597</v>
      </c>
    </row>
    <row r="5318" spans="1:2" x14ac:dyDescent="0.25">
      <c r="A5318" t="s">
        <v>5344</v>
      </c>
      <c r="B5318" t="s">
        <v>12598</v>
      </c>
    </row>
    <row r="5319" spans="1:2" x14ac:dyDescent="0.25">
      <c r="A5319" t="s">
        <v>5345</v>
      </c>
      <c r="B5319" t="s">
        <v>12599</v>
      </c>
    </row>
    <row r="5320" spans="1:2" x14ac:dyDescent="0.25">
      <c r="A5320" t="s">
        <v>5346</v>
      </c>
      <c r="B5320" t="s">
        <v>12600</v>
      </c>
    </row>
    <row r="5321" spans="1:2" x14ac:dyDescent="0.25">
      <c r="A5321" t="s">
        <v>5347</v>
      </c>
      <c r="B5321" t="s">
        <v>12601</v>
      </c>
    </row>
    <row r="5322" spans="1:2" x14ac:dyDescent="0.25">
      <c r="A5322" t="s">
        <v>5348</v>
      </c>
      <c r="B5322" t="s">
        <v>12602</v>
      </c>
    </row>
    <row r="5323" spans="1:2" x14ac:dyDescent="0.25">
      <c r="A5323" t="s">
        <v>5349</v>
      </c>
      <c r="B5323" t="s">
        <v>12603</v>
      </c>
    </row>
    <row r="5324" spans="1:2" x14ac:dyDescent="0.25">
      <c r="A5324" t="s">
        <v>5350</v>
      </c>
      <c r="B5324" t="s">
        <v>12604</v>
      </c>
    </row>
    <row r="5325" spans="1:2" x14ac:dyDescent="0.25">
      <c r="A5325" t="s">
        <v>5351</v>
      </c>
      <c r="B5325" t="s">
        <v>12605</v>
      </c>
    </row>
    <row r="5326" spans="1:2" x14ac:dyDescent="0.25">
      <c r="A5326" t="s">
        <v>5352</v>
      </c>
      <c r="B5326" t="s">
        <v>12606</v>
      </c>
    </row>
    <row r="5327" spans="1:2" x14ac:dyDescent="0.25">
      <c r="A5327" t="s">
        <v>5353</v>
      </c>
      <c r="B5327" t="s">
        <v>12607</v>
      </c>
    </row>
    <row r="5328" spans="1:2" x14ac:dyDescent="0.25">
      <c r="A5328" t="s">
        <v>5354</v>
      </c>
      <c r="B5328" t="s">
        <v>12608</v>
      </c>
    </row>
    <row r="5329" spans="1:2" x14ac:dyDescent="0.25">
      <c r="A5329" t="s">
        <v>5355</v>
      </c>
      <c r="B5329" t="s">
        <v>12609</v>
      </c>
    </row>
    <row r="5330" spans="1:2" x14ac:dyDescent="0.25">
      <c r="A5330" t="s">
        <v>5356</v>
      </c>
      <c r="B5330" t="s">
        <v>12610</v>
      </c>
    </row>
    <row r="5331" spans="1:2" x14ac:dyDescent="0.25">
      <c r="A5331" t="s">
        <v>5357</v>
      </c>
      <c r="B5331" t="s">
        <v>12611</v>
      </c>
    </row>
    <row r="5332" spans="1:2" x14ac:dyDescent="0.25">
      <c r="A5332" t="s">
        <v>5358</v>
      </c>
      <c r="B5332" t="s">
        <v>12612</v>
      </c>
    </row>
    <row r="5333" spans="1:2" x14ac:dyDescent="0.25">
      <c r="A5333" t="s">
        <v>5359</v>
      </c>
      <c r="B5333" t="s">
        <v>12613</v>
      </c>
    </row>
    <row r="5334" spans="1:2" x14ac:dyDescent="0.25">
      <c r="A5334" t="s">
        <v>5360</v>
      </c>
      <c r="B5334" t="s">
        <v>12614</v>
      </c>
    </row>
    <row r="5335" spans="1:2" x14ac:dyDescent="0.25">
      <c r="A5335" t="s">
        <v>5361</v>
      </c>
      <c r="B5335" t="s">
        <v>12615</v>
      </c>
    </row>
    <row r="5336" spans="1:2" x14ac:dyDescent="0.25">
      <c r="A5336" t="s">
        <v>5362</v>
      </c>
      <c r="B5336" t="s">
        <v>12616</v>
      </c>
    </row>
    <row r="5337" spans="1:2" x14ac:dyDescent="0.25">
      <c r="A5337" t="s">
        <v>5363</v>
      </c>
      <c r="B5337" t="s">
        <v>12617</v>
      </c>
    </row>
    <row r="5338" spans="1:2" x14ac:dyDescent="0.25">
      <c r="A5338" t="s">
        <v>5364</v>
      </c>
      <c r="B5338" t="s">
        <v>12618</v>
      </c>
    </row>
    <row r="5339" spans="1:2" x14ac:dyDescent="0.25">
      <c r="A5339" t="s">
        <v>5365</v>
      </c>
      <c r="B5339" t="s">
        <v>12619</v>
      </c>
    </row>
    <row r="5340" spans="1:2" x14ac:dyDescent="0.25">
      <c r="A5340" t="s">
        <v>5366</v>
      </c>
      <c r="B5340" t="s">
        <v>12620</v>
      </c>
    </row>
    <row r="5341" spans="1:2" x14ac:dyDescent="0.25">
      <c r="A5341" t="s">
        <v>5367</v>
      </c>
      <c r="B5341" t="s">
        <v>12621</v>
      </c>
    </row>
    <row r="5342" spans="1:2" x14ac:dyDescent="0.25">
      <c r="A5342" t="s">
        <v>5368</v>
      </c>
      <c r="B5342" t="s">
        <v>12622</v>
      </c>
    </row>
    <row r="5343" spans="1:2" x14ac:dyDescent="0.25">
      <c r="A5343" t="s">
        <v>5369</v>
      </c>
      <c r="B5343" t="s">
        <v>12623</v>
      </c>
    </row>
    <row r="5344" spans="1:2" x14ac:dyDescent="0.25">
      <c r="A5344" t="s">
        <v>5370</v>
      </c>
      <c r="B5344" t="s">
        <v>12624</v>
      </c>
    </row>
    <row r="5345" spans="1:2" x14ac:dyDescent="0.25">
      <c r="A5345" t="s">
        <v>5371</v>
      </c>
      <c r="B5345" t="s">
        <v>12625</v>
      </c>
    </row>
    <row r="5346" spans="1:2" x14ac:dyDescent="0.25">
      <c r="A5346" t="s">
        <v>5372</v>
      </c>
      <c r="B5346" t="s">
        <v>12626</v>
      </c>
    </row>
    <row r="5347" spans="1:2" x14ac:dyDescent="0.25">
      <c r="A5347" t="s">
        <v>5373</v>
      </c>
      <c r="B5347" t="s">
        <v>12627</v>
      </c>
    </row>
    <row r="5348" spans="1:2" x14ac:dyDescent="0.25">
      <c r="A5348" t="s">
        <v>5374</v>
      </c>
      <c r="B5348" t="s">
        <v>12628</v>
      </c>
    </row>
    <row r="5349" spans="1:2" x14ac:dyDescent="0.25">
      <c r="A5349" t="s">
        <v>5375</v>
      </c>
      <c r="B5349" t="s">
        <v>12629</v>
      </c>
    </row>
    <row r="5350" spans="1:2" x14ac:dyDescent="0.25">
      <c r="A5350" t="s">
        <v>5376</v>
      </c>
      <c r="B5350" t="s">
        <v>12630</v>
      </c>
    </row>
    <row r="5351" spans="1:2" x14ac:dyDescent="0.25">
      <c r="A5351" t="s">
        <v>5377</v>
      </c>
      <c r="B5351" t="s">
        <v>12631</v>
      </c>
    </row>
    <row r="5352" spans="1:2" x14ac:dyDescent="0.25">
      <c r="A5352" t="s">
        <v>5378</v>
      </c>
      <c r="B5352" t="s">
        <v>12632</v>
      </c>
    </row>
    <row r="5353" spans="1:2" x14ac:dyDescent="0.25">
      <c r="A5353" t="s">
        <v>5379</v>
      </c>
      <c r="B5353" t="s">
        <v>12633</v>
      </c>
    </row>
    <row r="5354" spans="1:2" x14ac:dyDescent="0.25">
      <c r="A5354" t="s">
        <v>5380</v>
      </c>
      <c r="B5354" t="s">
        <v>12634</v>
      </c>
    </row>
    <row r="5355" spans="1:2" x14ac:dyDescent="0.25">
      <c r="A5355" t="s">
        <v>5381</v>
      </c>
      <c r="B5355" t="s">
        <v>12635</v>
      </c>
    </row>
    <row r="5356" spans="1:2" x14ac:dyDescent="0.25">
      <c r="A5356" t="s">
        <v>5382</v>
      </c>
      <c r="B5356" t="s">
        <v>12636</v>
      </c>
    </row>
    <row r="5357" spans="1:2" x14ac:dyDescent="0.25">
      <c r="A5357" t="s">
        <v>5383</v>
      </c>
      <c r="B5357" t="s">
        <v>12637</v>
      </c>
    </row>
    <row r="5358" spans="1:2" x14ac:dyDescent="0.25">
      <c r="A5358" t="s">
        <v>5384</v>
      </c>
      <c r="B5358" t="s">
        <v>12638</v>
      </c>
    </row>
    <row r="5359" spans="1:2" x14ac:dyDescent="0.25">
      <c r="A5359" t="s">
        <v>5385</v>
      </c>
      <c r="B5359" t="s">
        <v>12639</v>
      </c>
    </row>
    <row r="5360" spans="1:2" x14ac:dyDescent="0.25">
      <c r="A5360" t="s">
        <v>5386</v>
      </c>
      <c r="B5360" t="s">
        <v>12640</v>
      </c>
    </row>
    <row r="5361" spans="1:2" x14ac:dyDescent="0.25">
      <c r="A5361" t="s">
        <v>5387</v>
      </c>
      <c r="B5361" t="s">
        <v>12641</v>
      </c>
    </row>
    <row r="5362" spans="1:2" x14ac:dyDescent="0.25">
      <c r="A5362" t="s">
        <v>5388</v>
      </c>
      <c r="B5362" t="s">
        <v>12642</v>
      </c>
    </row>
    <row r="5363" spans="1:2" x14ac:dyDescent="0.25">
      <c r="A5363" t="s">
        <v>5389</v>
      </c>
      <c r="B5363" t="s">
        <v>12643</v>
      </c>
    </row>
    <row r="5364" spans="1:2" x14ac:dyDescent="0.25">
      <c r="A5364" t="s">
        <v>5390</v>
      </c>
      <c r="B5364" t="s">
        <v>12644</v>
      </c>
    </row>
    <row r="5365" spans="1:2" x14ac:dyDescent="0.25">
      <c r="A5365" t="s">
        <v>5391</v>
      </c>
      <c r="B5365" t="s">
        <v>12645</v>
      </c>
    </row>
    <row r="5366" spans="1:2" x14ac:dyDescent="0.25">
      <c r="A5366" t="s">
        <v>5392</v>
      </c>
      <c r="B5366" t="s">
        <v>12646</v>
      </c>
    </row>
    <row r="5367" spans="1:2" x14ac:dyDescent="0.25">
      <c r="A5367" t="s">
        <v>5393</v>
      </c>
      <c r="B5367" t="s">
        <v>12647</v>
      </c>
    </row>
    <row r="5368" spans="1:2" x14ac:dyDescent="0.25">
      <c r="A5368" t="s">
        <v>5394</v>
      </c>
      <c r="B5368" t="s">
        <v>12648</v>
      </c>
    </row>
    <row r="5369" spans="1:2" x14ac:dyDescent="0.25">
      <c r="A5369" t="s">
        <v>5395</v>
      </c>
      <c r="B5369" t="s">
        <v>12649</v>
      </c>
    </row>
    <row r="5370" spans="1:2" x14ac:dyDescent="0.25">
      <c r="A5370" t="s">
        <v>5396</v>
      </c>
      <c r="B5370" t="s">
        <v>12650</v>
      </c>
    </row>
    <row r="5371" spans="1:2" x14ac:dyDescent="0.25">
      <c r="A5371" t="s">
        <v>5397</v>
      </c>
      <c r="B5371" t="s">
        <v>12651</v>
      </c>
    </row>
    <row r="5372" spans="1:2" x14ac:dyDescent="0.25">
      <c r="A5372" t="s">
        <v>5398</v>
      </c>
      <c r="B5372" t="s">
        <v>12652</v>
      </c>
    </row>
    <row r="5373" spans="1:2" x14ac:dyDescent="0.25">
      <c r="A5373" t="s">
        <v>5399</v>
      </c>
      <c r="B5373" t="s">
        <v>12653</v>
      </c>
    </row>
    <row r="5374" spans="1:2" x14ac:dyDescent="0.25">
      <c r="A5374" t="s">
        <v>5400</v>
      </c>
      <c r="B5374" t="s">
        <v>12654</v>
      </c>
    </row>
    <row r="5375" spans="1:2" x14ac:dyDescent="0.25">
      <c r="A5375" t="s">
        <v>5401</v>
      </c>
      <c r="B5375" t="s">
        <v>12655</v>
      </c>
    </row>
    <row r="5376" spans="1:2" x14ac:dyDescent="0.25">
      <c r="A5376" t="s">
        <v>5402</v>
      </c>
      <c r="B5376" t="s">
        <v>12656</v>
      </c>
    </row>
    <row r="5377" spans="1:2" x14ac:dyDescent="0.25">
      <c r="A5377" t="s">
        <v>5403</v>
      </c>
      <c r="B5377" t="s">
        <v>12657</v>
      </c>
    </row>
    <row r="5378" spans="1:2" x14ac:dyDescent="0.25">
      <c r="A5378" t="s">
        <v>5404</v>
      </c>
      <c r="B5378" t="s">
        <v>12658</v>
      </c>
    </row>
    <row r="5379" spans="1:2" x14ac:dyDescent="0.25">
      <c r="A5379" t="s">
        <v>5405</v>
      </c>
      <c r="B5379" t="s">
        <v>12659</v>
      </c>
    </row>
    <row r="5380" spans="1:2" x14ac:dyDescent="0.25">
      <c r="A5380" t="s">
        <v>5406</v>
      </c>
      <c r="B5380" t="s">
        <v>12660</v>
      </c>
    </row>
    <row r="5381" spans="1:2" x14ac:dyDescent="0.25">
      <c r="A5381" t="s">
        <v>5407</v>
      </c>
      <c r="B5381" t="s">
        <v>12661</v>
      </c>
    </row>
    <row r="5382" spans="1:2" x14ac:dyDescent="0.25">
      <c r="A5382" t="s">
        <v>5408</v>
      </c>
      <c r="B5382" t="s">
        <v>12662</v>
      </c>
    </row>
    <row r="5383" spans="1:2" x14ac:dyDescent="0.25">
      <c r="A5383" t="s">
        <v>5409</v>
      </c>
      <c r="B5383" t="s">
        <v>12663</v>
      </c>
    </row>
    <row r="5384" spans="1:2" x14ac:dyDescent="0.25">
      <c r="A5384" t="s">
        <v>5410</v>
      </c>
      <c r="B5384" t="s">
        <v>12664</v>
      </c>
    </row>
    <row r="5385" spans="1:2" x14ac:dyDescent="0.25">
      <c r="A5385" t="s">
        <v>5411</v>
      </c>
      <c r="B5385" t="s">
        <v>12665</v>
      </c>
    </row>
    <row r="5386" spans="1:2" x14ac:dyDescent="0.25">
      <c r="A5386" t="s">
        <v>5412</v>
      </c>
      <c r="B5386" t="s">
        <v>12666</v>
      </c>
    </row>
    <row r="5387" spans="1:2" x14ac:dyDescent="0.25">
      <c r="A5387" t="s">
        <v>5413</v>
      </c>
      <c r="B5387" t="s">
        <v>12667</v>
      </c>
    </row>
    <row r="5388" spans="1:2" x14ac:dyDescent="0.25">
      <c r="A5388" t="s">
        <v>5414</v>
      </c>
      <c r="B5388" t="s">
        <v>12668</v>
      </c>
    </row>
    <row r="5389" spans="1:2" x14ac:dyDescent="0.25">
      <c r="A5389" t="s">
        <v>5415</v>
      </c>
      <c r="B5389" t="s">
        <v>12669</v>
      </c>
    </row>
    <row r="5390" spans="1:2" x14ac:dyDescent="0.25">
      <c r="A5390" t="s">
        <v>5416</v>
      </c>
      <c r="B5390" t="s">
        <v>12670</v>
      </c>
    </row>
    <row r="5391" spans="1:2" x14ac:dyDescent="0.25">
      <c r="A5391" t="s">
        <v>5417</v>
      </c>
      <c r="B5391" t="s">
        <v>12671</v>
      </c>
    </row>
    <row r="5392" spans="1:2" x14ac:dyDescent="0.25">
      <c r="A5392" t="s">
        <v>5418</v>
      </c>
      <c r="B5392" t="s">
        <v>12672</v>
      </c>
    </row>
    <row r="5393" spans="1:2" x14ac:dyDescent="0.25">
      <c r="A5393" t="s">
        <v>5419</v>
      </c>
      <c r="B5393" t="s">
        <v>12673</v>
      </c>
    </row>
    <row r="5394" spans="1:2" x14ac:dyDescent="0.25">
      <c r="A5394" t="s">
        <v>5420</v>
      </c>
      <c r="B5394" t="s">
        <v>12674</v>
      </c>
    </row>
    <row r="5395" spans="1:2" x14ac:dyDescent="0.25">
      <c r="A5395" t="s">
        <v>5421</v>
      </c>
      <c r="B5395" t="s">
        <v>12675</v>
      </c>
    </row>
    <row r="5396" spans="1:2" x14ac:dyDescent="0.25">
      <c r="A5396" t="s">
        <v>5422</v>
      </c>
      <c r="B5396" t="s">
        <v>12676</v>
      </c>
    </row>
    <row r="5397" spans="1:2" x14ac:dyDescent="0.25">
      <c r="A5397" t="s">
        <v>5423</v>
      </c>
      <c r="B5397" t="s">
        <v>12677</v>
      </c>
    </row>
    <row r="5398" spans="1:2" x14ac:dyDescent="0.25">
      <c r="A5398" t="s">
        <v>5424</v>
      </c>
      <c r="B5398" t="s">
        <v>12678</v>
      </c>
    </row>
    <row r="5399" spans="1:2" x14ac:dyDescent="0.25">
      <c r="A5399" t="s">
        <v>5425</v>
      </c>
      <c r="B5399" t="s">
        <v>12679</v>
      </c>
    </row>
    <row r="5400" spans="1:2" x14ac:dyDescent="0.25">
      <c r="A5400" t="s">
        <v>5426</v>
      </c>
      <c r="B5400" t="s">
        <v>12680</v>
      </c>
    </row>
    <row r="5401" spans="1:2" x14ac:dyDescent="0.25">
      <c r="A5401" t="s">
        <v>5427</v>
      </c>
      <c r="B5401" t="s">
        <v>12681</v>
      </c>
    </row>
    <row r="5402" spans="1:2" x14ac:dyDescent="0.25">
      <c r="A5402" t="s">
        <v>5428</v>
      </c>
      <c r="B5402" t="s">
        <v>12682</v>
      </c>
    </row>
    <row r="5403" spans="1:2" x14ac:dyDescent="0.25">
      <c r="A5403" t="s">
        <v>5429</v>
      </c>
      <c r="B5403" t="s">
        <v>12683</v>
      </c>
    </row>
    <row r="5404" spans="1:2" x14ac:dyDescent="0.25">
      <c r="A5404" t="s">
        <v>5430</v>
      </c>
      <c r="B5404" t="s">
        <v>12684</v>
      </c>
    </row>
    <row r="5405" spans="1:2" x14ac:dyDescent="0.25">
      <c r="A5405" t="s">
        <v>5431</v>
      </c>
      <c r="B5405" t="s">
        <v>12685</v>
      </c>
    </row>
    <row r="5406" spans="1:2" x14ac:dyDescent="0.25">
      <c r="A5406" t="s">
        <v>5432</v>
      </c>
      <c r="B5406" t="s">
        <v>12686</v>
      </c>
    </row>
    <row r="5407" spans="1:2" x14ac:dyDescent="0.25">
      <c r="A5407" t="s">
        <v>5433</v>
      </c>
      <c r="B5407" t="s">
        <v>12687</v>
      </c>
    </row>
    <row r="5408" spans="1:2" x14ac:dyDescent="0.25">
      <c r="A5408" t="s">
        <v>5434</v>
      </c>
      <c r="B5408" t="s">
        <v>12688</v>
      </c>
    </row>
    <row r="5409" spans="1:2" x14ac:dyDescent="0.25">
      <c r="A5409" t="s">
        <v>5435</v>
      </c>
      <c r="B5409" t="s">
        <v>12689</v>
      </c>
    </row>
    <row r="5410" spans="1:2" x14ac:dyDescent="0.25">
      <c r="A5410" t="s">
        <v>5436</v>
      </c>
      <c r="B5410" t="s">
        <v>12690</v>
      </c>
    </row>
    <row r="5411" spans="1:2" x14ac:dyDescent="0.25">
      <c r="A5411" t="s">
        <v>5437</v>
      </c>
      <c r="B5411" t="s">
        <v>12691</v>
      </c>
    </row>
    <row r="5412" spans="1:2" x14ac:dyDescent="0.25">
      <c r="A5412" t="s">
        <v>5438</v>
      </c>
      <c r="B5412" t="s">
        <v>12692</v>
      </c>
    </row>
    <row r="5413" spans="1:2" x14ac:dyDescent="0.25">
      <c r="A5413" t="s">
        <v>5439</v>
      </c>
      <c r="B5413" t="s">
        <v>12693</v>
      </c>
    </row>
    <row r="5414" spans="1:2" x14ac:dyDescent="0.25">
      <c r="A5414" t="s">
        <v>5440</v>
      </c>
      <c r="B5414" t="s">
        <v>12694</v>
      </c>
    </row>
    <row r="5415" spans="1:2" x14ac:dyDescent="0.25">
      <c r="A5415" t="s">
        <v>5441</v>
      </c>
      <c r="B5415" t="s">
        <v>12695</v>
      </c>
    </row>
    <row r="5416" spans="1:2" x14ac:dyDescent="0.25">
      <c r="A5416" t="s">
        <v>5442</v>
      </c>
      <c r="B5416" t="s">
        <v>12696</v>
      </c>
    </row>
    <row r="5417" spans="1:2" x14ac:dyDescent="0.25">
      <c r="A5417" t="s">
        <v>5443</v>
      </c>
      <c r="B5417" t="s">
        <v>12697</v>
      </c>
    </row>
    <row r="5418" spans="1:2" x14ac:dyDescent="0.25">
      <c r="A5418" t="s">
        <v>5444</v>
      </c>
      <c r="B5418" t="s">
        <v>12698</v>
      </c>
    </row>
    <row r="5419" spans="1:2" x14ac:dyDescent="0.25">
      <c r="A5419" t="s">
        <v>5445</v>
      </c>
      <c r="B5419" t="s">
        <v>12699</v>
      </c>
    </row>
    <row r="5420" spans="1:2" x14ac:dyDescent="0.25">
      <c r="A5420" t="s">
        <v>5446</v>
      </c>
      <c r="B5420" t="s">
        <v>12700</v>
      </c>
    </row>
    <row r="5421" spans="1:2" x14ac:dyDescent="0.25">
      <c r="A5421" t="s">
        <v>5447</v>
      </c>
      <c r="B5421" t="s">
        <v>12701</v>
      </c>
    </row>
    <row r="5422" spans="1:2" x14ac:dyDescent="0.25">
      <c r="A5422" t="s">
        <v>5448</v>
      </c>
      <c r="B5422" t="s">
        <v>12702</v>
      </c>
    </row>
    <row r="5423" spans="1:2" x14ac:dyDescent="0.25">
      <c r="A5423" t="s">
        <v>5449</v>
      </c>
      <c r="B5423" t="s">
        <v>12703</v>
      </c>
    </row>
    <row r="5424" spans="1:2" x14ac:dyDescent="0.25">
      <c r="A5424" t="s">
        <v>5450</v>
      </c>
      <c r="B5424" t="s">
        <v>12704</v>
      </c>
    </row>
    <row r="5425" spans="1:2" x14ac:dyDescent="0.25">
      <c r="A5425" t="s">
        <v>5451</v>
      </c>
      <c r="B5425" t="s">
        <v>12705</v>
      </c>
    </row>
    <row r="5426" spans="1:2" x14ac:dyDescent="0.25">
      <c r="A5426" t="s">
        <v>5452</v>
      </c>
      <c r="B5426" t="s">
        <v>12706</v>
      </c>
    </row>
    <row r="5427" spans="1:2" x14ac:dyDescent="0.25">
      <c r="A5427" t="s">
        <v>5453</v>
      </c>
      <c r="B5427" t="s">
        <v>12707</v>
      </c>
    </row>
    <row r="5428" spans="1:2" x14ac:dyDescent="0.25">
      <c r="A5428" t="s">
        <v>5454</v>
      </c>
      <c r="B5428" t="s">
        <v>12708</v>
      </c>
    </row>
    <row r="5429" spans="1:2" x14ac:dyDescent="0.25">
      <c r="A5429" t="s">
        <v>5455</v>
      </c>
      <c r="B5429" t="s">
        <v>12709</v>
      </c>
    </row>
    <row r="5430" spans="1:2" x14ac:dyDescent="0.25">
      <c r="A5430" t="s">
        <v>5456</v>
      </c>
      <c r="B5430" t="s">
        <v>12710</v>
      </c>
    </row>
    <row r="5431" spans="1:2" x14ac:dyDescent="0.25">
      <c r="A5431" t="s">
        <v>5457</v>
      </c>
      <c r="B5431" t="s">
        <v>12711</v>
      </c>
    </row>
    <row r="5432" spans="1:2" x14ac:dyDescent="0.25">
      <c r="A5432" t="s">
        <v>5458</v>
      </c>
      <c r="B5432" t="s">
        <v>12712</v>
      </c>
    </row>
    <row r="5433" spans="1:2" x14ac:dyDescent="0.25">
      <c r="A5433" t="s">
        <v>5459</v>
      </c>
      <c r="B5433" t="s">
        <v>12713</v>
      </c>
    </row>
    <row r="5434" spans="1:2" x14ac:dyDescent="0.25">
      <c r="A5434" t="s">
        <v>5460</v>
      </c>
      <c r="B5434" t="s">
        <v>12714</v>
      </c>
    </row>
    <row r="5435" spans="1:2" x14ac:dyDescent="0.25">
      <c r="A5435" t="s">
        <v>5461</v>
      </c>
      <c r="B5435" t="s">
        <v>12715</v>
      </c>
    </row>
    <row r="5436" spans="1:2" x14ac:dyDescent="0.25">
      <c r="A5436" t="s">
        <v>5462</v>
      </c>
      <c r="B5436" t="s">
        <v>12716</v>
      </c>
    </row>
    <row r="5437" spans="1:2" x14ac:dyDescent="0.25">
      <c r="A5437" t="s">
        <v>5463</v>
      </c>
      <c r="B5437" t="s">
        <v>12717</v>
      </c>
    </row>
    <row r="5438" spans="1:2" x14ac:dyDescent="0.25">
      <c r="A5438" t="s">
        <v>5464</v>
      </c>
      <c r="B5438" t="s">
        <v>12718</v>
      </c>
    </row>
    <row r="5439" spans="1:2" x14ac:dyDescent="0.25">
      <c r="A5439" t="s">
        <v>5465</v>
      </c>
      <c r="B5439" t="s">
        <v>12719</v>
      </c>
    </row>
    <row r="5440" spans="1:2" x14ac:dyDescent="0.25">
      <c r="A5440" t="s">
        <v>5466</v>
      </c>
      <c r="B5440" t="s">
        <v>12720</v>
      </c>
    </row>
    <row r="5441" spans="1:2" x14ac:dyDescent="0.25">
      <c r="A5441" t="s">
        <v>5467</v>
      </c>
      <c r="B5441" t="s">
        <v>12721</v>
      </c>
    </row>
    <row r="5442" spans="1:2" x14ac:dyDescent="0.25">
      <c r="A5442" t="s">
        <v>5468</v>
      </c>
      <c r="B5442" t="s">
        <v>12722</v>
      </c>
    </row>
    <row r="5443" spans="1:2" x14ac:dyDescent="0.25">
      <c r="A5443" t="s">
        <v>5469</v>
      </c>
      <c r="B5443" t="s">
        <v>12723</v>
      </c>
    </row>
    <row r="5444" spans="1:2" x14ac:dyDescent="0.25">
      <c r="A5444" t="s">
        <v>5470</v>
      </c>
      <c r="B5444" t="s">
        <v>12724</v>
      </c>
    </row>
    <row r="5445" spans="1:2" x14ac:dyDescent="0.25">
      <c r="A5445" t="s">
        <v>5471</v>
      </c>
      <c r="B5445" t="s">
        <v>12725</v>
      </c>
    </row>
    <row r="5446" spans="1:2" x14ac:dyDescent="0.25">
      <c r="A5446" t="s">
        <v>5472</v>
      </c>
      <c r="B5446" t="s">
        <v>12726</v>
      </c>
    </row>
    <row r="5447" spans="1:2" x14ac:dyDescent="0.25">
      <c r="A5447" t="s">
        <v>5473</v>
      </c>
      <c r="B5447" t="s">
        <v>12727</v>
      </c>
    </row>
    <row r="5448" spans="1:2" x14ac:dyDescent="0.25">
      <c r="A5448" t="s">
        <v>5474</v>
      </c>
      <c r="B5448" t="s">
        <v>12728</v>
      </c>
    </row>
    <row r="5449" spans="1:2" x14ac:dyDescent="0.25">
      <c r="A5449" t="s">
        <v>5475</v>
      </c>
      <c r="B5449" t="s">
        <v>12729</v>
      </c>
    </row>
    <row r="5450" spans="1:2" x14ac:dyDescent="0.25">
      <c r="A5450" t="s">
        <v>5476</v>
      </c>
      <c r="B5450" t="s">
        <v>12730</v>
      </c>
    </row>
    <row r="5451" spans="1:2" x14ac:dyDescent="0.25">
      <c r="A5451" t="s">
        <v>5477</v>
      </c>
      <c r="B5451" t="s">
        <v>12731</v>
      </c>
    </row>
    <row r="5452" spans="1:2" x14ac:dyDescent="0.25">
      <c r="A5452" t="s">
        <v>5478</v>
      </c>
      <c r="B5452" t="s">
        <v>12732</v>
      </c>
    </row>
    <row r="5453" spans="1:2" x14ac:dyDescent="0.25">
      <c r="A5453" t="s">
        <v>5479</v>
      </c>
      <c r="B5453" t="s">
        <v>12733</v>
      </c>
    </row>
    <row r="5454" spans="1:2" x14ac:dyDescent="0.25">
      <c r="A5454" t="s">
        <v>5480</v>
      </c>
      <c r="B5454" t="s">
        <v>12734</v>
      </c>
    </row>
    <row r="5455" spans="1:2" x14ac:dyDescent="0.25">
      <c r="A5455" t="s">
        <v>5481</v>
      </c>
      <c r="B5455" t="s">
        <v>12735</v>
      </c>
    </row>
    <row r="5456" spans="1:2" x14ac:dyDescent="0.25">
      <c r="A5456" t="s">
        <v>5482</v>
      </c>
      <c r="B5456" t="s">
        <v>12736</v>
      </c>
    </row>
    <row r="5457" spans="1:2" x14ac:dyDescent="0.25">
      <c r="A5457" t="s">
        <v>5483</v>
      </c>
      <c r="B5457" t="s">
        <v>12737</v>
      </c>
    </row>
    <row r="5458" spans="1:2" x14ac:dyDescent="0.25">
      <c r="A5458" t="s">
        <v>5484</v>
      </c>
      <c r="B5458" t="s">
        <v>12738</v>
      </c>
    </row>
    <row r="5459" spans="1:2" x14ac:dyDescent="0.25">
      <c r="A5459" t="s">
        <v>5485</v>
      </c>
      <c r="B5459" t="s">
        <v>12739</v>
      </c>
    </row>
    <row r="5460" spans="1:2" x14ac:dyDescent="0.25">
      <c r="A5460" t="s">
        <v>5486</v>
      </c>
      <c r="B5460" t="s">
        <v>12740</v>
      </c>
    </row>
    <row r="5461" spans="1:2" x14ac:dyDescent="0.25">
      <c r="A5461" t="s">
        <v>5487</v>
      </c>
      <c r="B5461" t="s">
        <v>12741</v>
      </c>
    </row>
    <row r="5462" spans="1:2" x14ac:dyDescent="0.25">
      <c r="A5462" t="s">
        <v>5488</v>
      </c>
      <c r="B5462" t="s">
        <v>12742</v>
      </c>
    </row>
    <row r="5463" spans="1:2" x14ac:dyDescent="0.25">
      <c r="A5463" t="s">
        <v>5489</v>
      </c>
      <c r="B5463" t="s">
        <v>12743</v>
      </c>
    </row>
    <row r="5464" spans="1:2" x14ac:dyDescent="0.25">
      <c r="A5464" t="s">
        <v>5490</v>
      </c>
      <c r="B5464" t="s">
        <v>12744</v>
      </c>
    </row>
    <row r="5465" spans="1:2" x14ac:dyDescent="0.25">
      <c r="A5465" t="s">
        <v>5491</v>
      </c>
      <c r="B5465" t="s">
        <v>12745</v>
      </c>
    </row>
    <row r="5466" spans="1:2" x14ac:dyDescent="0.25">
      <c r="A5466" t="s">
        <v>5492</v>
      </c>
      <c r="B5466" t="s">
        <v>12746</v>
      </c>
    </row>
    <row r="5467" spans="1:2" x14ac:dyDescent="0.25">
      <c r="A5467" t="s">
        <v>5493</v>
      </c>
      <c r="B5467" t="s">
        <v>12747</v>
      </c>
    </row>
    <row r="5468" spans="1:2" x14ac:dyDescent="0.25">
      <c r="A5468" t="s">
        <v>5494</v>
      </c>
      <c r="B5468" t="s">
        <v>12748</v>
      </c>
    </row>
    <row r="5469" spans="1:2" x14ac:dyDescent="0.25">
      <c r="A5469" t="s">
        <v>5495</v>
      </c>
      <c r="B5469" t="s">
        <v>12749</v>
      </c>
    </row>
    <row r="5470" spans="1:2" x14ac:dyDescent="0.25">
      <c r="A5470" t="s">
        <v>5496</v>
      </c>
      <c r="B5470" t="s">
        <v>12750</v>
      </c>
    </row>
    <row r="5471" spans="1:2" x14ac:dyDescent="0.25">
      <c r="A5471" t="s">
        <v>5497</v>
      </c>
      <c r="B5471" t="s">
        <v>12751</v>
      </c>
    </row>
    <row r="5472" spans="1:2" x14ac:dyDescent="0.25">
      <c r="A5472" t="s">
        <v>5498</v>
      </c>
      <c r="B5472" t="s">
        <v>12752</v>
      </c>
    </row>
    <row r="5473" spans="1:2" x14ac:dyDescent="0.25">
      <c r="A5473" t="s">
        <v>5499</v>
      </c>
      <c r="B5473" t="s">
        <v>12753</v>
      </c>
    </row>
    <row r="5474" spans="1:2" x14ac:dyDescent="0.25">
      <c r="A5474" t="s">
        <v>5500</v>
      </c>
      <c r="B5474" t="s">
        <v>12754</v>
      </c>
    </row>
    <row r="5475" spans="1:2" x14ac:dyDescent="0.25">
      <c r="A5475" t="s">
        <v>5501</v>
      </c>
      <c r="B5475" t="s">
        <v>12755</v>
      </c>
    </row>
    <row r="5476" spans="1:2" x14ac:dyDescent="0.25">
      <c r="A5476" t="s">
        <v>5502</v>
      </c>
      <c r="B5476" t="s">
        <v>12756</v>
      </c>
    </row>
    <row r="5477" spans="1:2" x14ac:dyDescent="0.25">
      <c r="A5477" t="s">
        <v>5503</v>
      </c>
      <c r="B5477" t="s">
        <v>12757</v>
      </c>
    </row>
    <row r="5478" spans="1:2" x14ac:dyDescent="0.25">
      <c r="A5478" t="s">
        <v>5504</v>
      </c>
      <c r="B5478" t="s">
        <v>12758</v>
      </c>
    </row>
    <row r="5479" spans="1:2" x14ac:dyDescent="0.25">
      <c r="A5479" t="s">
        <v>5505</v>
      </c>
      <c r="B5479" t="s">
        <v>12759</v>
      </c>
    </row>
    <row r="5480" spans="1:2" x14ac:dyDescent="0.25">
      <c r="A5480" t="s">
        <v>5506</v>
      </c>
      <c r="B5480" t="s">
        <v>12760</v>
      </c>
    </row>
    <row r="5481" spans="1:2" x14ac:dyDescent="0.25">
      <c r="A5481" t="s">
        <v>5507</v>
      </c>
      <c r="B5481" t="s">
        <v>12761</v>
      </c>
    </row>
    <row r="5482" spans="1:2" x14ac:dyDescent="0.25">
      <c r="A5482" t="s">
        <v>5508</v>
      </c>
      <c r="B5482" t="s">
        <v>12762</v>
      </c>
    </row>
    <row r="5483" spans="1:2" x14ac:dyDescent="0.25">
      <c r="A5483" t="s">
        <v>5509</v>
      </c>
      <c r="B5483" t="s">
        <v>12763</v>
      </c>
    </row>
    <row r="5484" spans="1:2" x14ac:dyDescent="0.25">
      <c r="A5484" t="s">
        <v>5510</v>
      </c>
      <c r="B5484" t="s">
        <v>12764</v>
      </c>
    </row>
    <row r="5485" spans="1:2" x14ac:dyDescent="0.25">
      <c r="A5485" t="s">
        <v>5511</v>
      </c>
      <c r="B5485" t="s">
        <v>12765</v>
      </c>
    </row>
    <row r="5486" spans="1:2" x14ac:dyDescent="0.25">
      <c r="A5486" t="s">
        <v>5512</v>
      </c>
      <c r="B5486" t="s">
        <v>12766</v>
      </c>
    </row>
    <row r="5487" spans="1:2" x14ac:dyDescent="0.25">
      <c r="A5487" t="s">
        <v>5513</v>
      </c>
      <c r="B5487" t="s">
        <v>12767</v>
      </c>
    </row>
    <row r="5488" spans="1:2" x14ac:dyDescent="0.25">
      <c r="A5488" t="s">
        <v>5514</v>
      </c>
      <c r="B5488" t="s">
        <v>12768</v>
      </c>
    </row>
    <row r="5489" spans="1:2" x14ac:dyDescent="0.25">
      <c r="A5489" t="s">
        <v>5515</v>
      </c>
      <c r="B5489" t="s">
        <v>12769</v>
      </c>
    </row>
    <row r="5490" spans="1:2" x14ac:dyDescent="0.25">
      <c r="A5490" t="s">
        <v>5516</v>
      </c>
      <c r="B5490" t="s">
        <v>12770</v>
      </c>
    </row>
    <row r="5491" spans="1:2" x14ac:dyDescent="0.25">
      <c r="A5491" t="s">
        <v>5517</v>
      </c>
      <c r="B5491" t="s">
        <v>12771</v>
      </c>
    </row>
    <row r="5492" spans="1:2" x14ac:dyDescent="0.25">
      <c r="A5492" t="s">
        <v>5518</v>
      </c>
      <c r="B5492" t="s">
        <v>12772</v>
      </c>
    </row>
    <row r="5493" spans="1:2" x14ac:dyDescent="0.25">
      <c r="A5493" t="s">
        <v>5519</v>
      </c>
      <c r="B5493" t="s">
        <v>12773</v>
      </c>
    </row>
    <row r="5494" spans="1:2" x14ac:dyDescent="0.25">
      <c r="A5494" t="s">
        <v>5520</v>
      </c>
      <c r="B5494" t="s">
        <v>12774</v>
      </c>
    </row>
    <row r="5495" spans="1:2" x14ac:dyDescent="0.25">
      <c r="A5495" t="s">
        <v>5521</v>
      </c>
      <c r="B5495" t="s">
        <v>12775</v>
      </c>
    </row>
    <row r="5496" spans="1:2" x14ac:dyDescent="0.25">
      <c r="A5496" t="s">
        <v>5522</v>
      </c>
      <c r="B5496" t="s">
        <v>12776</v>
      </c>
    </row>
    <row r="5497" spans="1:2" x14ac:dyDescent="0.25">
      <c r="A5497" t="s">
        <v>5523</v>
      </c>
      <c r="B5497" t="s">
        <v>12777</v>
      </c>
    </row>
    <row r="5498" spans="1:2" x14ac:dyDescent="0.25">
      <c r="A5498" t="s">
        <v>5524</v>
      </c>
      <c r="B5498" t="s">
        <v>12778</v>
      </c>
    </row>
    <row r="5499" spans="1:2" x14ac:dyDescent="0.25">
      <c r="A5499" t="s">
        <v>5525</v>
      </c>
      <c r="B5499" t="s">
        <v>12779</v>
      </c>
    </row>
    <row r="5500" spans="1:2" x14ac:dyDescent="0.25">
      <c r="A5500" t="s">
        <v>5526</v>
      </c>
      <c r="B5500" t="s">
        <v>12780</v>
      </c>
    </row>
    <row r="5501" spans="1:2" x14ac:dyDescent="0.25">
      <c r="A5501" t="s">
        <v>5527</v>
      </c>
      <c r="B5501" t="s">
        <v>12781</v>
      </c>
    </row>
    <row r="5502" spans="1:2" x14ac:dyDescent="0.25">
      <c r="A5502" t="s">
        <v>5528</v>
      </c>
      <c r="B5502" t="s">
        <v>12782</v>
      </c>
    </row>
    <row r="5503" spans="1:2" x14ac:dyDescent="0.25">
      <c r="A5503" t="s">
        <v>5529</v>
      </c>
      <c r="B5503" t="s">
        <v>12783</v>
      </c>
    </row>
    <row r="5504" spans="1:2" x14ac:dyDescent="0.25">
      <c r="A5504" t="s">
        <v>5530</v>
      </c>
      <c r="B5504" t="s">
        <v>12784</v>
      </c>
    </row>
    <row r="5505" spans="1:2" x14ac:dyDescent="0.25">
      <c r="A5505" t="s">
        <v>5531</v>
      </c>
      <c r="B5505" t="s">
        <v>12785</v>
      </c>
    </row>
    <row r="5506" spans="1:2" x14ac:dyDescent="0.25">
      <c r="A5506" t="s">
        <v>5532</v>
      </c>
      <c r="B5506" t="s">
        <v>12786</v>
      </c>
    </row>
    <row r="5507" spans="1:2" x14ac:dyDescent="0.25">
      <c r="A5507" t="s">
        <v>5533</v>
      </c>
      <c r="B5507" t="s">
        <v>12787</v>
      </c>
    </row>
    <row r="5508" spans="1:2" x14ac:dyDescent="0.25">
      <c r="A5508" t="s">
        <v>5534</v>
      </c>
      <c r="B5508" t="s">
        <v>12788</v>
      </c>
    </row>
    <row r="5509" spans="1:2" x14ac:dyDescent="0.25">
      <c r="A5509" t="s">
        <v>5535</v>
      </c>
      <c r="B5509" t="s">
        <v>12789</v>
      </c>
    </row>
    <row r="5510" spans="1:2" x14ac:dyDescent="0.25">
      <c r="A5510" t="s">
        <v>5536</v>
      </c>
      <c r="B5510" t="s">
        <v>12790</v>
      </c>
    </row>
    <row r="5511" spans="1:2" x14ac:dyDescent="0.25">
      <c r="A5511" t="s">
        <v>5537</v>
      </c>
      <c r="B5511" t="s">
        <v>12791</v>
      </c>
    </row>
    <row r="5512" spans="1:2" x14ac:dyDescent="0.25">
      <c r="A5512" t="s">
        <v>5538</v>
      </c>
      <c r="B5512" t="s">
        <v>12792</v>
      </c>
    </row>
    <row r="5513" spans="1:2" x14ac:dyDescent="0.25">
      <c r="A5513" t="s">
        <v>5539</v>
      </c>
      <c r="B5513" t="s">
        <v>12793</v>
      </c>
    </row>
    <row r="5514" spans="1:2" x14ac:dyDescent="0.25">
      <c r="A5514" t="s">
        <v>5540</v>
      </c>
      <c r="B5514" t="s">
        <v>12794</v>
      </c>
    </row>
    <row r="5515" spans="1:2" x14ac:dyDescent="0.25">
      <c r="A5515" t="s">
        <v>5541</v>
      </c>
      <c r="B5515" t="s">
        <v>12795</v>
      </c>
    </row>
    <row r="5516" spans="1:2" x14ac:dyDescent="0.25">
      <c r="A5516" t="s">
        <v>5542</v>
      </c>
      <c r="B5516" t="s">
        <v>12796</v>
      </c>
    </row>
    <row r="5517" spans="1:2" x14ac:dyDescent="0.25">
      <c r="A5517" t="s">
        <v>5543</v>
      </c>
      <c r="B5517" t="s">
        <v>12797</v>
      </c>
    </row>
    <row r="5518" spans="1:2" x14ac:dyDescent="0.25">
      <c r="A5518" t="s">
        <v>5544</v>
      </c>
      <c r="B5518" t="s">
        <v>12798</v>
      </c>
    </row>
    <row r="5519" spans="1:2" x14ac:dyDescent="0.25">
      <c r="A5519" t="s">
        <v>5545</v>
      </c>
      <c r="B5519" t="s">
        <v>12799</v>
      </c>
    </row>
    <row r="5520" spans="1:2" x14ac:dyDescent="0.25">
      <c r="A5520" t="s">
        <v>5546</v>
      </c>
      <c r="B5520" t="s">
        <v>12800</v>
      </c>
    </row>
    <row r="5521" spans="1:2" x14ac:dyDescent="0.25">
      <c r="A5521" t="s">
        <v>5547</v>
      </c>
      <c r="B5521" t="s">
        <v>12801</v>
      </c>
    </row>
    <row r="5522" spans="1:2" x14ac:dyDescent="0.25">
      <c r="A5522" t="s">
        <v>5548</v>
      </c>
      <c r="B5522" t="s">
        <v>12802</v>
      </c>
    </row>
    <row r="5523" spans="1:2" x14ac:dyDescent="0.25">
      <c r="A5523" t="s">
        <v>5549</v>
      </c>
      <c r="B5523" t="s">
        <v>12803</v>
      </c>
    </row>
    <row r="5524" spans="1:2" x14ac:dyDescent="0.25">
      <c r="A5524" t="s">
        <v>5550</v>
      </c>
      <c r="B5524" t="s">
        <v>12804</v>
      </c>
    </row>
    <row r="5525" spans="1:2" x14ac:dyDescent="0.25">
      <c r="A5525" t="s">
        <v>5551</v>
      </c>
      <c r="B5525" t="s">
        <v>12805</v>
      </c>
    </row>
    <row r="5526" spans="1:2" x14ac:dyDescent="0.25">
      <c r="A5526" t="s">
        <v>5552</v>
      </c>
      <c r="B5526" t="s">
        <v>12806</v>
      </c>
    </row>
    <row r="5527" spans="1:2" x14ac:dyDescent="0.25">
      <c r="A5527" t="s">
        <v>5553</v>
      </c>
      <c r="B5527" t="s">
        <v>12807</v>
      </c>
    </row>
    <row r="5528" spans="1:2" x14ac:dyDescent="0.25">
      <c r="A5528" t="s">
        <v>5554</v>
      </c>
      <c r="B5528" t="s">
        <v>12808</v>
      </c>
    </row>
    <row r="5529" spans="1:2" x14ac:dyDescent="0.25">
      <c r="A5529" t="s">
        <v>5555</v>
      </c>
      <c r="B5529" t="s">
        <v>12809</v>
      </c>
    </row>
    <row r="5530" spans="1:2" x14ac:dyDescent="0.25">
      <c r="A5530" t="s">
        <v>5556</v>
      </c>
      <c r="B5530" t="s">
        <v>12810</v>
      </c>
    </row>
    <row r="5531" spans="1:2" x14ac:dyDescent="0.25">
      <c r="A5531" t="s">
        <v>5557</v>
      </c>
      <c r="B5531" t="s">
        <v>12811</v>
      </c>
    </row>
    <row r="5532" spans="1:2" x14ac:dyDescent="0.25">
      <c r="A5532" t="s">
        <v>5558</v>
      </c>
      <c r="B5532" t="s">
        <v>12812</v>
      </c>
    </row>
    <row r="5533" spans="1:2" x14ac:dyDescent="0.25">
      <c r="A5533" t="s">
        <v>5559</v>
      </c>
      <c r="B5533" t="s">
        <v>12813</v>
      </c>
    </row>
    <row r="5534" spans="1:2" x14ac:dyDescent="0.25">
      <c r="A5534" t="s">
        <v>5560</v>
      </c>
      <c r="B5534" t="s">
        <v>12814</v>
      </c>
    </row>
    <row r="5535" spans="1:2" x14ac:dyDescent="0.25">
      <c r="A5535" t="s">
        <v>5561</v>
      </c>
      <c r="B5535" t="s">
        <v>12815</v>
      </c>
    </row>
    <row r="5536" spans="1:2" x14ac:dyDescent="0.25">
      <c r="A5536" t="s">
        <v>5562</v>
      </c>
      <c r="B5536" t="s">
        <v>12816</v>
      </c>
    </row>
    <row r="5537" spans="1:2" x14ac:dyDescent="0.25">
      <c r="A5537" t="s">
        <v>5563</v>
      </c>
      <c r="B5537" t="s">
        <v>12817</v>
      </c>
    </row>
    <row r="5538" spans="1:2" x14ac:dyDescent="0.25">
      <c r="A5538" t="s">
        <v>5564</v>
      </c>
      <c r="B5538" t="s">
        <v>12818</v>
      </c>
    </row>
    <row r="5539" spans="1:2" x14ac:dyDescent="0.25">
      <c r="A5539" t="s">
        <v>5565</v>
      </c>
      <c r="B5539" t="s">
        <v>12819</v>
      </c>
    </row>
    <row r="5540" spans="1:2" x14ac:dyDescent="0.25">
      <c r="A5540" t="s">
        <v>5566</v>
      </c>
      <c r="B5540" t="s">
        <v>12820</v>
      </c>
    </row>
    <row r="5541" spans="1:2" x14ac:dyDescent="0.25">
      <c r="A5541" t="s">
        <v>5567</v>
      </c>
      <c r="B5541" t="s">
        <v>12821</v>
      </c>
    </row>
    <row r="5542" spans="1:2" x14ac:dyDescent="0.25">
      <c r="A5542" t="s">
        <v>5568</v>
      </c>
      <c r="B5542" t="s">
        <v>12822</v>
      </c>
    </row>
    <row r="5543" spans="1:2" x14ac:dyDescent="0.25">
      <c r="A5543" t="s">
        <v>5569</v>
      </c>
      <c r="B5543" t="s">
        <v>12823</v>
      </c>
    </row>
    <row r="5544" spans="1:2" x14ac:dyDescent="0.25">
      <c r="A5544" t="s">
        <v>5570</v>
      </c>
      <c r="B5544" t="s">
        <v>12824</v>
      </c>
    </row>
    <row r="5545" spans="1:2" x14ac:dyDescent="0.25">
      <c r="A5545" t="s">
        <v>5571</v>
      </c>
      <c r="B5545" t="s">
        <v>12825</v>
      </c>
    </row>
    <row r="5546" spans="1:2" x14ac:dyDescent="0.25">
      <c r="A5546" t="s">
        <v>5572</v>
      </c>
      <c r="B5546" t="s">
        <v>12826</v>
      </c>
    </row>
    <row r="5547" spans="1:2" x14ac:dyDescent="0.25">
      <c r="A5547" t="s">
        <v>5573</v>
      </c>
      <c r="B5547" t="s">
        <v>12827</v>
      </c>
    </row>
    <row r="5548" spans="1:2" x14ac:dyDescent="0.25">
      <c r="A5548" t="s">
        <v>5574</v>
      </c>
      <c r="B5548" t="s">
        <v>12828</v>
      </c>
    </row>
    <row r="5549" spans="1:2" x14ac:dyDescent="0.25">
      <c r="A5549" t="s">
        <v>5575</v>
      </c>
      <c r="B5549" t="s">
        <v>12829</v>
      </c>
    </row>
    <row r="5550" spans="1:2" x14ac:dyDescent="0.25">
      <c r="A5550" t="s">
        <v>5576</v>
      </c>
      <c r="B5550" t="s">
        <v>12830</v>
      </c>
    </row>
    <row r="5551" spans="1:2" x14ac:dyDescent="0.25">
      <c r="A5551" t="s">
        <v>5577</v>
      </c>
      <c r="B5551" t="s">
        <v>12831</v>
      </c>
    </row>
    <row r="5552" spans="1:2" x14ac:dyDescent="0.25">
      <c r="A5552" t="s">
        <v>5578</v>
      </c>
      <c r="B5552" t="s">
        <v>12832</v>
      </c>
    </row>
    <row r="5553" spans="1:2" x14ac:dyDescent="0.25">
      <c r="A5553" t="s">
        <v>5579</v>
      </c>
      <c r="B5553" t="s">
        <v>12833</v>
      </c>
    </row>
    <row r="5554" spans="1:2" x14ac:dyDescent="0.25">
      <c r="A5554" t="s">
        <v>5580</v>
      </c>
      <c r="B5554" t="s">
        <v>12834</v>
      </c>
    </row>
    <row r="5555" spans="1:2" x14ac:dyDescent="0.25">
      <c r="A5555" t="s">
        <v>5581</v>
      </c>
      <c r="B5555" t="s">
        <v>12835</v>
      </c>
    </row>
    <row r="5556" spans="1:2" x14ac:dyDescent="0.25">
      <c r="A5556" t="s">
        <v>5582</v>
      </c>
      <c r="B5556" t="s">
        <v>12836</v>
      </c>
    </row>
    <row r="5557" spans="1:2" x14ac:dyDescent="0.25">
      <c r="A5557" t="s">
        <v>5583</v>
      </c>
      <c r="B5557" t="s">
        <v>12837</v>
      </c>
    </row>
    <row r="5558" spans="1:2" x14ac:dyDescent="0.25">
      <c r="A5558" t="s">
        <v>5584</v>
      </c>
      <c r="B5558" t="s">
        <v>12838</v>
      </c>
    </row>
    <row r="5559" spans="1:2" x14ac:dyDescent="0.25">
      <c r="A5559" t="s">
        <v>5585</v>
      </c>
      <c r="B5559" t="s">
        <v>12839</v>
      </c>
    </row>
    <row r="5560" spans="1:2" x14ac:dyDescent="0.25">
      <c r="A5560" t="s">
        <v>5586</v>
      </c>
      <c r="B5560" t="s">
        <v>12840</v>
      </c>
    </row>
    <row r="5561" spans="1:2" x14ac:dyDescent="0.25">
      <c r="A5561" t="s">
        <v>5587</v>
      </c>
      <c r="B5561" t="s">
        <v>12841</v>
      </c>
    </row>
    <row r="5562" spans="1:2" x14ac:dyDescent="0.25">
      <c r="A5562" t="s">
        <v>5588</v>
      </c>
      <c r="B5562" t="s">
        <v>12842</v>
      </c>
    </row>
    <row r="5563" spans="1:2" x14ac:dyDescent="0.25">
      <c r="A5563" t="s">
        <v>5589</v>
      </c>
      <c r="B5563" t="s">
        <v>12843</v>
      </c>
    </row>
    <row r="5564" spans="1:2" x14ac:dyDescent="0.25">
      <c r="A5564" t="s">
        <v>5590</v>
      </c>
      <c r="B5564" t="s">
        <v>12844</v>
      </c>
    </row>
    <row r="5565" spans="1:2" x14ac:dyDescent="0.25">
      <c r="A5565" t="s">
        <v>5591</v>
      </c>
      <c r="B5565" t="s">
        <v>12845</v>
      </c>
    </row>
    <row r="5566" spans="1:2" x14ac:dyDescent="0.25">
      <c r="A5566" t="s">
        <v>5592</v>
      </c>
      <c r="B5566" t="s">
        <v>12846</v>
      </c>
    </row>
    <row r="5567" spans="1:2" x14ac:dyDescent="0.25">
      <c r="A5567" t="s">
        <v>5593</v>
      </c>
      <c r="B5567" t="s">
        <v>12847</v>
      </c>
    </row>
    <row r="5568" spans="1:2" x14ac:dyDescent="0.25">
      <c r="A5568" t="s">
        <v>5594</v>
      </c>
      <c r="B5568" t="s">
        <v>12848</v>
      </c>
    </row>
    <row r="5569" spans="1:2" x14ac:dyDescent="0.25">
      <c r="A5569" t="s">
        <v>5595</v>
      </c>
      <c r="B5569" t="s">
        <v>12849</v>
      </c>
    </row>
    <row r="5570" spans="1:2" x14ac:dyDescent="0.25">
      <c r="A5570" t="s">
        <v>5596</v>
      </c>
      <c r="B5570" t="s">
        <v>12850</v>
      </c>
    </row>
    <row r="5571" spans="1:2" x14ac:dyDescent="0.25">
      <c r="A5571" t="s">
        <v>5597</v>
      </c>
      <c r="B5571" t="s">
        <v>12851</v>
      </c>
    </row>
    <row r="5572" spans="1:2" x14ac:dyDescent="0.25">
      <c r="A5572" t="s">
        <v>5598</v>
      </c>
      <c r="B5572" t="s">
        <v>12852</v>
      </c>
    </row>
    <row r="5573" spans="1:2" x14ac:dyDescent="0.25">
      <c r="A5573" t="s">
        <v>5599</v>
      </c>
      <c r="B5573" t="s">
        <v>12853</v>
      </c>
    </row>
    <row r="5574" spans="1:2" x14ac:dyDescent="0.25">
      <c r="A5574" t="s">
        <v>5600</v>
      </c>
      <c r="B5574" t="s">
        <v>12854</v>
      </c>
    </row>
    <row r="5575" spans="1:2" x14ac:dyDescent="0.25">
      <c r="A5575" t="s">
        <v>5601</v>
      </c>
      <c r="B5575" t="s">
        <v>12855</v>
      </c>
    </row>
    <row r="5576" spans="1:2" x14ac:dyDescent="0.25">
      <c r="A5576" t="s">
        <v>5602</v>
      </c>
      <c r="B5576" t="s">
        <v>12856</v>
      </c>
    </row>
    <row r="5577" spans="1:2" x14ac:dyDescent="0.25">
      <c r="A5577" t="s">
        <v>5603</v>
      </c>
      <c r="B5577" t="s">
        <v>12857</v>
      </c>
    </row>
    <row r="5578" spans="1:2" x14ac:dyDescent="0.25">
      <c r="A5578" t="s">
        <v>5604</v>
      </c>
      <c r="B5578" t="s">
        <v>12858</v>
      </c>
    </row>
    <row r="5579" spans="1:2" x14ac:dyDescent="0.25">
      <c r="A5579" t="s">
        <v>5605</v>
      </c>
      <c r="B5579" t="s">
        <v>12859</v>
      </c>
    </row>
    <row r="5580" spans="1:2" x14ac:dyDescent="0.25">
      <c r="A5580" t="s">
        <v>5606</v>
      </c>
      <c r="B5580" t="s">
        <v>12860</v>
      </c>
    </row>
    <row r="5581" spans="1:2" x14ac:dyDescent="0.25">
      <c r="A5581" t="s">
        <v>5607</v>
      </c>
      <c r="B5581" t="s">
        <v>12861</v>
      </c>
    </row>
    <row r="5582" spans="1:2" x14ac:dyDescent="0.25">
      <c r="A5582" t="s">
        <v>5608</v>
      </c>
      <c r="B5582" t="s">
        <v>12862</v>
      </c>
    </row>
    <row r="5583" spans="1:2" x14ac:dyDescent="0.25">
      <c r="A5583" t="s">
        <v>5609</v>
      </c>
      <c r="B5583" t="s">
        <v>12863</v>
      </c>
    </row>
    <row r="5584" spans="1:2" x14ac:dyDescent="0.25">
      <c r="A5584" t="s">
        <v>5610</v>
      </c>
      <c r="B5584" t="s">
        <v>12864</v>
      </c>
    </row>
    <row r="5585" spans="1:2" x14ac:dyDescent="0.25">
      <c r="A5585" t="s">
        <v>5611</v>
      </c>
      <c r="B5585" t="s">
        <v>12865</v>
      </c>
    </row>
    <row r="5586" spans="1:2" x14ac:dyDescent="0.25">
      <c r="A5586" t="s">
        <v>5612</v>
      </c>
      <c r="B5586" t="s">
        <v>12866</v>
      </c>
    </row>
    <row r="5587" spans="1:2" x14ac:dyDescent="0.25">
      <c r="A5587" t="s">
        <v>5613</v>
      </c>
      <c r="B5587" t="s">
        <v>12867</v>
      </c>
    </row>
    <row r="5588" spans="1:2" x14ac:dyDescent="0.25">
      <c r="A5588" t="s">
        <v>5614</v>
      </c>
      <c r="B5588" t="s">
        <v>12868</v>
      </c>
    </row>
    <row r="5589" spans="1:2" x14ac:dyDescent="0.25">
      <c r="A5589" t="s">
        <v>5615</v>
      </c>
      <c r="B5589" t="s">
        <v>12869</v>
      </c>
    </row>
    <row r="5590" spans="1:2" x14ac:dyDescent="0.25">
      <c r="A5590" t="s">
        <v>5616</v>
      </c>
      <c r="B5590" t="s">
        <v>12870</v>
      </c>
    </row>
    <row r="5591" spans="1:2" x14ac:dyDescent="0.25">
      <c r="A5591" t="s">
        <v>5617</v>
      </c>
      <c r="B5591" t="s">
        <v>12871</v>
      </c>
    </row>
    <row r="5592" spans="1:2" x14ac:dyDescent="0.25">
      <c r="A5592" t="s">
        <v>5618</v>
      </c>
      <c r="B5592" t="s">
        <v>12872</v>
      </c>
    </row>
    <row r="5593" spans="1:2" x14ac:dyDescent="0.25">
      <c r="A5593" t="s">
        <v>5619</v>
      </c>
      <c r="B5593" t="s">
        <v>12873</v>
      </c>
    </row>
    <row r="5594" spans="1:2" x14ac:dyDescent="0.25">
      <c r="A5594" t="s">
        <v>5620</v>
      </c>
      <c r="B5594" t="s">
        <v>12874</v>
      </c>
    </row>
    <row r="5595" spans="1:2" x14ac:dyDescent="0.25">
      <c r="A5595" t="s">
        <v>5621</v>
      </c>
      <c r="B5595" t="s">
        <v>12875</v>
      </c>
    </row>
    <row r="5596" spans="1:2" x14ac:dyDescent="0.25">
      <c r="A5596" t="s">
        <v>5622</v>
      </c>
      <c r="B5596" t="s">
        <v>12876</v>
      </c>
    </row>
    <row r="5597" spans="1:2" x14ac:dyDescent="0.25">
      <c r="A5597" t="s">
        <v>5623</v>
      </c>
      <c r="B5597" t="s">
        <v>12877</v>
      </c>
    </row>
    <row r="5598" spans="1:2" x14ac:dyDescent="0.25">
      <c r="A5598" t="s">
        <v>5624</v>
      </c>
      <c r="B5598" t="s">
        <v>12878</v>
      </c>
    </row>
    <row r="5599" spans="1:2" x14ac:dyDescent="0.25">
      <c r="A5599" t="s">
        <v>5625</v>
      </c>
      <c r="B5599" t="s">
        <v>12879</v>
      </c>
    </row>
    <row r="5600" spans="1:2" x14ac:dyDescent="0.25">
      <c r="A5600" t="s">
        <v>5626</v>
      </c>
      <c r="B5600" t="s">
        <v>12880</v>
      </c>
    </row>
    <row r="5601" spans="1:2" x14ac:dyDescent="0.25">
      <c r="A5601" t="s">
        <v>5627</v>
      </c>
      <c r="B5601" t="s">
        <v>12881</v>
      </c>
    </row>
    <row r="5602" spans="1:2" x14ac:dyDescent="0.25">
      <c r="A5602" t="s">
        <v>5628</v>
      </c>
      <c r="B5602" t="s">
        <v>12882</v>
      </c>
    </row>
    <row r="5603" spans="1:2" x14ac:dyDescent="0.25">
      <c r="A5603" t="s">
        <v>5629</v>
      </c>
      <c r="B5603" t="s">
        <v>12883</v>
      </c>
    </row>
    <row r="5604" spans="1:2" x14ac:dyDescent="0.25">
      <c r="A5604" t="s">
        <v>5630</v>
      </c>
      <c r="B5604" t="s">
        <v>12884</v>
      </c>
    </row>
    <row r="5605" spans="1:2" x14ac:dyDescent="0.25">
      <c r="A5605" t="s">
        <v>5631</v>
      </c>
      <c r="B5605" t="s">
        <v>12885</v>
      </c>
    </row>
    <row r="5606" spans="1:2" x14ac:dyDescent="0.25">
      <c r="A5606" t="s">
        <v>5632</v>
      </c>
      <c r="B5606" t="s">
        <v>12886</v>
      </c>
    </row>
    <row r="5607" spans="1:2" x14ac:dyDescent="0.25">
      <c r="A5607" t="s">
        <v>5633</v>
      </c>
      <c r="B5607" t="s">
        <v>12887</v>
      </c>
    </row>
    <row r="5608" spans="1:2" x14ac:dyDescent="0.25">
      <c r="A5608" t="s">
        <v>5634</v>
      </c>
      <c r="B5608" t="s">
        <v>12888</v>
      </c>
    </row>
    <row r="5609" spans="1:2" x14ac:dyDescent="0.25">
      <c r="A5609" t="s">
        <v>5635</v>
      </c>
      <c r="B5609" t="s">
        <v>12889</v>
      </c>
    </row>
    <row r="5610" spans="1:2" x14ac:dyDescent="0.25">
      <c r="A5610" t="s">
        <v>5636</v>
      </c>
      <c r="B5610" t="s">
        <v>12890</v>
      </c>
    </row>
    <row r="5611" spans="1:2" x14ac:dyDescent="0.25">
      <c r="A5611" t="s">
        <v>5637</v>
      </c>
      <c r="B5611" t="s">
        <v>12891</v>
      </c>
    </row>
    <row r="5612" spans="1:2" x14ac:dyDescent="0.25">
      <c r="A5612" t="s">
        <v>5638</v>
      </c>
      <c r="B5612" t="s">
        <v>12892</v>
      </c>
    </row>
    <row r="5613" spans="1:2" x14ac:dyDescent="0.25">
      <c r="A5613" t="s">
        <v>5639</v>
      </c>
      <c r="B5613" t="s">
        <v>12893</v>
      </c>
    </row>
    <row r="5614" spans="1:2" x14ac:dyDescent="0.25">
      <c r="A5614" t="s">
        <v>5640</v>
      </c>
      <c r="B5614" t="s">
        <v>12894</v>
      </c>
    </row>
    <row r="5615" spans="1:2" x14ac:dyDescent="0.25">
      <c r="A5615" t="s">
        <v>5641</v>
      </c>
      <c r="B5615" t="s">
        <v>12895</v>
      </c>
    </row>
    <row r="5616" spans="1:2" x14ac:dyDescent="0.25">
      <c r="A5616" t="s">
        <v>5642</v>
      </c>
      <c r="B5616" t="s">
        <v>12896</v>
      </c>
    </row>
    <row r="5617" spans="1:2" x14ac:dyDescent="0.25">
      <c r="A5617" t="s">
        <v>5643</v>
      </c>
      <c r="B5617" t="s">
        <v>12897</v>
      </c>
    </row>
    <row r="5618" spans="1:2" x14ac:dyDescent="0.25">
      <c r="A5618" t="s">
        <v>5644</v>
      </c>
      <c r="B5618" t="s">
        <v>12898</v>
      </c>
    </row>
    <row r="5619" spans="1:2" x14ac:dyDescent="0.25">
      <c r="A5619" t="s">
        <v>5645</v>
      </c>
      <c r="B5619" t="s">
        <v>12899</v>
      </c>
    </row>
    <row r="5620" spans="1:2" x14ac:dyDescent="0.25">
      <c r="A5620" t="s">
        <v>5646</v>
      </c>
      <c r="B5620" t="s">
        <v>12900</v>
      </c>
    </row>
    <row r="5621" spans="1:2" x14ac:dyDescent="0.25">
      <c r="A5621" t="s">
        <v>5647</v>
      </c>
      <c r="B5621" t="s">
        <v>12901</v>
      </c>
    </row>
    <row r="5622" spans="1:2" x14ac:dyDescent="0.25">
      <c r="A5622" t="s">
        <v>5648</v>
      </c>
      <c r="B5622" t="s">
        <v>12902</v>
      </c>
    </row>
    <row r="5623" spans="1:2" x14ac:dyDescent="0.25">
      <c r="A5623" t="s">
        <v>5649</v>
      </c>
      <c r="B5623" t="s">
        <v>12903</v>
      </c>
    </row>
    <row r="5624" spans="1:2" x14ac:dyDescent="0.25">
      <c r="A5624" t="s">
        <v>5650</v>
      </c>
      <c r="B5624" t="s">
        <v>12904</v>
      </c>
    </row>
    <row r="5625" spans="1:2" x14ac:dyDescent="0.25">
      <c r="A5625" t="s">
        <v>5651</v>
      </c>
      <c r="B5625" t="s">
        <v>12905</v>
      </c>
    </row>
    <row r="5626" spans="1:2" x14ac:dyDescent="0.25">
      <c r="A5626" t="s">
        <v>5652</v>
      </c>
      <c r="B5626" t="s">
        <v>12906</v>
      </c>
    </row>
    <row r="5627" spans="1:2" x14ac:dyDescent="0.25">
      <c r="A5627" t="s">
        <v>5653</v>
      </c>
      <c r="B5627" t="s">
        <v>12907</v>
      </c>
    </row>
    <row r="5628" spans="1:2" x14ac:dyDescent="0.25">
      <c r="A5628" t="s">
        <v>5654</v>
      </c>
      <c r="B5628" t="s">
        <v>12908</v>
      </c>
    </row>
    <row r="5629" spans="1:2" x14ac:dyDescent="0.25">
      <c r="A5629" t="s">
        <v>5655</v>
      </c>
      <c r="B5629" t="s">
        <v>12909</v>
      </c>
    </row>
    <row r="5630" spans="1:2" x14ac:dyDescent="0.25">
      <c r="A5630" t="s">
        <v>5656</v>
      </c>
      <c r="B5630" t="s">
        <v>12910</v>
      </c>
    </row>
    <row r="5631" spans="1:2" x14ac:dyDescent="0.25">
      <c r="A5631" t="s">
        <v>5657</v>
      </c>
      <c r="B5631" t="s">
        <v>12911</v>
      </c>
    </row>
    <row r="5632" spans="1:2" x14ac:dyDescent="0.25">
      <c r="A5632" t="s">
        <v>5658</v>
      </c>
      <c r="B5632" t="s">
        <v>12912</v>
      </c>
    </row>
    <row r="5633" spans="1:2" x14ac:dyDescent="0.25">
      <c r="A5633" t="s">
        <v>5659</v>
      </c>
      <c r="B5633" t="s">
        <v>12913</v>
      </c>
    </row>
    <row r="5634" spans="1:2" x14ac:dyDescent="0.25">
      <c r="A5634" t="s">
        <v>5660</v>
      </c>
      <c r="B5634" t="s">
        <v>12914</v>
      </c>
    </row>
    <row r="5635" spans="1:2" x14ac:dyDescent="0.25">
      <c r="A5635" t="s">
        <v>5661</v>
      </c>
      <c r="B5635" t="s">
        <v>12915</v>
      </c>
    </row>
    <row r="5636" spans="1:2" x14ac:dyDescent="0.25">
      <c r="A5636" t="s">
        <v>5662</v>
      </c>
      <c r="B5636" t="s">
        <v>12916</v>
      </c>
    </row>
    <row r="5637" spans="1:2" x14ac:dyDescent="0.25">
      <c r="A5637" t="s">
        <v>5663</v>
      </c>
      <c r="B5637" t="s">
        <v>12917</v>
      </c>
    </row>
    <row r="5638" spans="1:2" x14ac:dyDescent="0.25">
      <c r="A5638" t="s">
        <v>5664</v>
      </c>
      <c r="B5638" t="s">
        <v>12918</v>
      </c>
    </row>
    <row r="5639" spans="1:2" x14ac:dyDescent="0.25">
      <c r="A5639" t="s">
        <v>5665</v>
      </c>
      <c r="B5639" t="s">
        <v>12919</v>
      </c>
    </row>
    <row r="5640" spans="1:2" x14ac:dyDescent="0.25">
      <c r="A5640" t="s">
        <v>5666</v>
      </c>
      <c r="B5640" t="s">
        <v>12920</v>
      </c>
    </row>
    <row r="5641" spans="1:2" x14ac:dyDescent="0.25">
      <c r="A5641" t="s">
        <v>5667</v>
      </c>
      <c r="B5641" t="s">
        <v>12921</v>
      </c>
    </row>
    <row r="5642" spans="1:2" x14ac:dyDescent="0.25">
      <c r="A5642" t="s">
        <v>5668</v>
      </c>
      <c r="B5642" t="s">
        <v>12922</v>
      </c>
    </row>
    <row r="5643" spans="1:2" x14ac:dyDescent="0.25">
      <c r="A5643" t="s">
        <v>5669</v>
      </c>
      <c r="B5643" t="s">
        <v>12923</v>
      </c>
    </row>
    <row r="5644" spans="1:2" x14ac:dyDescent="0.25">
      <c r="A5644" t="s">
        <v>5670</v>
      </c>
      <c r="B5644" t="s">
        <v>12924</v>
      </c>
    </row>
    <row r="5645" spans="1:2" x14ac:dyDescent="0.25">
      <c r="A5645" t="s">
        <v>5671</v>
      </c>
      <c r="B5645" t="s">
        <v>12925</v>
      </c>
    </row>
    <row r="5646" spans="1:2" x14ac:dyDescent="0.25">
      <c r="A5646" t="s">
        <v>5672</v>
      </c>
      <c r="B5646" t="s">
        <v>12926</v>
      </c>
    </row>
    <row r="5647" spans="1:2" x14ac:dyDescent="0.25">
      <c r="A5647" t="s">
        <v>5673</v>
      </c>
      <c r="B5647" t="s">
        <v>12927</v>
      </c>
    </row>
    <row r="5648" spans="1:2" x14ac:dyDescent="0.25">
      <c r="A5648" t="s">
        <v>5674</v>
      </c>
      <c r="B5648" t="s">
        <v>12928</v>
      </c>
    </row>
    <row r="5649" spans="1:2" x14ac:dyDescent="0.25">
      <c r="A5649" t="s">
        <v>5675</v>
      </c>
      <c r="B5649" t="s">
        <v>12929</v>
      </c>
    </row>
    <row r="5650" spans="1:2" x14ac:dyDescent="0.25">
      <c r="A5650" t="s">
        <v>5676</v>
      </c>
      <c r="B5650" t="s">
        <v>12930</v>
      </c>
    </row>
    <row r="5651" spans="1:2" x14ac:dyDescent="0.25">
      <c r="A5651" t="s">
        <v>5677</v>
      </c>
      <c r="B5651" t="s">
        <v>12931</v>
      </c>
    </row>
    <row r="5652" spans="1:2" x14ac:dyDescent="0.25">
      <c r="A5652" t="s">
        <v>5678</v>
      </c>
      <c r="B5652" t="s">
        <v>12932</v>
      </c>
    </row>
    <row r="5653" spans="1:2" x14ac:dyDescent="0.25">
      <c r="A5653" t="s">
        <v>5679</v>
      </c>
      <c r="B5653" t="s">
        <v>12933</v>
      </c>
    </row>
    <row r="5654" spans="1:2" x14ac:dyDescent="0.25">
      <c r="A5654" t="s">
        <v>5680</v>
      </c>
      <c r="B5654" t="s">
        <v>12934</v>
      </c>
    </row>
    <row r="5655" spans="1:2" x14ac:dyDescent="0.25">
      <c r="A5655" t="s">
        <v>5681</v>
      </c>
      <c r="B5655" t="s">
        <v>12935</v>
      </c>
    </row>
    <row r="5656" spans="1:2" x14ac:dyDescent="0.25">
      <c r="A5656" t="s">
        <v>5682</v>
      </c>
      <c r="B5656" t="s">
        <v>12936</v>
      </c>
    </row>
    <row r="5657" spans="1:2" x14ac:dyDescent="0.25">
      <c r="A5657" t="s">
        <v>5683</v>
      </c>
      <c r="B5657" t="s">
        <v>12937</v>
      </c>
    </row>
    <row r="5658" spans="1:2" x14ac:dyDescent="0.25">
      <c r="A5658" t="s">
        <v>5684</v>
      </c>
      <c r="B5658" t="s">
        <v>12938</v>
      </c>
    </row>
    <row r="5659" spans="1:2" x14ac:dyDescent="0.25">
      <c r="A5659" t="s">
        <v>5685</v>
      </c>
      <c r="B5659" t="s">
        <v>12939</v>
      </c>
    </row>
    <row r="5660" spans="1:2" x14ac:dyDescent="0.25">
      <c r="A5660" t="s">
        <v>5686</v>
      </c>
      <c r="B5660" t="s">
        <v>12940</v>
      </c>
    </row>
    <row r="5661" spans="1:2" x14ac:dyDescent="0.25">
      <c r="A5661" t="s">
        <v>5687</v>
      </c>
      <c r="B5661" t="s">
        <v>12941</v>
      </c>
    </row>
    <row r="5662" spans="1:2" x14ac:dyDescent="0.25">
      <c r="A5662" t="s">
        <v>5688</v>
      </c>
      <c r="B5662" t="s">
        <v>12942</v>
      </c>
    </row>
    <row r="5663" spans="1:2" x14ac:dyDescent="0.25">
      <c r="A5663" t="s">
        <v>5689</v>
      </c>
      <c r="B5663" t="s">
        <v>12943</v>
      </c>
    </row>
    <row r="5664" spans="1:2" x14ac:dyDescent="0.25">
      <c r="A5664" t="s">
        <v>5690</v>
      </c>
      <c r="B5664" t="s">
        <v>12944</v>
      </c>
    </row>
    <row r="5665" spans="1:2" x14ac:dyDescent="0.25">
      <c r="A5665" t="s">
        <v>5691</v>
      </c>
      <c r="B5665" t="s">
        <v>12945</v>
      </c>
    </row>
    <row r="5666" spans="1:2" x14ac:dyDescent="0.25">
      <c r="A5666" t="s">
        <v>5692</v>
      </c>
      <c r="B5666" t="s">
        <v>12946</v>
      </c>
    </row>
    <row r="5667" spans="1:2" x14ac:dyDescent="0.25">
      <c r="A5667" t="s">
        <v>5693</v>
      </c>
      <c r="B5667" t="s">
        <v>12947</v>
      </c>
    </row>
    <row r="5668" spans="1:2" x14ac:dyDescent="0.25">
      <c r="A5668" t="s">
        <v>5694</v>
      </c>
      <c r="B5668" t="s">
        <v>12948</v>
      </c>
    </row>
    <row r="5669" spans="1:2" x14ac:dyDescent="0.25">
      <c r="A5669" t="s">
        <v>5695</v>
      </c>
      <c r="B5669" t="s">
        <v>12949</v>
      </c>
    </row>
    <row r="5670" spans="1:2" x14ac:dyDescent="0.25">
      <c r="A5670" t="s">
        <v>5696</v>
      </c>
      <c r="B5670" t="s">
        <v>12950</v>
      </c>
    </row>
    <row r="5671" spans="1:2" x14ac:dyDescent="0.25">
      <c r="A5671" t="s">
        <v>5697</v>
      </c>
      <c r="B5671" t="s">
        <v>12951</v>
      </c>
    </row>
    <row r="5672" spans="1:2" x14ac:dyDescent="0.25">
      <c r="A5672" t="s">
        <v>5698</v>
      </c>
      <c r="B5672" t="s">
        <v>12952</v>
      </c>
    </row>
    <row r="5673" spans="1:2" x14ac:dyDescent="0.25">
      <c r="A5673" t="s">
        <v>5699</v>
      </c>
      <c r="B5673" t="s">
        <v>12953</v>
      </c>
    </row>
    <row r="5674" spans="1:2" x14ac:dyDescent="0.25">
      <c r="A5674" t="s">
        <v>5700</v>
      </c>
      <c r="B5674" t="s">
        <v>12954</v>
      </c>
    </row>
    <row r="5675" spans="1:2" x14ac:dyDescent="0.25">
      <c r="A5675" t="s">
        <v>5701</v>
      </c>
      <c r="B5675" t="s">
        <v>12955</v>
      </c>
    </row>
    <row r="5676" spans="1:2" x14ac:dyDescent="0.25">
      <c r="A5676" t="s">
        <v>5702</v>
      </c>
      <c r="B5676" t="s">
        <v>12956</v>
      </c>
    </row>
    <row r="5677" spans="1:2" x14ac:dyDescent="0.25">
      <c r="A5677" t="s">
        <v>5703</v>
      </c>
      <c r="B5677" t="s">
        <v>12957</v>
      </c>
    </row>
    <row r="5678" spans="1:2" x14ac:dyDescent="0.25">
      <c r="A5678" t="s">
        <v>5704</v>
      </c>
      <c r="B5678" t="s">
        <v>12958</v>
      </c>
    </row>
    <row r="5679" spans="1:2" x14ac:dyDescent="0.25">
      <c r="A5679" t="s">
        <v>5705</v>
      </c>
      <c r="B5679" t="s">
        <v>12959</v>
      </c>
    </row>
    <row r="5680" spans="1:2" x14ac:dyDescent="0.25">
      <c r="A5680" t="s">
        <v>5706</v>
      </c>
      <c r="B5680" t="s">
        <v>12960</v>
      </c>
    </row>
    <row r="5681" spans="1:2" x14ac:dyDescent="0.25">
      <c r="A5681" t="s">
        <v>5707</v>
      </c>
      <c r="B5681" t="s">
        <v>12961</v>
      </c>
    </row>
    <row r="5682" spans="1:2" x14ac:dyDescent="0.25">
      <c r="A5682" t="s">
        <v>5708</v>
      </c>
      <c r="B5682" t="s">
        <v>12962</v>
      </c>
    </row>
    <row r="5683" spans="1:2" x14ac:dyDescent="0.25">
      <c r="A5683" t="s">
        <v>5709</v>
      </c>
      <c r="B5683" t="s">
        <v>12963</v>
      </c>
    </row>
    <row r="5684" spans="1:2" x14ac:dyDescent="0.25">
      <c r="A5684" t="s">
        <v>5710</v>
      </c>
      <c r="B5684" t="s">
        <v>12964</v>
      </c>
    </row>
    <row r="5685" spans="1:2" x14ac:dyDescent="0.25">
      <c r="A5685" t="s">
        <v>5711</v>
      </c>
      <c r="B5685" t="s">
        <v>12965</v>
      </c>
    </row>
    <row r="5686" spans="1:2" x14ac:dyDescent="0.25">
      <c r="A5686" t="s">
        <v>5712</v>
      </c>
      <c r="B5686" t="s">
        <v>12966</v>
      </c>
    </row>
    <row r="5687" spans="1:2" x14ac:dyDescent="0.25">
      <c r="A5687" t="s">
        <v>5713</v>
      </c>
      <c r="B5687" t="s">
        <v>12967</v>
      </c>
    </row>
    <row r="5688" spans="1:2" x14ac:dyDescent="0.25">
      <c r="A5688" t="s">
        <v>5714</v>
      </c>
      <c r="B5688" t="s">
        <v>12968</v>
      </c>
    </row>
    <row r="5689" spans="1:2" x14ac:dyDescent="0.25">
      <c r="A5689" t="s">
        <v>5715</v>
      </c>
      <c r="B5689" t="s">
        <v>12969</v>
      </c>
    </row>
    <row r="5690" spans="1:2" x14ac:dyDescent="0.25">
      <c r="A5690" t="s">
        <v>5716</v>
      </c>
      <c r="B5690" t="s">
        <v>12970</v>
      </c>
    </row>
    <row r="5691" spans="1:2" x14ac:dyDescent="0.25">
      <c r="A5691" t="s">
        <v>5717</v>
      </c>
      <c r="B5691" t="s">
        <v>12971</v>
      </c>
    </row>
    <row r="5692" spans="1:2" x14ac:dyDescent="0.25">
      <c r="A5692" t="s">
        <v>5718</v>
      </c>
      <c r="B5692" t="s">
        <v>12972</v>
      </c>
    </row>
    <row r="5693" spans="1:2" x14ac:dyDescent="0.25">
      <c r="A5693" t="s">
        <v>5719</v>
      </c>
      <c r="B5693" t="s">
        <v>12973</v>
      </c>
    </row>
    <row r="5694" spans="1:2" x14ac:dyDescent="0.25">
      <c r="A5694" t="s">
        <v>5720</v>
      </c>
      <c r="B5694" t="s">
        <v>12974</v>
      </c>
    </row>
    <row r="5695" spans="1:2" x14ac:dyDescent="0.25">
      <c r="A5695" t="s">
        <v>5721</v>
      </c>
      <c r="B5695" t="s">
        <v>12975</v>
      </c>
    </row>
    <row r="5696" spans="1:2" x14ac:dyDescent="0.25">
      <c r="A5696" t="s">
        <v>5722</v>
      </c>
      <c r="B5696" t="s">
        <v>12976</v>
      </c>
    </row>
    <row r="5697" spans="1:2" x14ac:dyDescent="0.25">
      <c r="A5697" t="s">
        <v>5723</v>
      </c>
      <c r="B5697" t="s">
        <v>12977</v>
      </c>
    </row>
    <row r="5698" spans="1:2" x14ac:dyDescent="0.25">
      <c r="A5698" t="s">
        <v>5724</v>
      </c>
      <c r="B5698" t="s">
        <v>12978</v>
      </c>
    </row>
    <row r="5699" spans="1:2" x14ac:dyDescent="0.25">
      <c r="A5699" t="s">
        <v>5725</v>
      </c>
      <c r="B5699" t="s">
        <v>12979</v>
      </c>
    </row>
    <row r="5700" spans="1:2" x14ac:dyDescent="0.25">
      <c r="A5700" t="s">
        <v>5726</v>
      </c>
      <c r="B5700" t="s">
        <v>12980</v>
      </c>
    </row>
    <row r="5701" spans="1:2" x14ac:dyDescent="0.25">
      <c r="A5701" t="s">
        <v>5727</v>
      </c>
      <c r="B5701" t="s">
        <v>12981</v>
      </c>
    </row>
    <row r="5702" spans="1:2" x14ac:dyDescent="0.25">
      <c r="A5702" t="s">
        <v>5728</v>
      </c>
      <c r="B5702" t="s">
        <v>12982</v>
      </c>
    </row>
    <row r="5703" spans="1:2" x14ac:dyDescent="0.25">
      <c r="A5703" t="s">
        <v>5729</v>
      </c>
      <c r="B5703" t="s">
        <v>12983</v>
      </c>
    </row>
    <row r="5704" spans="1:2" x14ac:dyDescent="0.25">
      <c r="A5704" t="s">
        <v>5730</v>
      </c>
      <c r="B5704" t="s">
        <v>12984</v>
      </c>
    </row>
    <row r="5705" spans="1:2" x14ac:dyDescent="0.25">
      <c r="A5705" t="s">
        <v>5731</v>
      </c>
      <c r="B5705" t="s">
        <v>12985</v>
      </c>
    </row>
    <row r="5706" spans="1:2" x14ac:dyDescent="0.25">
      <c r="A5706" t="s">
        <v>5732</v>
      </c>
      <c r="B5706" t="s">
        <v>12986</v>
      </c>
    </row>
    <row r="5707" spans="1:2" x14ac:dyDescent="0.25">
      <c r="A5707" t="s">
        <v>5733</v>
      </c>
      <c r="B5707" t="s">
        <v>12987</v>
      </c>
    </row>
    <row r="5708" spans="1:2" x14ac:dyDescent="0.25">
      <c r="A5708" t="s">
        <v>5734</v>
      </c>
      <c r="B5708" t="s">
        <v>12988</v>
      </c>
    </row>
    <row r="5709" spans="1:2" x14ac:dyDescent="0.25">
      <c r="A5709" t="s">
        <v>5735</v>
      </c>
      <c r="B5709" t="s">
        <v>12989</v>
      </c>
    </row>
    <row r="5710" spans="1:2" x14ac:dyDescent="0.25">
      <c r="A5710" t="s">
        <v>5736</v>
      </c>
      <c r="B5710" t="s">
        <v>12990</v>
      </c>
    </row>
    <row r="5711" spans="1:2" x14ac:dyDescent="0.25">
      <c r="A5711" t="s">
        <v>5737</v>
      </c>
      <c r="B5711" t="s">
        <v>12991</v>
      </c>
    </row>
    <row r="5712" spans="1:2" x14ac:dyDescent="0.25">
      <c r="A5712" t="s">
        <v>5738</v>
      </c>
      <c r="B5712" t="s">
        <v>12992</v>
      </c>
    </row>
    <row r="5713" spans="1:2" x14ac:dyDescent="0.25">
      <c r="A5713" t="s">
        <v>5739</v>
      </c>
      <c r="B5713" t="s">
        <v>12993</v>
      </c>
    </row>
    <row r="5714" spans="1:2" x14ac:dyDescent="0.25">
      <c r="A5714" t="s">
        <v>5740</v>
      </c>
      <c r="B5714" t="s">
        <v>12994</v>
      </c>
    </row>
    <row r="5715" spans="1:2" x14ac:dyDescent="0.25">
      <c r="A5715" t="s">
        <v>5741</v>
      </c>
      <c r="B5715" t="s">
        <v>12995</v>
      </c>
    </row>
    <row r="5716" spans="1:2" x14ac:dyDescent="0.25">
      <c r="A5716" t="s">
        <v>5742</v>
      </c>
      <c r="B5716" t="s">
        <v>12996</v>
      </c>
    </row>
    <row r="5717" spans="1:2" x14ac:dyDescent="0.25">
      <c r="A5717" t="s">
        <v>5743</v>
      </c>
      <c r="B5717" t="s">
        <v>12997</v>
      </c>
    </row>
    <row r="5718" spans="1:2" x14ac:dyDescent="0.25">
      <c r="A5718" t="s">
        <v>5744</v>
      </c>
      <c r="B5718" t="s">
        <v>12998</v>
      </c>
    </row>
    <row r="5719" spans="1:2" x14ac:dyDescent="0.25">
      <c r="A5719" t="s">
        <v>5745</v>
      </c>
      <c r="B5719" t="s">
        <v>12999</v>
      </c>
    </row>
    <row r="5720" spans="1:2" x14ac:dyDescent="0.25">
      <c r="A5720" t="s">
        <v>5746</v>
      </c>
      <c r="B5720" t="s">
        <v>13000</v>
      </c>
    </row>
    <row r="5721" spans="1:2" x14ac:dyDescent="0.25">
      <c r="A5721" t="s">
        <v>5747</v>
      </c>
      <c r="B5721" t="s">
        <v>13001</v>
      </c>
    </row>
    <row r="5722" spans="1:2" x14ac:dyDescent="0.25">
      <c r="A5722" t="s">
        <v>5748</v>
      </c>
      <c r="B5722" t="s">
        <v>13002</v>
      </c>
    </row>
    <row r="5723" spans="1:2" x14ac:dyDescent="0.25">
      <c r="A5723" t="s">
        <v>5749</v>
      </c>
      <c r="B5723" t="s">
        <v>13003</v>
      </c>
    </row>
    <row r="5724" spans="1:2" x14ac:dyDescent="0.25">
      <c r="A5724" t="s">
        <v>5750</v>
      </c>
      <c r="B5724" t="s">
        <v>13004</v>
      </c>
    </row>
    <row r="5725" spans="1:2" x14ac:dyDescent="0.25">
      <c r="A5725" t="s">
        <v>5751</v>
      </c>
      <c r="B5725" t="s">
        <v>13005</v>
      </c>
    </row>
    <row r="5726" spans="1:2" x14ac:dyDescent="0.25">
      <c r="A5726" t="s">
        <v>5752</v>
      </c>
      <c r="B5726" t="s">
        <v>13006</v>
      </c>
    </row>
    <row r="5727" spans="1:2" x14ac:dyDescent="0.25">
      <c r="A5727" t="s">
        <v>5753</v>
      </c>
      <c r="B5727" t="s">
        <v>13007</v>
      </c>
    </row>
    <row r="5728" spans="1:2" x14ac:dyDescent="0.25">
      <c r="A5728" t="s">
        <v>5754</v>
      </c>
      <c r="B5728" t="s">
        <v>13008</v>
      </c>
    </row>
    <row r="5729" spans="1:2" x14ac:dyDescent="0.25">
      <c r="A5729" t="s">
        <v>5755</v>
      </c>
      <c r="B5729" t="s">
        <v>13009</v>
      </c>
    </row>
    <row r="5730" spans="1:2" x14ac:dyDescent="0.25">
      <c r="A5730" t="s">
        <v>5756</v>
      </c>
      <c r="B5730" t="s">
        <v>13010</v>
      </c>
    </row>
    <row r="5731" spans="1:2" x14ac:dyDescent="0.25">
      <c r="A5731" t="s">
        <v>5757</v>
      </c>
      <c r="B5731" t="s">
        <v>13011</v>
      </c>
    </row>
    <row r="5732" spans="1:2" x14ac:dyDescent="0.25">
      <c r="A5732" t="s">
        <v>5758</v>
      </c>
      <c r="B5732" t="s">
        <v>13012</v>
      </c>
    </row>
    <row r="5733" spans="1:2" x14ac:dyDescent="0.25">
      <c r="A5733" t="s">
        <v>5759</v>
      </c>
      <c r="B5733" t="s">
        <v>13013</v>
      </c>
    </row>
    <row r="5734" spans="1:2" x14ac:dyDescent="0.25">
      <c r="A5734" t="s">
        <v>5760</v>
      </c>
      <c r="B5734" t="s">
        <v>13014</v>
      </c>
    </row>
    <row r="5735" spans="1:2" x14ac:dyDescent="0.25">
      <c r="A5735" t="s">
        <v>5761</v>
      </c>
      <c r="B5735" t="s">
        <v>13015</v>
      </c>
    </row>
    <row r="5736" spans="1:2" x14ac:dyDescent="0.25">
      <c r="A5736" t="s">
        <v>5762</v>
      </c>
      <c r="B5736" t="s">
        <v>13016</v>
      </c>
    </row>
    <row r="5737" spans="1:2" x14ac:dyDescent="0.25">
      <c r="A5737" t="s">
        <v>5763</v>
      </c>
      <c r="B5737" t="s">
        <v>13017</v>
      </c>
    </row>
    <row r="5738" spans="1:2" x14ac:dyDescent="0.25">
      <c r="A5738" t="s">
        <v>5764</v>
      </c>
      <c r="B5738" t="s">
        <v>13018</v>
      </c>
    </row>
    <row r="5739" spans="1:2" x14ac:dyDescent="0.25">
      <c r="A5739" t="s">
        <v>5765</v>
      </c>
      <c r="B5739" t="s">
        <v>13019</v>
      </c>
    </row>
    <row r="5740" spans="1:2" x14ac:dyDescent="0.25">
      <c r="A5740" t="s">
        <v>5766</v>
      </c>
      <c r="B5740" t="s">
        <v>13020</v>
      </c>
    </row>
    <row r="5741" spans="1:2" x14ac:dyDescent="0.25">
      <c r="A5741" t="s">
        <v>5767</v>
      </c>
      <c r="B5741" t="s">
        <v>13021</v>
      </c>
    </row>
    <row r="5742" spans="1:2" x14ac:dyDescent="0.25">
      <c r="A5742" t="s">
        <v>5768</v>
      </c>
      <c r="B5742" t="s">
        <v>13022</v>
      </c>
    </row>
    <row r="5743" spans="1:2" x14ac:dyDescent="0.25">
      <c r="A5743" t="s">
        <v>5769</v>
      </c>
      <c r="B5743" t="s">
        <v>13023</v>
      </c>
    </row>
    <row r="5744" spans="1:2" x14ac:dyDescent="0.25">
      <c r="A5744" t="s">
        <v>5770</v>
      </c>
      <c r="B5744" t="s">
        <v>13024</v>
      </c>
    </row>
    <row r="5745" spans="1:2" x14ac:dyDescent="0.25">
      <c r="A5745" t="s">
        <v>5771</v>
      </c>
      <c r="B5745" t="s">
        <v>13025</v>
      </c>
    </row>
    <row r="5746" spans="1:2" x14ac:dyDescent="0.25">
      <c r="A5746" t="s">
        <v>5772</v>
      </c>
      <c r="B5746" t="s">
        <v>13026</v>
      </c>
    </row>
    <row r="5747" spans="1:2" x14ac:dyDescent="0.25">
      <c r="A5747" t="s">
        <v>5773</v>
      </c>
      <c r="B5747" t="s">
        <v>13027</v>
      </c>
    </row>
    <row r="5748" spans="1:2" x14ac:dyDescent="0.25">
      <c r="A5748" t="s">
        <v>5774</v>
      </c>
      <c r="B5748" t="s">
        <v>13028</v>
      </c>
    </row>
    <row r="5749" spans="1:2" x14ac:dyDescent="0.25">
      <c r="A5749" t="s">
        <v>5775</v>
      </c>
      <c r="B5749" t="s">
        <v>13029</v>
      </c>
    </row>
    <row r="5750" spans="1:2" x14ac:dyDescent="0.25">
      <c r="A5750" t="s">
        <v>5776</v>
      </c>
      <c r="B5750" t="s">
        <v>13030</v>
      </c>
    </row>
    <row r="5751" spans="1:2" x14ac:dyDescent="0.25">
      <c r="A5751" t="s">
        <v>5777</v>
      </c>
      <c r="B5751" t="s">
        <v>13031</v>
      </c>
    </row>
    <row r="5752" spans="1:2" x14ac:dyDescent="0.25">
      <c r="A5752" t="s">
        <v>5778</v>
      </c>
      <c r="B5752" t="s">
        <v>13032</v>
      </c>
    </row>
    <row r="5753" spans="1:2" x14ac:dyDescent="0.25">
      <c r="A5753" t="s">
        <v>5779</v>
      </c>
      <c r="B5753" t="s">
        <v>13033</v>
      </c>
    </row>
    <row r="5754" spans="1:2" x14ac:dyDescent="0.25">
      <c r="A5754" t="s">
        <v>5780</v>
      </c>
      <c r="B5754" t="s">
        <v>13034</v>
      </c>
    </row>
    <row r="5755" spans="1:2" x14ac:dyDescent="0.25">
      <c r="A5755" t="s">
        <v>5781</v>
      </c>
      <c r="B5755" t="s">
        <v>13035</v>
      </c>
    </row>
    <row r="5756" spans="1:2" x14ac:dyDescent="0.25">
      <c r="A5756" t="s">
        <v>5782</v>
      </c>
      <c r="B5756" t="s">
        <v>13036</v>
      </c>
    </row>
    <row r="5757" spans="1:2" x14ac:dyDescent="0.25">
      <c r="A5757" t="s">
        <v>5783</v>
      </c>
      <c r="B5757" t="s">
        <v>13037</v>
      </c>
    </row>
    <row r="5758" spans="1:2" x14ac:dyDescent="0.25">
      <c r="A5758" t="s">
        <v>5784</v>
      </c>
      <c r="B5758" t="s">
        <v>13038</v>
      </c>
    </row>
    <row r="5759" spans="1:2" x14ac:dyDescent="0.25">
      <c r="A5759" t="s">
        <v>5785</v>
      </c>
      <c r="B5759" t="s">
        <v>13039</v>
      </c>
    </row>
    <row r="5760" spans="1:2" x14ac:dyDescent="0.25">
      <c r="A5760" t="s">
        <v>5786</v>
      </c>
      <c r="B5760" t="s">
        <v>13040</v>
      </c>
    </row>
    <row r="5761" spans="1:2" x14ac:dyDescent="0.25">
      <c r="A5761" t="s">
        <v>5787</v>
      </c>
      <c r="B5761" t="s">
        <v>13041</v>
      </c>
    </row>
    <row r="5762" spans="1:2" x14ac:dyDescent="0.25">
      <c r="A5762" t="s">
        <v>5788</v>
      </c>
      <c r="B5762" t="s">
        <v>13042</v>
      </c>
    </row>
    <row r="5763" spans="1:2" x14ac:dyDescent="0.25">
      <c r="A5763" t="s">
        <v>5789</v>
      </c>
      <c r="B5763" t="s">
        <v>13043</v>
      </c>
    </row>
    <row r="5764" spans="1:2" x14ac:dyDescent="0.25">
      <c r="A5764" t="s">
        <v>5790</v>
      </c>
      <c r="B5764" t="s">
        <v>13044</v>
      </c>
    </row>
    <row r="5765" spans="1:2" x14ac:dyDescent="0.25">
      <c r="A5765" t="s">
        <v>5791</v>
      </c>
      <c r="B5765" t="s">
        <v>13045</v>
      </c>
    </row>
    <row r="5766" spans="1:2" x14ac:dyDescent="0.25">
      <c r="A5766" t="s">
        <v>5792</v>
      </c>
      <c r="B5766" t="s">
        <v>13046</v>
      </c>
    </row>
    <row r="5767" spans="1:2" x14ac:dyDescent="0.25">
      <c r="A5767" t="s">
        <v>5793</v>
      </c>
      <c r="B5767" t="s">
        <v>13047</v>
      </c>
    </row>
    <row r="5768" spans="1:2" x14ac:dyDescent="0.25">
      <c r="A5768" t="s">
        <v>5794</v>
      </c>
      <c r="B5768" t="s">
        <v>13048</v>
      </c>
    </row>
    <row r="5769" spans="1:2" x14ac:dyDescent="0.25">
      <c r="A5769" t="s">
        <v>5795</v>
      </c>
      <c r="B5769" t="s">
        <v>13049</v>
      </c>
    </row>
    <row r="5770" spans="1:2" x14ac:dyDescent="0.25">
      <c r="A5770" t="s">
        <v>5796</v>
      </c>
      <c r="B5770" t="s">
        <v>13050</v>
      </c>
    </row>
    <row r="5771" spans="1:2" x14ac:dyDescent="0.25">
      <c r="A5771" t="s">
        <v>5797</v>
      </c>
      <c r="B5771" t="s">
        <v>13051</v>
      </c>
    </row>
    <row r="5772" spans="1:2" x14ac:dyDescent="0.25">
      <c r="A5772" t="s">
        <v>5798</v>
      </c>
      <c r="B5772" t="s">
        <v>13052</v>
      </c>
    </row>
    <row r="5773" spans="1:2" x14ac:dyDescent="0.25">
      <c r="A5773" t="s">
        <v>5799</v>
      </c>
      <c r="B5773" t="s">
        <v>13053</v>
      </c>
    </row>
    <row r="5774" spans="1:2" x14ac:dyDescent="0.25">
      <c r="A5774" t="s">
        <v>5800</v>
      </c>
      <c r="B5774" t="s">
        <v>13054</v>
      </c>
    </row>
    <row r="5775" spans="1:2" x14ac:dyDescent="0.25">
      <c r="A5775" t="s">
        <v>5801</v>
      </c>
      <c r="B5775" t="s">
        <v>13055</v>
      </c>
    </row>
    <row r="5776" spans="1:2" x14ac:dyDescent="0.25">
      <c r="A5776" t="s">
        <v>5802</v>
      </c>
      <c r="B5776" t="s">
        <v>13056</v>
      </c>
    </row>
    <row r="5777" spans="1:2" x14ac:dyDescent="0.25">
      <c r="A5777" t="s">
        <v>5803</v>
      </c>
      <c r="B5777" t="s">
        <v>13057</v>
      </c>
    </row>
    <row r="5778" spans="1:2" x14ac:dyDescent="0.25">
      <c r="A5778" t="s">
        <v>5804</v>
      </c>
      <c r="B5778" t="s">
        <v>13058</v>
      </c>
    </row>
    <row r="5779" spans="1:2" x14ac:dyDescent="0.25">
      <c r="A5779" t="s">
        <v>5805</v>
      </c>
      <c r="B5779" t="s">
        <v>13059</v>
      </c>
    </row>
    <row r="5780" spans="1:2" x14ac:dyDescent="0.25">
      <c r="A5780" t="s">
        <v>5806</v>
      </c>
      <c r="B5780" t="s">
        <v>13060</v>
      </c>
    </row>
    <row r="5781" spans="1:2" x14ac:dyDescent="0.25">
      <c r="A5781" t="s">
        <v>5807</v>
      </c>
      <c r="B5781" t="s">
        <v>13061</v>
      </c>
    </row>
    <row r="5782" spans="1:2" x14ac:dyDescent="0.25">
      <c r="A5782" t="s">
        <v>5808</v>
      </c>
      <c r="B5782" t="s">
        <v>13062</v>
      </c>
    </row>
    <row r="5783" spans="1:2" x14ac:dyDescent="0.25">
      <c r="A5783" t="s">
        <v>5809</v>
      </c>
      <c r="B5783" t="s">
        <v>13063</v>
      </c>
    </row>
    <row r="5784" spans="1:2" x14ac:dyDescent="0.25">
      <c r="A5784" t="s">
        <v>5810</v>
      </c>
      <c r="B5784" t="s">
        <v>13064</v>
      </c>
    </row>
    <row r="5785" spans="1:2" x14ac:dyDescent="0.25">
      <c r="A5785" t="s">
        <v>5811</v>
      </c>
      <c r="B5785" t="s">
        <v>13065</v>
      </c>
    </row>
    <row r="5786" spans="1:2" x14ac:dyDescent="0.25">
      <c r="A5786" t="s">
        <v>5812</v>
      </c>
      <c r="B5786" t="s">
        <v>13066</v>
      </c>
    </row>
    <row r="5787" spans="1:2" x14ac:dyDescent="0.25">
      <c r="A5787" t="s">
        <v>5813</v>
      </c>
      <c r="B5787" t="s">
        <v>13067</v>
      </c>
    </row>
    <row r="5788" spans="1:2" x14ac:dyDescent="0.25">
      <c r="A5788" t="s">
        <v>5814</v>
      </c>
      <c r="B5788" t="s">
        <v>13068</v>
      </c>
    </row>
    <row r="5789" spans="1:2" x14ac:dyDescent="0.25">
      <c r="A5789" t="s">
        <v>5815</v>
      </c>
      <c r="B5789" t="s">
        <v>13069</v>
      </c>
    </row>
    <row r="5790" spans="1:2" x14ac:dyDescent="0.25">
      <c r="A5790" t="s">
        <v>5816</v>
      </c>
      <c r="B5790" t="s">
        <v>13070</v>
      </c>
    </row>
    <row r="5791" spans="1:2" x14ac:dyDescent="0.25">
      <c r="A5791" t="s">
        <v>5817</v>
      </c>
      <c r="B5791" t="s">
        <v>13071</v>
      </c>
    </row>
    <row r="5792" spans="1:2" x14ac:dyDescent="0.25">
      <c r="A5792" t="s">
        <v>5818</v>
      </c>
      <c r="B5792" t="s">
        <v>13072</v>
      </c>
    </row>
    <row r="5793" spans="1:2" x14ac:dyDescent="0.25">
      <c r="A5793" t="s">
        <v>5819</v>
      </c>
      <c r="B5793" t="s">
        <v>13073</v>
      </c>
    </row>
    <row r="5794" spans="1:2" x14ac:dyDescent="0.25">
      <c r="A5794" t="s">
        <v>5820</v>
      </c>
      <c r="B5794" t="s">
        <v>13074</v>
      </c>
    </row>
    <row r="5795" spans="1:2" x14ac:dyDescent="0.25">
      <c r="A5795" t="s">
        <v>5821</v>
      </c>
      <c r="B5795" t="s">
        <v>13075</v>
      </c>
    </row>
    <row r="5796" spans="1:2" x14ac:dyDescent="0.25">
      <c r="A5796" t="s">
        <v>5822</v>
      </c>
      <c r="B5796" t="s">
        <v>13076</v>
      </c>
    </row>
    <row r="5797" spans="1:2" x14ac:dyDescent="0.25">
      <c r="A5797" t="s">
        <v>5823</v>
      </c>
      <c r="B5797" t="s">
        <v>13077</v>
      </c>
    </row>
    <row r="5798" spans="1:2" x14ac:dyDescent="0.25">
      <c r="A5798" t="s">
        <v>5824</v>
      </c>
      <c r="B5798" t="s">
        <v>13078</v>
      </c>
    </row>
    <row r="5799" spans="1:2" x14ac:dyDescent="0.25">
      <c r="A5799" t="s">
        <v>5825</v>
      </c>
      <c r="B5799" t="s">
        <v>13079</v>
      </c>
    </row>
    <row r="5800" spans="1:2" x14ac:dyDescent="0.25">
      <c r="A5800" t="s">
        <v>5826</v>
      </c>
      <c r="B5800" t="s">
        <v>13080</v>
      </c>
    </row>
    <row r="5801" spans="1:2" x14ac:dyDescent="0.25">
      <c r="A5801" t="s">
        <v>5827</v>
      </c>
      <c r="B5801" t="s">
        <v>13081</v>
      </c>
    </row>
    <row r="5802" spans="1:2" x14ac:dyDescent="0.25">
      <c r="A5802" t="s">
        <v>5828</v>
      </c>
      <c r="B5802" t="s">
        <v>13082</v>
      </c>
    </row>
    <row r="5803" spans="1:2" x14ac:dyDescent="0.25">
      <c r="A5803" t="s">
        <v>5829</v>
      </c>
      <c r="B5803" t="s">
        <v>13083</v>
      </c>
    </row>
    <row r="5804" spans="1:2" x14ac:dyDescent="0.25">
      <c r="A5804" t="s">
        <v>5830</v>
      </c>
      <c r="B5804" t="s">
        <v>13084</v>
      </c>
    </row>
    <row r="5805" spans="1:2" x14ac:dyDescent="0.25">
      <c r="A5805" t="s">
        <v>5831</v>
      </c>
      <c r="B5805" t="s">
        <v>13085</v>
      </c>
    </row>
    <row r="5806" spans="1:2" x14ac:dyDescent="0.25">
      <c r="A5806" t="s">
        <v>5832</v>
      </c>
      <c r="B5806" t="s">
        <v>13086</v>
      </c>
    </row>
    <row r="5807" spans="1:2" x14ac:dyDescent="0.25">
      <c r="A5807" t="s">
        <v>5833</v>
      </c>
      <c r="B5807" t="s">
        <v>13087</v>
      </c>
    </row>
    <row r="5808" spans="1:2" x14ac:dyDescent="0.25">
      <c r="A5808" t="s">
        <v>5834</v>
      </c>
      <c r="B5808" t="s">
        <v>13088</v>
      </c>
    </row>
    <row r="5809" spans="1:2" x14ac:dyDescent="0.25">
      <c r="A5809" t="s">
        <v>5835</v>
      </c>
      <c r="B5809" t="s">
        <v>13089</v>
      </c>
    </row>
    <row r="5810" spans="1:2" x14ac:dyDescent="0.25">
      <c r="A5810" t="s">
        <v>5836</v>
      </c>
      <c r="B5810" t="s">
        <v>13090</v>
      </c>
    </row>
    <row r="5811" spans="1:2" x14ac:dyDescent="0.25">
      <c r="A5811" t="s">
        <v>5837</v>
      </c>
      <c r="B5811" t="s">
        <v>13091</v>
      </c>
    </row>
    <row r="5812" spans="1:2" x14ac:dyDescent="0.25">
      <c r="A5812" t="s">
        <v>5838</v>
      </c>
      <c r="B5812" t="s">
        <v>13092</v>
      </c>
    </row>
    <row r="5813" spans="1:2" x14ac:dyDescent="0.25">
      <c r="A5813" t="s">
        <v>5839</v>
      </c>
      <c r="B5813" t="s">
        <v>13093</v>
      </c>
    </row>
    <row r="5814" spans="1:2" x14ac:dyDescent="0.25">
      <c r="A5814" t="s">
        <v>5840</v>
      </c>
      <c r="B5814" t="s">
        <v>13094</v>
      </c>
    </row>
    <row r="5815" spans="1:2" x14ac:dyDescent="0.25">
      <c r="A5815" t="s">
        <v>5841</v>
      </c>
      <c r="B5815" t="s">
        <v>13095</v>
      </c>
    </row>
    <row r="5816" spans="1:2" x14ac:dyDescent="0.25">
      <c r="A5816" t="s">
        <v>5842</v>
      </c>
      <c r="B5816" t="s">
        <v>13096</v>
      </c>
    </row>
    <row r="5817" spans="1:2" x14ac:dyDescent="0.25">
      <c r="A5817" t="s">
        <v>5843</v>
      </c>
      <c r="B5817" t="s">
        <v>13097</v>
      </c>
    </row>
    <row r="5818" spans="1:2" x14ac:dyDescent="0.25">
      <c r="A5818" t="s">
        <v>5844</v>
      </c>
      <c r="B5818" t="s">
        <v>13098</v>
      </c>
    </row>
    <row r="5819" spans="1:2" x14ac:dyDescent="0.25">
      <c r="A5819" t="s">
        <v>5845</v>
      </c>
      <c r="B5819" t="s">
        <v>13099</v>
      </c>
    </row>
    <row r="5820" spans="1:2" x14ac:dyDescent="0.25">
      <c r="A5820" t="s">
        <v>5846</v>
      </c>
      <c r="B5820" t="s">
        <v>13100</v>
      </c>
    </row>
    <row r="5821" spans="1:2" x14ac:dyDescent="0.25">
      <c r="A5821" t="s">
        <v>5847</v>
      </c>
      <c r="B5821" t="s">
        <v>13101</v>
      </c>
    </row>
    <row r="5822" spans="1:2" x14ac:dyDescent="0.25">
      <c r="A5822" t="s">
        <v>5848</v>
      </c>
      <c r="B5822" t="s">
        <v>13102</v>
      </c>
    </row>
    <row r="5823" spans="1:2" x14ac:dyDescent="0.25">
      <c r="A5823" t="s">
        <v>5849</v>
      </c>
      <c r="B5823" t="s">
        <v>13103</v>
      </c>
    </row>
    <row r="5824" spans="1:2" x14ac:dyDescent="0.25">
      <c r="A5824" t="s">
        <v>5850</v>
      </c>
      <c r="B5824" t="s">
        <v>13104</v>
      </c>
    </row>
    <row r="5825" spans="1:2" x14ac:dyDescent="0.25">
      <c r="A5825" t="s">
        <v>5851</v>
      </c>
      <c r="B5825" t="s">
        <v>13105</v>
      </c>
    </row>
    <row r="5826" spans="1:2" x14ac:dyDescent="0.25">
      <c r="A5826" t="s">
        <v>5852</v>
      </c>
      <c r="B5826" t="s">
        <v>13106</v>
      </c>
    </row>
    <row r="5827" spans="1:2" x14ac:dyDescent="0.25">
      <c r="A5827" t="s">
        <v>5853</v>
      </c>
      <c r="B5827" t="s">
        <v>13107</v>
      </c>
    </row>
    <row r="5828" spans="1:2" x14ac:dyDescent="0.25">
      <c r="A5828" t="s">
        <v>5854</v>
      </c>
      <c r="B5828" t="s">
        <v>13108</v>
      </c>
    </row>
    <row r="5829" spans="1:2" x14ac:dyDescent="0.25">
      <c r="A5829" t="s">
        <v>5855</v>
      </c>
      <c r="B5829" t="s">
        <v>13109</v>
      </c>
    </row>
    <row r="5830" spans="1:2" x14ac:dyDescent="0.25">
      <c r="A5830" t="s">
        <v>5856</v>
      </c>
      <c r="B5830" t="s">
        <v>13110</v>
      </c>
    </row>
    <row r="5831" spans="1:2" x14ac:dyDescent="0.25">
      <c r="A5831" t="s">
        <v>5857</v>
      </c>
      <c r="B5831" t="s">
        <v>13111</v>
      </c>
    </row>
    <row r="5832" spans="1:2" x14ac:dyDescent="0.25">
      <c r="A5832" t="s">
        <v>5858</v>
      </c>
      <c r="B5832" t="s">
        <v>13112</v>
      </c>
    </row>
    <row r="5833" spans="1:2" x14ac:dyDescent="0.25">
      <c r="A5833" t="s">
        <v>5859</v>
      </c>
      <c r="B5833" t="s">
        <v>13113</v>
      </c>
    </row>
    <row r="5834" spans="1:2" x14ac:dyDescent="0.25">
      <c r="A5834" t="s">
        <v>5860</v>
      </c>
      <c r="B5834" t="s">
        <v>13114</v>
      </c>
    </row>
    <row r="5835" spans="1:2" x14ac:dyDescent="0.25">
      <c r="A5835" t="s">
        <v>5861</v>
      </c>
      <c r="B5835" t="s">
        <v>13115</v>
      </c>
    </row>
    <row r="5836" spans="1:2" x14ac:dyDescent="0.25">
      <c r="A5836" t="s">
        <v>5862</v>
      </c>
      <c r="B5836" t="s">
        <v>13116</v>
      </c>
    </row>
    <row r="5837" spans="1:2" x14ac:dyDescent="0.25">
      <c r="A5837" t="s">
        <v>5863</v>
      </c>
      <c r="B5837" t="s">
        <v>13117</v>
      </c>
    </row>
    <row r="5838" spans="1:2" x14ac:dyDescent="0.25">
      <c r="A5838" t="s">
        <v>5864</v>
      </c>
      <c r="B5838" t="s">
        <v>13118</v>
      </c>
    </row>
    <row r="5839" spans="1:2" x14ac:dyDescent="0.25">
      <c r="A5839" t="s">
        <v>5865</v>
      </c>
      <c r="B5839" t="s">
        <v>13119</v>
      </c>
    </row>
    <row r="5840" spans="1:2" x14ac:dyDescent="0.25">
      <c r="A5840" t="s">
        <v>5866</v>
      </c>
      <c r="B5840" t="s">
        <v>13120</v>
      </c>
    </row>
    <row r="5841" spans="1:2" x14ac:dyDescent="0.25">
      <c r="A5841" t="s">
        <v>5867</v>
      </c>
      <c r="B5841" t="s">
        <v>13121</v>
      </c>
    </row>
    <row r="5842" spans="1:2" x14ac:dyDescent="0.25">
      <c r="A5842" t="s">
        <v>5868</v>
      </c>
      <c r="B5842" t="s">
        <v>13122</v>
      </c>
    </row>
    <row r="5843" spans="1:2" x14ac:dyDescent="0.25">
      <c r="A5843" t="s">
        <v>5869</v>
      </c>
      <c r="B5843" t="s">
        <v>13123</v>
      </c>
    </row>
    <row r="5844" spans="1:2" x14ac:dyDescent="0.25">
      <c r="A5844" t="s">
        <v>5870</v>
      </c>
      <c r="B5844" t="s">
        <v>13124</v>
      </c>
    </row>
    <row r="5845" spans="1:2" x14ac:dyDescent="0.25">
      <c r="A5845" t="s">
        <v>5871</v>
      </c>
      <c r="B5845" t="s">
        <v>13125</v>
      </c>
    </row>
    <row r="5846" spans="1:2" x14ac:dyDescent="0.25">
      <c r="A5846" t="s">
        <v>5872</v>
      </c>
      <c r="B5846" t="s">
        <v>13126</v>
      </c>
    </row>
    <row r="5847" spans="1:2" x14ac:dyDescent="0.25">
      <c r="A5847" t="s">
        <v>5873</v>
      </c>
      <c r="B5847" t="s">
        <v>13127</v>
      </c>
    </row>
    <row r="5848" spans="1:2" x14ac:dyDescent="0.25">
      <c r="A5848" t="s">
        <v>5874</v>
      </c>
      <c r="B5848" t="s">
        <v>13128</v>
      </c>
    </row>
    <row r="5849" spans="1:2" x14ac:dyDescent="0.25">
      <c r="A5849" t="s">
        <v>5875</v>
      </c>
      <c r="B5849" t="s">
        <v>13129</v>
      </c>
    </row>
    <row r="5850" spans="1:2" x14ac:dyDescent="0.25">
      <c r="A5850" t="s">
        <v>5876</v>
      </c>
      <c r="B5850" t="s">
        <v>13130</v>
      </c>
    </row>
    <row r="5851" spans="1:2" x14ac:dyDescent="0.25">
      <c r="A5851" t="s">
        <v>5877</v>
      </c>
      <c r="B5851" t="s">
        <v>13131</v>
      </c>
    </row>
    <row r="5852" spans="1:2" x14ac:dyDescent="0.25">
      <c r="A5852" t="s">
        <v>5878</v>
      </c>
      <c r="B5852" t="s">
        <v>13132</v>
      </c>
    </row>
    <row r="5853" spans="1:2" x14ac:dyDescent="0.25">
      <c r="A5853" t="s">
        <v>5879</v>
      </c>
      <c r="B5853" t="s">
        <v>13133</v>
      </c>
    </row>
    <row r="5854" spans="1:2" x14ac:dyDescent="0.25">
      <c r="A5854" t="s">
        <v>5880</v>
      </c>
      <c r="B5854" t="s">
        <v>13134</v>
      </c>
    </row>
    <row r="5855" spans="1:2" x14ac:dyDescent="0.25">
      <c r="A5855" t="s">
        <v>5881</v>
      </c>
      <c r="B5855" t="s">
        <v>13135</v>
      </c>
    </row>
    <row r="5856" spans="1:2" x14ac:dyDescent="0.25">
      <c r="A5856" t="s">
        <v>5882</v>
      </c>
      <c r="B5856" t="s">
        <v>13136</v>
      </c>
    </row>
    <row r="5857" spans="1:2" x14ac:dyDescent="0.25">
      <c r="A5857" t="s">
        <v>5883</v>
      </c>
      <c r="B5857" t="s">
        <v>13137</v>
      </c>
    </row>
    <row r="5858" spans="1:2" x14ac:dyDescent="0.25">
      <c r="A5858" t="s">
        <v>5884</v>
      </c>
      <c r="B5858" t="s">
        <v>13138</v>
      </c>
    </row>
    <row r="5859" spans="1:2" x14ac:dyDescent="0.25">
      <c r="A5859" t="s">
        <v>5885</v>
      </c>
      <c r="B5859" t="s">
        <v>13139</v>
      </c>
    </row>
    <row r="5860" spans="1:2" x14ac:dyDescent="0.25">
      <c r="A5860" t="s">
        <v>5886</v>
      </c>
      <c r="B5860" t="s">
        <v>13140</v>
      </c>
    </row>
    <row r="5861" spans="1:2" x14ac:dyDescent="0.25">
      <c r="A5861" t="s">
        <v>5887</v>
      </c>
      <c r="B5861" t="s">
        <v>13141</v>
      </c>
    </row>
    <row r="5862" spans="1:2" x14ac:dyDescent="0.25">
      <c r="A5862" t="s">
        <v>5888</v>
      </c>
      <c r="B5862" t="s">
        <v>13142</v>
      </c>
    </row>
    <row r="5863" spans="1:2" x14ac:dyDescent="0.25">
      <c r="A5863" t="s">
        <v>5889</v>
      </c>
      <c r="B5863" t="s">
        <v>13143</v>
      </c>
    </row>
    <row r="5864" spans="1:2" x14ac:dyDescent="0.25">
      <c r="A5864" t="s">
        <v>5890</v>
      </c>
      <c r="B5864" t="s">
        <v>13144</v>
      </c>
    </row>
    <row r="5865" spans="1:2" x14ac:dyDescent="0.25">
      <c r="A5865" t="s">
        <v>5891</v>
      </c>
      <c r="B5865" t="s">
        <v>13145</v>
      </c>
    </row>
    <row r="5866" spans="1:2" x14ac:dyDescent="0.25">
      <c r="A5866" t="s">
        <v>5892</v>
      </c>
      <c r="B5866" t="s">
        <v>13146</v>
      </c>
    </row>
    <row r="5867" spans="1:2" x14ac:dyDescent="0.25">
      <c r="A5867" t="s">
        <v>5893</v>
      </c>
      <c r="B5867" t="s">
        <v>13147</v>
      </c>
    </row>
    <row r="5868" spans="1:2" x14ac:dyDescent="0.25">
      <c r="A5868" t="s">
        <v>5894</v>
      </c>
      <c r="B5868" t="s">
        <v>13148</v>
      </c>
    </row>
    <row r="5869" spans="1:2" x14ac:dyDescent="0.25">
      <c r="A5869" t="s">
        <v>5895</v>
      </c>
      <c r="B5869" t="s">
        <v>13149</v>
      </c>
    </row>
    <row r="5870" spans="1:2" x14ac:dyDescent="0.25">
      <c r="A5870" t="s">
        <v>5896</v>
      </c>
      <c r="B5870" t="s">
        <v>13150</v>
      </c>
    </row>
    <row r="5871" spans="1:2" x14ac:dyDescent="0.25">
      <c r="A5871" t="s">
        <v>5897</v>
      </c>
      <c r="B5871" t="s">
        <v>13151</v>
      </c>
    </row>
    <row r="5872" spans="1:2" x14ac:dyDescent="0.25">
      <c r="A5872" t="s">
        <v>5898</v>
      </c>
      <c r="B5872" t="s">
        <v>13152</v>
      </c>
    </row>
    <row r="5873" spans="1:2" x14ac:dyDescent="0.25">
      <c r="A5873" t="s">
        <v>5899</v>
      </c>
      <c r="B5873" t="s">
        <v>13153</v>
      </c>
    </row>
    <row r="5874" spans="1:2" x14ac:dyDescent="0.25">
      <c r="A5874" t="s">
        <v>5900</v>
      </c>
      <c r="B5874" t="s">
        <v>13154</v>
      </c>
    </row>
    <row r="5875" spans="1:2" x14ac:dyDescent="0.25">
      <c r="A5875" t="s">
        <v>5901</v>
      </c>
      <c r="B5875" t="s">
        <v>13155</v>
      </c>
    </row>
    <row r="5876" spans="1:2" x14ac:dyDescent="0.25">
      <c r="A5876" t="s">
        <v>5902</v>
      </c>
      <c r="B5876" t="s">
        <v>13156</v>
      </c>
    </row>
    <row r="5877" spans="1:2" x14ac:dyDescent="0.25">
      <c r="A5877" t="s">
        <v>5903</v>
      </c>
      <c r="B5877" t="s">
        <v>13157</v>
      </c>
    </row>
    <row r="5878" spans="1:2" x14ac:dyDescent="0.25">
      <c r="A5878" t="s">
        <v>5904</v>
      </c>
      <c r="B5878" t="s">
        <v>13158</v>
      </c>
    </row>
    <row r="5879" spans="1:2" x14ac:dyDescent="0.25">
      <c r="A5879" t="s">
        <v>5905</v>
      </c>
      <c r="B5879" t="s">
        <v>13159</v>
      </c>
    </row>
    <row r="5880" spans="1:2" x14ac:dyDescent="0.25">
      <c r="A5880" t="s">
        <v>5906</v>
      </c>
      <c r="B5880" t="s">
        <v>13160</v>
      </c>
    </row>
    <row r="5881" spans="1:2" x14ac:dyDescent="0.25">
      <c r="A5881" t="s">
        <v>5907</v>
      </c>
      <c r="B5881" t="s">
        <v>13161</v>
      </c>
    </row>
    <row r="5882" spans="1:2" x14ac:dyDescent="0.25">
      <c r="A5882" t="s">
        <v>5908</v>
      </c>
      <c r="B5882" t="s">
        <v>13162</v>
      </c>
    </row>
    <row r="5883" spans="1:2" x14ac:dyDescent="0.25">
      <c r="A5883" t="s">
        <v>5909</v>
      </c>
      <c r="B5883" t="s">
        <v>13163</v>
      </c>
    </row>
    <row r="5884" spans="1:2" x14ac:dyDescent="0.25">
      <c r="A5884" t="s">
        <v>5910</v>
      </c>
      <c r="B5884" t="s">
        <v>13164</v>
      </c>
    </row>
    <row r="5885" spans="1:2" x14ac:dyDescent="0.25">
      <c r="A5885" t="s">
        <v>5911</v>
      </c>
      <c r="B5885" t="s">
        <v>13165</v>
      </c>
    </row>
    <row r="5886" spans="1:2" x14ac:dyDescent="0.25">
      <c r="A5886" t="s">
        <v>5912</v>
      </c>
      <c r="B5886" t="s">
        <v>13166</v>
      </c>
    </row>
    <row r="5887" spans="1:2" x14ac:dyDescent="0.25">
      <c r="A5887" t="s">
        <v>5913</v>
      </c>
      <c r="B5887" t="s">
        <v>13167</v>
      </c>
    </row>
    <row r="5888" spans="1:2" x14ac:dyDescent="0.25">
      <c r="A5888" t="s">
        <v>5914</v>
      </c>
      <c r="B5888" t="s">
        <v>13168</v>
      </c>
    </row>
    <row r="5889" spans="1:2" x14ac:dyDescent="0.25">
      <c r="A5889" t="s">
        <v>5915</v>
      </c>
      <c r="B5889" t="s">
        <v>13169</v>
      </c>
    </row>
    <row r="5890" spans="1:2" x14ac:dyDescent="0.25">
      <c r="A5890" t="s">
        <v>5916</v>
      </c>
      <c r="B5890" t="s">
        <v>13170</v>
      </c>
    </row>
    <row r="5891" spans="1:2" x14ac:dyDescent="0.25">
      <c r="A5891" t="s">
        <v>5917</v>
      </c>
      <c r="B5891" t="s">
        <v>13171</v>
      </c>
    </row>
    <row r="5892" spans="1:2" x14ac:dyDescent="0.25">
      <c r="A5892" t="s">
        <v>5918</v>
      </c>
      <c r="B5892" t="s">
        <v>13172</v>
      </c>
    </row>
    <row r="5893" spans="1:2" x14ac:dyDescent="0.25">
      <c r="A5893" t="s">
        <v>5919</v>
      </c>
      <c r="B5893" t="s">
        <v>13173</v>
      </c>
    </row>
    <row r="5894" spans="1:2" x14ac:dyDescent="0.25">
      <c r="A5894" t="s">
        <v>5920</v>
      </c>
      <c r="B5894" t="s">
        <v>13174</v>
      </c>
    </row>
    <row r="5895" spans="1:2" x14ac:dyDescent="0.25">
      <c r="A5895" t="s">
        <v>5921</v>
      </c>
      <c r="B5895" t="s">
        <v>13175</v>
      </c>
    </row>
    <row r="5896" spans="1:2" x14ac:dyDescent="0.25">
      <c r="A5896" t="s">
        <v>5922</v>
      </c>
      <c r="B5896" t="s">
        <v>13176</v>
      </c>
    </row>
    <row r="5897" spans="1:2" x14ac:dyDescent="0.25">
      <c r="A5897" t="s">
        <v>5923</v>
      </c>
      <c r="B5897" t="s">
        <v>13177</v>
      </c>
    </row>
    <row r="5898" spans="1:2" x14ac:dyDescent="0.25">
      <c r="A5898" t="s">
        <v>5924</v>
      </c>
      <c r="B5898" t="s">
        <v>13178</v>
      </c>
    </row>
    <row r="5899" spans="1:2" x14ac:dyDescent="0.25">
      <c r="A5899" t="s">
        <v>5925</v>
      </c>
      <c r="B5899" t="s">
        <v>13179</v>
      </c>
    </row>
    <row r="5900" spans="1:2" x14ac:dyDescent="0.25">
      <c r="A5900" t="s">
        <v>5926</v>
      </c>
      <c r="B5900" t="s">
        <v>13180</v>
      </c>
    </row>
    <row r="5901" spans="1:2" x14ac:dyDescent="0.25">
      <c r="A5901" t="s">
        <v>5927</v>
      </c>
      <c r="B5901" t="s">
        <v>13181</v>
      </c>
    </row>
    <row r="5902" spans="1:2" x14ac:dyDescent="0.25">
      <c r="A5902" t="s">
        <v>5928</v>
      </c>
      <c r="B5902" t="s">
        <v>13182</v>
      </c>
    </row>
    <row r="5903" spans="1:2" x14ac:dyDescent="0.25">
      <c r="A5903" t="s">
        <v>5929</v>
      </c>
      <c r="B5903" t="s">
        <v>13183</v>
      </c>
    </row>
    <row r="5904" spans="1:2" x14ac:dyDescent="0.25">
      <c r="A5904" t="s">
        <v>5930</v>
      </c>
      <c r="B5904" t="s">
        <v>13184</v>
      </c>
    </row>
    <row r="5905" spans="1:2" x14ac:dyDescent="0.25">
      <c r="A5905" t="s">
        <v>5931</v>
      </c>
      <c r="B5905" t="s">
        <v>13185</v>
      </c>
    </row>
    <row r="5906" spans="1:2" x14ac:dyDescent="0.25">
      <c r="A5906" t="s">
        <v>5932</v>
      </c>
      <c r="B5906" t="s">
        <v>13186</v>
      </c>
    </row>
    <row r="5907" spans="1:2" x14ac:dyDescent="0.25">
      <c r="A5907" t="s">
        <v>5933</v>
      </c>
      <c r="B5907" t="s">
        <v>13187</v>
      </c>
    </row>
    <row r="5908" spans="1:2" x14ac:dyDescent="0.25">
      <c r="A5908" t="s">
        <v>5934</v>
      </c>
      <c r="B5908" t="s">
        <v>13188</v>
      </c>
    </row>
    <row r="5909" spans="1:2" x14ac:dyDescent="0.25">
      <c r="A5909" t="s">
        <v>5935</v>
      </c>
      <c r="B5909" t="s">
        <v>13189</v>
      </c>
    </row>
    <row r="5910" spans="1:2" x14ac:dyDescent="0.25">
      <c r="A5910" t="s">
        <v>5936</v>
      </c>
      <c r="B5910" t="s">
        <v>13190</v>
      </c>
    </row>
    <row r="5911" spans="1:2" x14ac:dyDescent="0.25">
      <c r="A5911" t="s">
        <v>5937</v>
      </c>
      <c r="B5911" t="s">
        <v>13191</v>
      </c>
    </row>
    <row r="5912" spans="1:2" x14ac:dyDescent="0.25">
      <c r="A5912" t="s">
        <v>5938</v>
      </c>
      <c r="B5912" t="s">
        <v>13192</v>
      </c>
    </row>
    <row r="5913" spans="1:2" x14ac:dyDescent="0.25">
      <c r="A5913" t="s">
        <v>5939</v>
      </c>
      <c r="B5913" t="s">
        <v>13193</v>
      </c>
    </row>
    <row r="5914" spans="1:2" x14ac:dyDescent="0.25">
      <c r="A5914" t="s">
        <v>5940</v>
      </c>
      <c r="B5914" t="s">
        <v>13194</v>
      </c>
    </row>
    <row r="5915" spans="1:2" x14ac:dyDescent="0.25">
      <c r="A5915" t="s">
        <v>5941</v>
      </c>
      <c r="B5915" t="s">
        <v>13195</v>
      </c>
    </row>
    <row r="5916" spans="1:2" x14ac:dyDescent="0.25">
      <c r="A5916" t="s">
        <v>5942</v>
      </c>
      <c r="B5916" t="s">
        <v>13196</v>
      </c>
    </row>
    <row r="5917" spans="1:2" x14ac:dyDescent="0.25">
      <c r="A5917" t="s">
        <v>5943</v>
      </c>
      <c r="B5917" t="s">
        <v>13197</v>
      </c>
    </row>
    <row r="5918" spans="1:2" x14ac:dyDescent="0.25">
      <c r="A5918" t="s">
        <v>5944</v>
      </c>
      <c r="B5918" t="s">
        <v>13198</v>
      </c>
    </row>
    <row r="5919" spans="1:2" x14ac:dyDescent="0.25">
      <c r="A5919" t="s">
        <v>5945</v>
      </c>
      <c r="B5919" t="s">
        <v>13199</v>
      </c>
    </row>
    <row r="5920" spans="1:2" x14ac:dyDescent="0.25">
      <c r="A5920" t="s">
        <v>5946</v>
      </c>
      <c r="B5920" t="s">
        <v>13200</v>
      </c>
    </row>
    <row r="5921" spans="1:2" x14ac:dyDescent="0.25">
      <c r="A5921" t="s">
        <v>5947</v>
      </c>
      <c r="B5921" t="s">
        <v>13201</v>
      </c>
    </row>
    <row r="5922" spans="1:2" x14ac:dyDescent="0.25">
      <c r="A5922" t="s">
        <v>5948</v>
      </c>
      <c r="B5922" t="s">
        <v>13202</v>
      </c>
    </row>
    <row r="5923" spans="1:2" x14ac:dyDescent="0.25">
      <c r="A5923" t="s">
        <v>5949</v>
      </c>
      <c r="B5923" t="s">
        <v>13203</v>
      </c>
    </row>
    <row r="5924" spans="1:2" x14ac:dyDescent="0.25">
      <c r="A5924" t="s">
        <v>5950</v>
      </c>
      <c r="B5924" t="s">
        <v>13204</v>
      </c>
    </row>
    <row r="5925" spans="1:2" x14ac:dyDescent="0.25">
      <c r="A5925" t="s">
        <v>5951</v>
      </c>
      <c r="B5925" t="s">
        <v>13205</v>
      </c>
    </row>
    <row r="5926" spans="1:2" x14ac:dyDescent="0.25">
      <c r="A5926" t="s">
        <v>5952</v>
      </c>
      <c r="B5926" t="s">
        <v>13206</v>
      </c>
    </row>
    <row r="5927" spans="1:2" x14ac:dyDescent="0.25">
      <c r="A5927" t="s">
        <v>5953</v>
      </c>
      <c r="B5927" t="s">
        <v>13207</v>
      </c>
    </row>
    <row r="5928" spans="1:2" x14ac:dyDescent="0.25">
      <c r="A5928" t="s">
        <v>5954</v>
      </c>
      <c r="B5928" t="s">
        <v>13208</v>
      </c>
    </row>
    <row r="5929" spans="1:2" x14ac:dyDescent="0.25">
      <c r="A5929" t="s">
        <v>5955</v>
      </c>
      <c r="B5929" t="s">
        <v>13209</v>
      </c>
    </row>
    <row r="5930" spans="1:2" x14ac:dyDescent="0.25">
      <c r="A5930" t="s">
        <v>5956</v>
      </c>
      <c r="B5930" t="s">
        <v>13210</v>
      </c>
    </row>
    <row r="5931" spans="1:2" x14ac:dyDescent="0.25">
      <c r="A5931" t="s">
        <v>5957</v>
      </c>
      <c r="B5931" t="s">
        <v>13211</v>
      </c>
    </row>
    <row r="5932" spans="1:2" x14ac:dyDescent="0.25">
      <c r="A5932" t="s">
        <v>5958</v>
      </c>
      <c r="B5932" t="s">
        <v>13212</v>
      </c>
    </row>
    <row r="5933" spans="1:2" x14ac:dyDescent="0.25">
      <c r="A5933" t="s">
        <v>5959</v>
      </c>
      <c r="B5933" t="s">
        <v>13213</v>
      </c>
    </row>
    <row r="5934" spans="1:2" x14ac:dyDescent="0.25">
      <c r="A5934" t="s">
        <v>5960</v>
      </c>
      <c r="B5934" t="s">
        <v>13214</v>
      </c>
    </row>
    <row r="5935" spans="1:2" x14ac:dyDescent="0.25">
      <c r="A5935" t="s">
        <v>5961</v>
      </c>
      <c r="B5935" t="s">
        <v>13215</v>
      </c>
    </row>
    <row r="5936" spans="1:2" x14ac:dyDescent="0.25">
      <c r="A5936" t="s">
        <v>5962</v>
      </c>
      <c r="B5936" t="s">
        <v>13216</v>
      </c>
    </row>
    <row r="5937" spans="1:2" x14ac:dyDescent="0.25">
      <c r="A5937" t="s">
        <v>5963</v>
      </c>
      <c r="B5937" t="s">
        <v>13217</v>
      </c>
    </row>
    <row r="5938" spans="1:2" x14ac:dyDescent="0.25">
      <c r="A5938" t="s">
        <v>5964</v>
      </c>
      <c r="B5938" t="s">
        <v>13218</v>
      </c>
    </row>
    <row r="5939" spans="1:2" x14ac:dyDescent="0.25">
      <c r="A5939" t="s">
        <v>5965</v>
      </c>
      <c r="B5939" t="s">
        <v>13219</v>
      </c>
    </row>
    <row r="5940" spans="1:2" x14ac:dyDescent="0.25">
      <c r="A5940" t="s">
        <v>5966</v>
      </c>
      <c r="B5940" t="s">
        <v>13220</v>
      </c>
    </row>
    <row r="5941" spans="1:2" x14ac:dyDescent="0.25">
      <c r="A5941" t="s">
        <v>5967</v>
      </c>
      <c r="B5941" t="s">
        <v>13221</v>
      </c>
    </row>
    <row r="5942" spans="1:2" x14ac:dyDescent="0.25">
      <c r="A5942" t="s">
        <v>5968</v>
      </c>
      <c r="B5942" t="s">
        <v>13222</v>
      </c>
    </row>
    <row r="5943" spans="1:2" x14ac:dyDescent="0.25">
      <c r="A5943" t="s">
        <v>5969</v>
      </c>
      <c r="B5943" t="s">
        <v>13223</v>
      </c>
    </row>
    <row r="5944" spans="1:2" x14ac:dyDescent="0.25">
      <c r="A5944" t="s">
        <v>5970</v>
      </c>
      <c r="B5944" t="s">
        <v>13224</v>
      </c>
    </row>
    <row r="5945" spans="1:2" x14ac:dyDescent="0.25">
      <c r="A5945" t="s">
        <v>5971</v>
      </c>
      <c r="B5945" t="s">
        <v>13225</v>
      </c>
    </row>
    <row r="5946" spans="1:2" x14ac:dyDescent="0.25">
      <c r="A5946" t="s">
        <v>5972</v>
      </c>
      <c r="B5946" t="s">
        <v>13226</v>
      </c>
    </row>
    <row r="5947" spans="1:2" x14ac:dyDescent="0.25">
      <c r="A5947" t="s">
        <v>5973</v>
      </c>
      <c r="B5947" t="s">
        <v>13227</v>
      </c>
    </row>
    <row r="5948" spans="1:2" x14ac:dyDescent="0.25">
      <c r="A5948" t="s">
        <v>5974</v>
      </c>
      <c r="B5948" t="s">
        <v>13228</v>
      </c>
    </row>
    <row r="5949" spans="1:2" x14ac:dyDescent="0.25">
      <c r="A5949" t="s">
        <v>5975</v>
      </c>
      <c r="B5949" t="s">
        <v>13229</v>
      </c>
    </row>
    <row r="5950" spans="1:2" x14ac:dyDescent="0.25">
      <c r="A5950" t="s">
        <v>5976</v>
      </c>
      <c r="B5950" t="s">
        <v>13230</v>
      </c>
    </row>
    <row r="5951" spans="1:2" x14ac:dyDescent="0.25">
      <c r="A5951" t="s">
        <v>5977</v>
      </c>
      <c r="B5951" t="s">
        <v>13231</v>
      </c>
    </row>
    <row r="5952" spans="1:2" x14ac:dyDescent="0.25">
      <c r="A5952" t="s">
        <v>5978</v>
      </c>
      <c r="B5952" t="s">
        <v>13232</v>
      </c>
    </row>
    <row r="5953" spans="1:2" x14ac:dyDescent="0.25">
      <c r="A5953" t="s">
        <v>5979</v>
      </c>
      <c r="B5953" t="s">
        <v>13233</v>
      </c>
    </row>
    <row r="5954" spans="1:2" x14ac:dyDescent="0.25">
      <c r="A5954" t="s">
        <v>5980</v>
      </c>
      <c r="B5954" t="s">
        <v>13234</v>
      </c>
    </row>
    <row r="5955" spans="1:2" x14ac:dyDescent="0.25">
      <c r="A5955" t="s">
        <v>5981</v>
      </c>
      <c r="B5955" t="s">
        <v>13235</v>
      </c>
    </row>
    <row r="5956" spans="1:2" x14ac:dyDescent="0.25">
      <c r="A5956" t="s">
        <v>5982</v>
      </c>
      <c r="B5956" t="s">
        <v>13236</v>
      </c>
    </row>
    <row r="5957" spans="1:2" x14ac:dyDescent="0.25">
      <c r="A5957" t="s">
        <v>5983</v>
      </c>
      <c r="B5957" t="s">
        <v>13237</v>
      </c>
    </row>
    <row r="5958" spans="1:2" x14ac:dyDescent="0.25">
      <c r="A5958" t="s">
        <v>5984</v>
      </c>
      <c r="B5958" t="s">
        <v>13238</v>
      </c>
    </row>
    <row r="5959" spans="1:2" x14ac:dyDescent="0.25">
      <c r="A5959" t="s">
        <v>5985</v>
      </c>
      <c r="B5959" t="s">
        <v>13239</v>
      </c>
    </row>
    <row r="5960" spans="1:2" x14ac:dyDescent="0.25">
      <c r="A5960" t="s">
        <v>5986</v>
      </c>
      <c r="B5960" t="s">
        <v>13240</v>
      </c>
    </row>
    <row r="5961" spans="1:2" x14ac:dyDescent="0.25">
      <c r="A5961" t="s">
        <v>5987</v>
      </c>
      <c r="B5961" t="s">
        <v>13241</v>
      </c>
    </row>
    <row r="5962" spans="1:2" x14ac:dyDescent="0.25">
      <c r="A5962" t="s">
        <v>5988</v>
      </c>
      <c r="B5962" t="s">
        <v>13242</v>
      </c>
    </row>
    <row r="5963" spans="1:2" x14ac:dyDescent="0.25">
      <c r="A5963" t="s">
        <v>5989</v>
      </c>
      <c r="B5963" t="s">
        <v>13243</v>
      </c>
    </row>
    <row r="5964" spans="1:2" x14ac:dyDescent="0.25">
      <c r="A5964" t="s">
        <v>5990</v>
      </c>
      <c r="B5964" t="s">
        <v>13244</v>
      </c>
    </row>
    <row r="5965" spans="1:2" x14ac:dyDescent="0.25">
      <c r="A5965" t="s">
        <v>5991</v>
      </c>
      <c r="B5965" t="s">
        <v>13245</v>
      </c>
    </row>
    <row r="5966" spans="1:2" x14ac:dyDescent="0.25">
      <c r="A5966" t="s">
        <v>5992</v>
      </c>
      <c r="B5966" t="s">
        <v>13246</v>
      </c>
    </row>
    <row r="5967" spans="1:2" x14ac:dyDescent="0.25">
      <c r="A5967" t="s">
        <v>5993</v>
      </c>
      <c r="B5967" t="s">
        <v>13247</v>
      </c>
    </row>
    <row r="5968" spans="1:2" x14ac:dyDescent="0.25">
      <c r="A5968" t="s">
        <v>5994</v>
      </c>
      <c r="B5968" t="s">
        <v>13248</v>
      </c>
    </row>
    <row r="5969" spans="1:2" x14ac:dyDescent="0.25">
      <c r="A5969" t="s">
        <v>5995</v>
      </c>
      <c r="B5969" t="s">
        <v>13249</v>
      </c>
    </row>
    <row r="5970" spans="1:2" x14ac:dyDescent="0.25">
      <c r="A5970" t="s">
        <v>5996</v>
      </c>
      <c r="B5970" t="s">
        <v>13250</v>
      </c>
    </row>
    <row r="5971" spans="1:2" x14ac:dyDescent="0.25">
      <c r="A5971" t="s">
        <v>5997</v>
      </c>
      <c r="B5971" t="s">
        <v>13251</v>
      </c>
    </row>
    <row r="5972" spans="1:2" x14ac:dyDescent="0.25">
      <c r="A5972" t="s">
        <v>5998</v>
      </c>
      <c r="B5972" t="s">
        <v>13252</v>
      </c>
    </row>
    <row r="5973" spans="1:2" x14ac:dyDescent="0.25">
      <c r="A5973" t="s">
        <v>5999</v>
      </c>
      <c r="B5973" t="s">
        <v>13253</v>
      </c>
    </row>
    <row r="5974" spans="1:2" x14ac:dyDescent="0.25">
      <c r="A5974" t="s">
        <v>6000</v>
      </c>
      <c r="B5974" t="s">
        <v>13254</v>
      </c>
    </row>
    <row r="5975" spans="1:2" x14ac:dyDescent="0.25">
      <c r="A5975" t="s">
        <v>6001</v>
      </c>
      <c r="B5975" t="s">
        <v>13255</v>
      </c>
    </row>
    <row r="5976" spans="1:2" x14ac:dyDescent="0.25">
      <c r="A5976" t="s">
        <v>6002</v>
      </c>
      <c r="B5976" t="s">
        <v>13256</v>
      </c>
    </row>
    <row r="5977" spans="1:2" x14ac:dyDescent="0.25">
      <c r="A5977" t="s">
        <v>6003</v>
      </c>
      <c r="B5977" t="s">
        <v>13257</v>
      </c>
    </row>
    <row r="5978" spans="1:2" x14ac:dyDescent="0.25">
      <c r="A5978" t="s">
        <v>6004</v>
      </c>
      <c r="B5978" t="s">
        <v>13258</v>
      </c>
    </row>
    <row r="5979" spans="1:2" x14ac:dyDescent="0.25">
      <c r="A5979" t="s">
        <v>6005</v>
      </c>
      <c r="B5979" t="s">
        <v>13259</v>
      </c>
    </row>
    <row r="5980" spans="1:2" x14ac:dyDescent="0.25">
      <c r="A5980" t="s">
        <v>6006</v>
      </c>
      <c r="B5980" t="s">
        <v>13260</v>
      </c>
    </row>
    <row r="5981" spans="1:2" x14ac:dyDescent="0.25">
      <c r="A5981" t="s">
        <v>6007</v>
      </c>
      <c r="B5981" t="s">
        <v>13261</v>
      </c>
    </row>
    <row r="5982" spans="1:2" x14ac:dyDescent="0.25">
      <c r="A5982" t="s">
        <v>6008</v>
      </c>
      <c r="B5982" t="s">
        <v>13262</v>
      </c>
    </row>
    <row r="5983" spans="1:2" x14ac:dyDescent="0.25">
      <c r="A5983" t="s">
        <v>6009</v>
      </c>
      <c r="B5983" t="s">
        <v>13263</v>
      </c>
    </row>
    <row r="5984" spans="1:2" x14ac:dyDescent="0.25">
      <c r="A5984" t="s">
        <v>6010</v>
      </c>
      <c r="B5984" t="s">
        <v>13264</v>
      </c>
    </row>
    <row r="5985" spans="1:2" x14ac:dyDescent="0.25">
      <c r="A5985" t="s">
        <v>6011</v>
      </c>
      <c r="B5985" t="s">
        <v>13265</v>
      </c>
    </row>
    <row r="5986" spans="1:2" x14ac:dyDescent="0.25">
      <c r="A5986" t="s">
        <v>6012</v>
      </c>
      <c r="B5986" t="s">
        <v>13266</v>
      </c>
    </row>
    <row r="5987" spans="1:2" x14ac:dyDescent="0.25">
      <c r="A5987" t="s">
        <v>6013</v>
      </c>
      <c r="B5987" t="s">
        <v>13267</v>
      </c>
    </row>
    <row r="5988" spans="1:2" x14ac:dyDescent="0.25">
      <c r="A5988" t="s">
        <v>6014</v>
      </c>
      <c r="B5988" t="s">
        <v>13268</v>
      </c>
    </row>
    <row r="5989" spans="1:2" x14ac:dyDescent="0.25">
      <c r="A5989" t="s">
        <v>6015</v>
      </c>
      <c r="B5989" t="s">
        <v>13269</v>
      </c>
    </row>
    <row r="5990" spans="1:2" x14ac:dyDescent="0.25">
      <c r="A5990" t="s">
        <v>6016</v>
      </c>
      <c r="B5990" t="s">
        <v>13270</v>
      </c>
    </row>
    <row r="5991" spans="1:2" x14ac:dyDescent="0.25">
      <c r="A5991" t="s">
        <v>6017</v>
      </c>
      <c r="B5991" t="s">
        <v>13271</v>
      </c>
    </row>
    <row r="5992" spans="1:2" x14ac:dyDescent="0.25">
      <c r="A5992" t="s">
        <v>6018</v>
      </c>
      <c r="B5992" t="s">
        <v>13272</v>
      </c>
    </row>
    <row r="5993" spans="1:2" x14ac:dyDescent="0.25">
      <c r="A5993" t="s">
        <v>6019</v>
      </c>
      <c r="B5993" t="s">
        <v>13273</v>
      </c>
    </row>
    <row r="5994" spans="1:2" x14ac:dyDescent="0.25">
      <c r="A5994" t="s">
        <v>6020</v>
      </c>
      <c r="B5994" t="s">
        <v>13274</v>
      </c>
    </row>
    <row r="5995" spans="1:2" x14ac:dyDescent="0.25">
      <c r="A5995" t="s">
        <v>6021</v>
      </c>
      <c r="B5995" t="s">
        <v>13275</v>
      </c>
    </row>
    <row r="5996" spans="1:2" x14ac:dyDescent="0.25">
      <c r="A5996" t="s">
        <v>6022</v>
      </c>
      <c r="B5996" t="s">
        <v>13276</v>
      </c>
    </row>
    <row r="5997" spans="1:2" x14ac:dyDescent="0.25">
      <c r="A5997" t="s">
        <v>6023</v>
      </c>
      <c r="B5997" t="s">
        <v>13277</v>
      </c>
    </row>
    <row r="5998" spans="1:2" x14ac:dyDescent="0.25">
      <c r="A5998" t="s">
        <v>6024</v>
      </c>
      <c r="B5998" t="s">
        <v>13278</v>
      </c>
    </row>
    <row r="5999" spans="1:2" x14ac:dyDescent="0.25">
      <c r="A5999" t="s">
        <v>6025</v>
      </c>
      <c r="B5999" t="s">
        <v>13279</v>
      </c>
    </row>
    <row r="6000" spans="1:2" x14ac:dyDescent="0.25">
      <c r="A6000" t="s">
        <v>6026</v>
      </c>
      <c r="B6000" t="s">
        <v>13280</v>
      </c>
    </row>
    <row r="6001" spans="1:2" x14ac:dyDescent="0.25">
      <c r="A6001" t="s">
        <v>6027</v>
      </c>
      <c r="B6001" t="s">
        <v>13281</v>
      </c>
    </row>
    <row r="6002" spans="1:2" x14ac:dyDescent="0.25">
      <c r="A6002" t="s">
        <v>6028</v>
      </c>
      <c r="B6002" t="s">
        <v>13282</v>
      </c>
    </row>
    <row r="6003" spans="1:2" x14ac:dyDescent="0.25">
      <c r="A6003" t="s">
        <v>6029</v>
      </c>
      <c r="B6003" t="s">
        <v>13283</v>
      </c>
    </row>
    <row r="6004" spans="1:2" x14ac:dyDescent="0.25">
      <c r="A6004" t="s">
        <v>6030</v>
      </c>
      <c r="B6004" t="s">
        <v>13284</v>
      </c>
    </row>
    <row r="6005" spans="1:2" x14ac:dyDescent="0.25">
      <c r="A6005" t="s">
        <v>6031</v>
      </c>
      <c r="B6005" t="s">
        <v>13285</v>
      </c>
    </row>
    <row r="6006" spans="1:2" x14ac:dyDescent="0.25">
      <c r="A6006" t="s">
        <v>6032</v>
      </c>
      <c r="B6006" t="s">
        <v>13286</v>
      </c>
    </row>
    <row r="6007" spans="1:2" x14ac:dyDescent="0.25">
      <c r="A6007" t="s">
        <v>6033</v>
      </c>
      <c r="B6007" t="s">
        <v>13287</v>
      </c>
    </row>
    <row r="6008" spans="1:2" x14ac:dyDescent="0.25">
      <c r="A6008" t="s">
        <v>6034</v>
      </c>
      <c r="B6008" t="s">
        <v>13288</v>
      </c>
    </row>
    <row r="6009" spans="1:2" x14ac:dyDescent="0.25">
      <c r="A6009" t="s">
        <v>6035</v>
      </c>
      <c r="B6009" t="s">
        <v>13289</v>
      </c>
    </row>
    <row r="6010" spans="1:2" x14ac:dyDescent="0.25">
      <c r="A6010" t="s">
        <v>6036</v>
      </c>
      <c r="B6010" t="s">
        <v>13290</v>
      </c>
    </row>
    <row r="6011" spans="1:2" x14ac:dyDescent="0.25">
      <c r="A6011" t="s">
        <v>6037</v>
      </c>
      <c r="B6011" t="s">
        <v>13291</v>
      </c>
    </row>
    <row r="6012" spans="1:2" x14ac:dyDescent="0.25">
      <c r="A6012" t="s">
        <v>6038</v>
      </c>
      <c r="B6012" t="s">
        <v>13292</v>
      </c>
    </row>
    <row r="6013" spans="1:2" x14ac:dyDescent="0.25">
      <c r="A6013" t="s">
        <v>6039</v>
      </c>
      <c r="B6013" t="s">
        <v>13293</v>
      </c>
    </row>
    <row r="6014" spans="1:2" x14ac:dyDescent="0.25">
      <c r="A6014" t="s">
        <v>6040</v>
      </c>
      <c r="B6014" t="s">
        <v>13294</v>
      </c>
    </row>
    <row r="6015" spans="1:2" x14ac:dyDescent="0.25">
      <c r="A6015" t="s">
        <v>6041</v>
      </c>
      <c r="B6015" t="s">
        <v>13295</v>
      </c>
    </row>
    <row r="6016" spans="1:2" x14ac:dyDescent="0.25">
      <c r="A6016" t="s">
        <v>6042</v>
      </c>
      <c r="B6016" t="s">
        <v>13296</v>
      </c>
    </row>
    <row r="6017" spans="1:2" x14ac:dyDescent="0.25">
      <c r="A6017" t="s">
        <v>6043</v>
      </c>
      <c r="B6017" t="s">
        <v>13297</v>
      </c>
    </row>
    <row r="6018" spans="1:2" x14ac:dyDescent="0.25">
      <c r="A6018" t="s">
        <v>6044</v>
      </c>
      <c r="B6018" t="s">
        <v>13298</v>
      </c>
    </row>
    <row r="6019" spans="1:2" x14ac:dyDescent="0.25">
      <c r="A6019" t="s">
        <v>6045</v>
      </c>
      <c r="B6019" t="s">
        <v>13299</v>
      </c>
    </row>
    <row r="6020" spans="1:2" x14ac:dyDescent="0.25">
      <c r="A6020" t="s">
        <v>6046</v>
      </c>
      <c r="B6020" t="s">
        <v>13300</v>
      </c>
    </row>
    <row r="6021" spans="1:2" x14ac:dyDescent="0.25">
      <c r="A6021" t="s">
        <v>6047</v>
      </c>
      <c r="B6021" t="s">
        <v>13301</v>
      </c>
    </row>
    <row r="6022" spans="1:2" x14ac:dyDescent="0.25">
      <c r="A6022" t="s">
        <v>6048</v>
      </c>
      <c r="B6022" t="s">
        <v>13302</v>
      </c>
    </row>
    <row r="6023" spans="1:2" x14ac:dyDescent="0.25">
      <c r="A6023" t="s">
        <v>6049</v>
      </c>
      <c r="B6023" t="s">
        <v>13303</v>
      </c>
    </row>
    <row r="6024" spans="1:2" x14ac:dyDescent="0.25">
      <c r="A6024" t="s">
        <v>6050</v>
      </c>
      <c r="B6024" t="s">
        <v>13304</v>
      </c>
    </row>
    <row r="6025" spans="1:2" x14ac:dyDescent="0.25">
      <c r="A6025" t="s">
        <v>6051</v>
      </c>
      <c r="B6025" t="s">
        <v>13305</v>
      </c>
    </row>
    <row r="6026" spans="1:2" x14ac:dyDescent="0.25">
      <c r="A6026" t="s">
        <v>6052</v>
      </c>
      <c r="B6026" t="s">
        <v>13306</v>
      </c>
    </row>
    <row r="6027" spans="1:2" x14ac:dyDescent="0.25">
      <c r="A6027" t="s">
        <v>6053</v>
      </c>
      <c r="B6027" t="s">
        <v>13307</v>
      </c>
    </row>
    <row r="6028" spans="1:2" x14ac:dyDescent="0.25">
      <c r="A6028" t="s">
        <v>6054</v>
      </c>
      <c r="B6028" t="s">
        <v>13308</v>
      </c>
    </row>
    <row r="6029" spans="1:2" x14ac:dyDescent="0.25">
      <c r="A6029" t="s">
        <v>6055</v>
      </c>
      <c r="B6029" t="s">
        <v>13309</v>
      </c>
    </row>
    <row r="6030" spans="1:2" x14ac:dyDescent="0.25">
      <c r="A6030" t="s">
        <v>6056</v>
      </c>
      <c r="B6030" t="s">
        <v>13310</v>
      </c>
    </row>
    <row r="6031" spans="1:2" x14ac:dyDescent="0.25">
      <c r="A6031" t="s">
        <v>6057</v>
      </c>
      <c r="B6031" t="s">
        <v>13311</v>
      </c>
    </row>
    <row r="6032" spans="1:2" x14ac:dyDescent="0.25">
      <c r="A6032" t="s">
        <v>6058</v>
      </c>
      <c r="B6032" t="s">
        <v>13312</v>
      </c>
    </row>
    <row r="6033" spans="1:2" x14ac:dyDescent="0.25">
      <c r="A6033" t="s">
        <v>6059</v>
      </c>
      <c r="B6033" t="s">
        <v>13313</v>
      </c>
    </row>
    <row r="6034" spans="1:2" x14ac:dyDescent="0.25">
      <c r="A6034" t="s">
        <v>6060</v>
      </c>
      <c r="B6034" t="s">
        <v>13314</v>
      </c>
    </row>
    <row r="6035" spans="1:2" x14ac:dyDescent="0.25">
      <c r="A6035" t="s">
        <v>6061</v>
      </c>
      <c r="B6035" t="s">
        <v>13315</v>
      </c>
    </row>
    <row r="6036" spans="1:2" x14ac:dyDescent="0.25">
      <c r="A6036" t="s">
        <v>6062</v>
      </c>
      <c r="B6036" t="s">
        <v>13316</v>
      </c>
    </row>
    <row r="6037" spans="1:2" x14ac:dyDescent="0.25">
      <c r="A6037" t="s">
        <v>6063</v>
      </c>
      <c r="B6037" t="s">
        <v>13317</v>
      </c>
    </row>
    <row r="6038" spans="1:2" x14ac:dyDescent="0.25">
      <c r="A6038" t="s">
        <v>6064</v>
      </c>
      <c r="B6038" t="s">
        <v>13318</v>
      </c>
    </row>
    <row r="6039" spans="1:2" x14ac:dyDescent="0.25">
      <c r="A6039" t="s">
        <v>6065</v>
      </c>
      <c r="B6039" t="s">
        <v>13319</v>
      </c>
    </row>
    <row r="6040" spans="1:2" x14ac:dyDescent="0.25">
      <c r="A6040" t="s">
        <v>6066</v>
      </c>
      <c r="B6040" t="s">
        <v>13320</v>
      </c>
    </row>
    <row r="6041" spans="1:2" x14ac:dyDescent="0.25">
      <c r="A6041" t="s">
        <v>6067</v>
      </c>
      <c r="B6041" t="s">
        <v>13321</v>
      </c>
    </row>
    <row r="6042" spans="1:2" x14ac:dyDescent="0.25">
      <c r="A6042" t="s">
        <v>6068</v>
      </c>
      <c r="B6042" t="s">
        <v>13322</v>
      </c>
    </row>
    <row r="6043" spans="1:2" x14ac:dyDescent="0.25">
      <c r="A6043" t="s">
        <v>6069</v>
      </c>
      <c r="B6043" t="s">
        <v>13323</v>
      </c>
    </row>
    <row r="6044" spans="1:2" x14ac:dyDescent="0.25">
      <c r="A6044" t="s">
        <v>6070</v>
      </c>
      <c r="B6044" t="s">
        <v>13324</v>
      </c>
    </row>
    <row r="6045" spans="1:2" x14ac:dyDescent="0.25">
      <c r="A6045" t="s">
        <v>6071</v>
      </c>
      <c r="B6045" t="s">
        <v>13325</v>
      </c>
    </row>
    <row r="6046" spans="1:2" x14ac:dyDescent="0.25">
      <c r="A6046" t="s">
        <v>6072</v>
      </c>
      <c r="B6046" t="s">
        <v>13326</v>
      </c>
    </row>
    <row r="6047" spans="1:2" x14ac:dyDescent="0.25">
      <c r="A6047" t="s">
        <v>6073</v>
      </c>
      <c r="B6047" t="s">
        <v>13327</v>
      </c>
    </row>
    <row r="6048" spans="1:2" x14ac:dyDescent="0.25">
      <c r="A6048" t="s">
        <v>6074</v>
      </c>
      <c r="B6048" t="s">
        <v>13328</v>
      </c>
    </row>
    <row r="6049" spans="1:2" x14ac:dyDescent="0.25">
      <c r="A6049" t="s">
        <v>6075</v>
      </c>
      <c r="B6049" t="s">
        <v>13329</v>
      </c>
    </row>
    <row r="6050" spans="1:2" x14ac:dyDescent="0.25">
      <c r="A6050" t="s">
        <v>6076</v>
      </c>
      <c r="B6050" t="s">
        <v>13330</v>
      </c>
    </row>
    <row r="6051" spans="1:2" x14ac:dyDescent="0.25">
      <c r="A6051" t="s">
        <v>6077</v>
      </c>
      <c r="B6051" t="s">
        <v>13331</v>
      </c>
    </row>
    <row r="6052" spans="1:2" x14ac:dyDescent="0.25">
      <c r="A6052" t="s">
        <v>6078</v>
      </c>
      <c r="B6052" t="s">
        <v>13332</v>
      </c>
    </row>
    <row r="6053" spans="1:2" x14ac:dyDescent="0.25">
      <c r="A6053" t="s">
        <v>6079</v>
      </c>
      <c r="B6053" t="s">
        <v>13333</v>
      </c>
    </row>
    <row r="6054" spans="1:2" x14ac:dyDescent="0.25">
      <c r="A6054" t="s">
        <v>6080</v>
      </c>
      <c r="B6054" t="s">
        <v>13334</v>
      </c>
    </row>
    <row r="6055" spans="1:2" x14ac:dyDescent="0.25">
      <c r="A6055" t="s">
        <v>6081</v>
      </c>
      <c r="B6055" t="s">
        <v>13335</v>
      </c>
    </row>
    <row r="6056" spans="1:2" x14ac:dyDescent="0.25">
      <c r="A6056" t="s">
        <v>6082</v>
      </c>
      <c r="B6056" t="s">
        <v>13336</v>
      </c>
    </row>
    <row r="6057" spans="1:2" x14ac:dyDescent="0.25">
      <c r="A6057" t="s">
        <v>6083</v>
      </c>
      <c r="B6057" t="s">
        <v>13337</v>
      </c>
    </row>
    <row r="6058" spans="1:2" x14ac:dyDescent="0.25">
      <c r="A6058" t="s">
        <v>6084</v>
      </c>
      <c r="B6058" t="s">
        <v>13338</v>
      </c>
    </row>
    <row r="6059" spans="1:2" x14ac:dyDescent="0.25">
      <c r="A6059" t="s">
        <v>6085</v>
      </c>
      <c r="B6059" t="s">
        <v>13339</v>
      </c>
    </row>
    <row r="6060" spans="1:2" x14ac:dyDescent="0.25">
      <c r="A6060" t="s">
        <v>6086</v>
      </c>
      <c r="B6060" t="s">
        <v>13340</v>
      </c>
    </row>
    <row r="6061" spans="1:2" x14ac:dyDescent="0.25">
      <c r="A6061" t="s">
        <v>6087</v>
      </c>
      <c r="B6061" t="s">
        <v>13341</v>
      </c>
    </row>
    <row r="6062" spans="1:2" x14ac:dyDescent="0.25">
      <c r="A6062" t="s">
        <v>6088</v>
      </c>
      <c r="B6062" t="s">
        <v>13342</v>
      </c>
    </row>
    <row r="6063" spans="1:2" x14ac:dyDescent="0.25">
      <c r="A6063" t="s">
        <v>6089</v>
      </c>
      <c r="B6063" t="s">
        <v>13343</v>
      </c>
    </row>
    <row r="6064" spans="1:2" x14ac:dyDescent="0.25">
      <c r="A6064" t="s">
        <v>6090</v>
      </c>
      <c r="B6064" t="s">
        <v>13344</v>
      </c>
    </row>
    <row r="6065" spans="1:2" x14ac:dyDescent="0.25">
      <c r="A6065" t="s">
        <v>6091</v>
      </c>
      <c r="B6065" t="s">
        <v>13345</v>
      </c>
    </row>
    <row r="6066" spans="1:2" x14ac:dyDescent="0.25">
      <c r="A6066" t="s">
        <v>6092</v>
      </c>
      <c r="B6066" t="s">
        <v>13346</v>
      </c>
    </row>
    <row r="6067" spans="1:2" x14ac:dyDescent="0.25">
      <c r="A6067" t="s">
        <v>6093</v>
      </c>
      <c r="B6067" t="s">
        <v>13347</v>
      </c>
    </row>
    <row r="6068" spans="1:2" x14ac:dyDescent="0.25">
      <c r="A6068" t="s">
        <v>6094</v>
      </c>
      <c r="B6068" t="s">
        <v>13348</v>
      </c>
    </row>
    <row r="6069" spans="1:2" x14ac:dyDescent="0.25">
      <c r="A6069" t="s">
        <v>6095</v>
      </c>
      <c r="B6069" t="s">
        <v>13349</v>
      </c>
    </row>
    <row r="6070" spans="1:2" x14ac:dyDescent="0.25">
      <c r="A6070" t="s">
        <v>6096</v>
      </c>
      <c r="B6070" t="s">
        <v>13350</v>
      </c>
    </row>
    <row r="6071" spans="1:2" x14ac:dyDescent="0.25">
      <c r="A6071" t="s">
        <v>6097</v>
      </c>
      <c r="B6071" t="s">
        <v>13351</v>
      </c>
    </row>
    <row r="6072" spans="1:2" x14ac:dyDescent="0.25">
      <c r="A6072" t="s">
        <v>6098</v>
      </c>
      <c r="B6072" t="s">
        <v>13352</v>
      </c>
    </row>
    <row r="6073" spans="1:2" x14ac:dyDescent="0.25">
      <c r="A6073" t="s">
        <v>6099</v>
      </c>
      <c r="B6073" t="s">
        <v>13353</v>
      </c>
    </row>
    <row r="6074" spans="1:2" x14ac:dyDescent="0.25">
      <c r="A6074" t="s">
        <v>6100</v>
      </c>
      <c r="B6074" t="s">
        <v>13354</v>
      </c>
    </row>
    <row r="6075" spans="1:2" x14ac:dyDescent="0.25">
      <c r="A6075" t="s">
        <v>6101</v>
      </c>
      <c r="B6075" t="s">
        <v>13355</v>
      </c>
    </row>
    <row r="6076" spans="1:2" x14ac:dyDescent="0.25">
      <c r="A6076" t="s">
        <v>6102</v>
      </c>
      <c r="B6076" t="s">
        <v>13356</v>
      </c>
    </row>
    <row r="6077" spans="1:2" x14ac:dyDescent="0.25">
      <c r="A6077" t="s">
        <v>6103</v>
      </c>
      <c r="B6077" t="s">
        <v>13357</v>
      </c>
    </row>
    <row r="6078" spans="1:2" x14ac:dyDescent="0.25">
      <c r="A6078" t="s">
        <v>6104</v>
      </c>
      <c r="B6078" t="s">
        <v>13358</v>
      </c>
    </row>
    <row r="6079" spans="1:2" x14ac:dyDescent="0.25">
      <c r="A6079" t="s">
        <v>6105</v>
      </c>
      <c r="B6079" t="s">
        <v>13359</v>
      </c>
    </row>
    <row r="6080" spans="1:2" x14ac:dyDescent="0.25">
      <c r="A6080" t="s">
        <v>6106</v>
      </c>
      <c r="B6080" t="s">
        <v>13360</v>
      </c>
    </row>
    <row r="6081" spans="1:2" x14ac:dyDescent="0.25">
      <c r="A6081" t="s">
        <v>6107</v>
      </c>
      <c r="B6081" t="s">
        <v>13361</v>
      </c>
    </row>
    <row r="6082" spans="1:2" x14ac:dyDescent="0.25">
      <c r="A6082" t="s">
        <v>6108</v>
      </c>
      <c r="B6082" t="s">
        <v>13362</v>
      </c>
    </row>
    <row r="6083" spans="1:2" x14ac:dyDescent="0.25">
      <c r="A6083" t="s">
        <v>6109</v>
      </c>
      <c r="B6083" t="s">
        <v>13363</v>
      </c>
    </row>
    <row r="6084" spans="1:2" x14ac:dyDescent="0.25">
      <c r="A6084" t="s">
        <v>6110</v>
      </c>
      <c r="B6084" t="s">
        <v>13364</v>
      </c>
    </row>
    <row r="6085" spans="1:2" x14ac:dyDescent="0.25">
      <c r="A6085" t="s">
        <v>6111</v>
      </c>
      <c r="B6085" t="s">
        <v>13365</v>
      </c>
    </row>
    <row r="6086" spans="1:2" x14ac:dyDescent="0.25">
      <c r="A6086" t="s">
        <v>6112</v>
      </c>
      <c r="B6086" t="s">
        <v>13366</v>
      </c>
    </row>
    <row r="6087" spans="1:2" x14ac:dyDescent="0.25">
      <c r="A6087" t="s">
        <v>6113</v>
      </c>
      <c r="B6087" t="s">
        <v>13367</v>
      </c>
    </row>
    <row r="6088" spans="1:2" x14ac:dyDescent="0.25">
      <c r="A6088" t="s">
        <v>6114</v>
      </c>
      <c r="B6088" t="s">
        <v>13368</v>
      </c>
    </row>
    <row r="6089" spans="1:2" x14ac:dyDescent="0.25">
      <c r="A6089" t="s">
        <v>6115</v>
      </c>
      <c r="B6089" t="s">
        <v>13369</v>
      </c>
    </row>
    <row r="6090" spans="1:2" x14ac:dyDescent="0.25">
      <c r="A6090" t="s">
        <v>6116</v>
      </c>
      <c r="B6090" t="s">
        <v>13370</v>
      </c>
    </row>
    <row r="6091" spans="1:2" x14ac:dyDescent="0.25">
      <c r="A6091" t="s">
        <v>6117</v>
      </c>
      <c r="B6091" t="s">
        <v>13371</v>
      </c>
    </row>
    <row r="6092" spans="1:2" x14ac:dyDescent="0.25">
      <c r="A6092" t="s">
        <v>6118</v>
      </c>
      <c r="B6092" t="s">
        <v>13372</v>
      </c>
    </row>
    <row r="6093" spans="1:2" x14ac:dyDescent="0.25">
      <c r="A6093" t="s">
        <v>6119</v>
      </c>
      <c r="B6093" t="s">
        <v>13373</v>
      </c>
    </row>
    <row r="6094" spans="1:2" x14ac:dyDescent="0.25">
      <c r="A6094" t="s">
        <v>6120</v>
      </c>
      <c r="B6094" t="s">
        <v>13374</v>
      </c>
    </row>
    <row r="6095" spans="1:2" x14ac:dyDescent="0.25">
      <c r="A6095" t="s">
        <v>6121</v>
      </c>
      <c r="B6095" t="s">
        <v>13375</v>
      </c>
    </row>
    <row r="6096" spans="1:2" x14ac:dyDescent="0.25">
      <c r="A6096" t="s">
        <v>6122</v>
      </c>
      <c r="B6096" t="s">
        <v>13376</v>
      </c>
    </row>
    <row r="6097" spans="1:2" x14ac:dyDescent="0.25">
      <c r="A6097" t="s">
        <v>6123</v>
      </c>
      <c r="B6097" t="s">
        <v>13377</v>
      </c>
    </row>
    <row r="6098" spans="1:2" x14ac:dyDescent="0.25">
      <c r="A6098" t="s">
        <v>6124</v>
      </c>
      <c r="B6098" t="s">
        <v>13378</v>
      </c>
    </row>
    <row r="6099" spans="1:2" x14ac:dyDescent="0.25">
      <c r="A6099" t="s">
        <v>6125</v>
      </c>
      <c r="B6099" t="s">
        <v>13379</v>
      </c>
    </row>
    <row r="6100" spans="1:2" x14ac:dyDescent="0.25">
      <c r="A6100" t="s">
        <v>6126</v>
      </c>
      <c r="B6100" t="s">
        <v>13380</v>
      </c>
    </row>
    <row r="6101" spans="1:2" x14ac:dyDescent="0.25">
      <c r="A6101" t="s">
        <v>6127</v>
      </c>
      <c r="B6101" t="s">
        <v>13381</v>
      </c>
    </row>
    <row r="6102" spans="1:2" x14ac:dyDescent="0.25">
      <c r="A6102" t="s">
        <v>6128</v>
      </c>
      <c r="B6102" t="s">
        <v>13382</v>
      </c>
    </row>
    <row r="6103" spans="1:2" x14ac:dyDescent="0.25">
      <c r="A6103" t="s">
        <v>6129</v>
      </c>
      <c r="B6103" t="s">
        <v>13383</v>
      </c>
    </row>
    <row r="6104" spans="1:2" x14ac:dyDescent="0.25">
      <c r="A6104" t="s">
        <v>6130</v>
      </c>
      <c r="B6104" t="s">
        <v>13384</v>
      </c>
    </row>
    <row r="6105" spans="1:2" x14ac:dyDescent="0.25">
      <c r="A6105" t="s">
        <v>6131</v>
      </c>
      <c r="B6105" t="s">
        <v>13385</v>
      </c>
    </row>
    <row r="6106" spans="1:2" x14ac:dyDescent="0.25">
      <c r="A6106" t="s">
        <v>6132</v>
      </c>
      <c r="B6106" t="s">
        <v>13386</v>
      </c>
    </row>
    <row r="6107" spans="1:2" x14ac:dyDescent="0.25">
      <c r="A6107" t="s">
        <v>6133</v>
      </c>
      <c r="B6107" t="s">
        <v>13387</v>
      </c>
    </row>
    <row r="6108" spans="1:2" x14ac:dyDescent="0.25">
      <c r="A6108" t="s">
        <v>6134</v>
      </c>
      <c r="B6108" t="s">
        <v>13388</v>
      </c>
    </row>
    <row r="6109" spans="1:2" x14ac:dyDescent="0.25">
      <c r="A6109" t="s">
        <v>6135</v>
      </c>
      <c r="B6109" t="s">
        <v>13389</v>
      </c>
    </row>
    <row r="6110" spans="1:2" x14ac:dyDescent="0.25">
      <c r="A6110" t="s">
        <v>6136</v>
      </c>
      <c r="B6110" t="s">
        <v>13390</v>
      </c>
    </row>
    <row r="6111" spans="1:2" x14ac:dyDescent="0.25">
      <c r="A6111" t="s">
        <v>6137</v>
      </c>
      <c r="B6111" t="s">
        <v>13391</v>
      </c>
    </row>
    <row r="6112" spans="1:2" x14ac:dyDescent="0.25">
      <c r="A6112" t="s">
        <v>6138</v>
      </c>
      <c r="B6112" t="s">
        <v>13392</v>
      </c>
    </row>
    <row r="6113" spans="1:2" x14ac:dyDescent="0.25">
      <c r="A6113" t="s">
        <v>6139</v>
      </c>
      <c r="B6113" t="s">
        <v>13393</v>
      </c>
    </row>
    <row r="6114" spans="1:2" x14ac:dyDescent="0.25">
      <c r="A6114" t="s">
        <v>6140</v>
      </c>
      <c r="B6114" t="s">
        <v>13394</v>
      </c>
    </row>
    <row r="6115" spans="1:2" x14ac:dyDescent="0.25">
      <c r="A6115" t="s">
        <v>6141</v>
      </c>
      <c r="B6115" t="s">
        <v>13395</v>
      </c>
    </row>
    <row r="6116" spans="1:2" x14ac:dyDescent="0.25">
      <c r="A6116" t="s">
        <v>6142</v>
      </c>
      <c r="B6116" t="s">
        <v>13396</v>
      </c>
    </row>
    <row r="6117" spans="1:2" x14ac:dyDescent="0.25">
      <c r="A6117" t="s">
        <v>6143</v>
      </c>
      <c r="B6117" t="s">
        <v>13397</v>
      </c>
    </row>
    <row r="6118" spans="1:2" x14ac:dyDescent="0.25">
      <c r="A6118" t="s">
        <v>6144</v>
      </c>
      <c r="B6118" t="s">
        <v>13398</v>
      </c>
    </row>
    <row r="6119" spans="1:2" x14ac:dyDescent="0.25">
      <c r="A6119" t="s">
        <v>6145</v>
      </c>
      <c r="B6119" t="s">
        <v>13399</v>
      </c>
    </row>
    <row r="6120" spans="1:2" x14ac:dyDescent="0.25">
      <c r="A6120" t="s">
        <v>6146</v>
      </c>
      <c r="B6120" t="s">
        <v>13400</v>
      </c>
    </row>
    <row r="6121" spans="1:2" x14ac:dyDescent="0.25">
      <c r="A6121" t="s">
        <v>6147</v>
      </c>
      <c r="B6121" t="s">
        <v>13401</v>
      </c>
    </row>
    <row r="6122" spans="1:2" x14ac:dyDescent="0.25">
      <c r="A6122" t="s">
        <v>6148</v>
      </c>
      <c r="B6122" t="s">
        <v>13402</v>
      </c>
    </row>
    <row r="6123" spans="1:2" x14ac:dyDescent="0.25">
      <c r="A6123" t="s">
        <v>6149</v>
      </c>
      <c r="B6123" t="s">
        <v>13403</v>
      </c>
    </row>
    <row r="6124" spans="1:2" x14ac:dyDescent="0.25">
      <c r="A6124" t="s">
        <v>6150</v>
      </c>
      <c r="B6124" t="s">
        <v>13404</v>
      </c>
    </row>
    <row r="6125" spans="1:2" x14ac:dyDescent="0.25">
      <c r="A6125" t="s">
        <v>6151</v>
      </c>
      <c r="B6125" t="s">
        <v>13405</v>
      </c>
    </row>
    <row r="6126" spans="1:2" x14ac:dyDescent="0.25">
      <c r="A6126" t="s">
        <v>6152</v>
      </c>
      <c r="B6126" t="s">
        <v>13406</v>
      </c>
    </row>
    <row r="6127" spans="1:2" x14ac:dyDescent="0.25">
      <c r="A6127" t="s">
        <v>6153</v>
      </c>
      <c r="B6127" t="s">
        <v>13407</v>
      </c>
    </row>
    <row r="6128" spans="1:2" x14ac:dyDescent="0.25">
      <c r="A6128" t="s">
        <v>6154</v>
      </c>
      <c r="B6128" t="s">
        <v>13408</v>
      </c>
    </row>
    <row r="6129" spans="1:2" x14ac:dyDescent="0.25">
      <c r="A6129" t="s">
        <v>6155</v>
      </c>
      <c r="B6129" t="s">
        <v>13409</v>
      </c>
    </row>
    <row r="6130" spans="1:2" x14ac:dyDescent="0.25">
      <c r="A6130" t="s">
        <v>6156</v>
      </c>
      <c r="B6130" t="s">
        <v>13410</v>
      </c>
    </row>
    <row r="6131" spans="1:2" x14ac:dyDescent="0.25">
      <c r="A6131" t="s">
        <v>6157</v>
      </c>
      <c r="B6131" t="s">
        <v>13411</v>
      </c>
    </row>
    <row r="6132" spans="1:2" x14ac:dyDescent="0.25">
      <c r="A6132" t="s">
        <v>6158</v>
      </c>
      <c r="B6132" t="s">
        <v>13412</v>
      </c>
    </row>
    <row r="6133" spans="1:2" x14ac:dyDescent="0.25">
      <c r="A6133" t="s">
        <v>6159</v>
      </c>
      <c r="B6133" t="s">
        <v>13413</v>
      </c>
    </row>
    <row r="6134" spans="1:2" x14ac:dyDescent="0.25">
      <c r="A6134" t="s">
        <v>6160</v>
      </c>
      <c r="B6134" t="s">
        <v>13414</v>
      </c>
    </row>
    <row r="6135" spans="1:2" x14ac:dyDescent="0.25">
      <c r="A6135" t="s">
        <v>6161</v>
      </c>
      <c r="B6135" t="s">
        <v>13415</v>
      </c>
    </row>
    <row r="6136" spans="1:2" x14ac:dyDescent="0.25">
      <c r="A6136" t="s">
        <v>6162</v>
      </c>
      <c r="B6136" t="s">
        <v>13416</v>
      </c>
    </row>
    <row r="6137" spans="1:2" x14ac:dyDescent="0.25">
      <c r="A6137" t="s">
        <v>6163</v>
      </c>
      <c r="B6137" t="s">
        <v>13417</v>
      </c>
    </row>
    <row r="6138" spans="1:2" x14ac:dyDescent="0.25">
      <c r="A6138" t="s">
        <v>6164</v>
      </c>
      <c r="B6138" t="s">
        <v>13418</v>
      </c>
    </row>
    <row r="6139" spans="1:2" x14ac:dyDescent="0.25">
      <c r="A6139" t="s">
        <v>6165</v>
      </c>
      <c r="B6139" t="s">
        <v>13419</v>
      </c>
    </row>
    <row r="6140" spans="1:2" x14ac:dyDescent="0.25">
      <c r="A6140" t="s">
        <v>6166</v>
      </c>
      <c r="B6140" t="s">
        <v>13420</v>
      </c>
    </row>
    <row r="6141" spans="1:2" x14ac:dyDescent="0.25">
      <c r="A6141" t="s">
        <v>6167</v>
      </c>
      <c r="B6141" t="s">
        <v>13421</v>
      </c>
    </row>
    <row r="6142" spans="1:2" x14ac:dyDescent="0.25">
      <c r="A6142" t="s">
        <v>6168</v>
      </c>
      <c r="B6142" t="s">
        <v>13422</v>
      </c>
    </row>
    <row r="6143" spans="1:2" x14ac:dyDescent="0.25">
      <c r="A6143" t="s">
        <v>6169</v>
      </c>
      <c r="B6143" t="s">
        <v>13423</v>
      </c>
    </row>
    <row r="6144" spans="1:2" x14ac:dyDescent="0.25">
      <c r="A6144" t="s">
        <v>6170</v>
      </c>
      <c r="B6144" t="s">
        <v>13424</v>
      </c>
    </row>
    <row r="6145" spans="1:2" x14ac:dyDescent="0.25">
      <c r="A6145" t="s">
        <v>6171</v>
      </c>
      <c r="B6145" t="s">
        <v>13425</v>
      </c>
    </row>
    <row r="6146" spans="1:2" x14ac:dyDescent="0.25">
      <c r="A6146" t="s">
        <v>6172</v>
      </c>
      <c r="B6146" t="s">
        <v>13426</v>
      </c>
    </row>
    <row r="6147" spans="1:2" x14ac:dyDescent="0.25">
      <c r="A6147" t="s">
        <v>6173</v>
      </c>
      <c r="B6147" t="s">
        <v>13427</v>
      </c>
    </row>
    <row r="6148" spans="1:2" x14ac:dyDescent="0.25">
      <c r="A6148" t="s">
        <v>6174</v>
      </c>
      <c r="B6148" t="s">
        <v>13428</v>
      </c>
    </row>
    <row r="6149" spans="1:2" x14ac:dyDescent="0.25">
      <c r="A6149" t="s">
        <v>6175</v>
      </c>
      <c r="B6149" t="s">
        <v>13429</v>
      </c>
    </row>
    <row r="6150" spans="1:2" x14ac:dyDescent="0.25">
      <c r="A6150" t="s">
        <v>6176</v>
      </c>
      <c r="B6150" t="s">
        <v>13430</v>
      </c>
    </row>
    <row r="6151" spans="1:2" x14ac:dyDescent="0.25">
      <c r="A6151" t="s">
        <v>6177</v>
      </c>
      <c r="B6151" t="s">
        <v>13431</v>
      </c>
    </row>
    <row r="6152" spans="1:2" x14ac:dyDescent="0.25">
      <c r="A6152" t="s">
        <v>6178</v>
      </c>
      <c r="B6152" t="s">
        <v>13432</v>
      </c>
    </row>
    <row r="6153" spans="1:2" x14ac:dyDescent="0.25">
      <c r="A6153" t="s">
        <v>6179</v>
      </c>
      <c r="B6153" t="s">
        <v>13433</v>
      </c>
    </row>
    <row r="6154" spans="1:2" x14ac:dyDescent="0.25">
      <c r="A6154" t="s">
        <v>6180</v>
      </c>
      <c r="B6154" t="s">
        <v>13434</v>
      </c>
    </row>
    <row r="6155" spans="1:2" x14ac:dyDescent="0.25">
      <c r="A6155" t="s">
        <v>6181</v>
      </c>
      <c r="B6155" t="s">
        <v>13435</v>
      </c>
    </row>
    <row r="6156" spans="1:2" x14ac:dyDescent="0.25">
      <c r="A6156" t="s">
        <v>6182</v>
      </c>
      <c r="B6156" t="s">
        <v>13436</v>
      </c>
    </row>
    <row r="6157" spans="1:2" x14ac:dyDescent="0.25">
      <c r="A6157" t="s">
        <v>6183</v>
      </c>
      <c r="B6157" t="s">
        <v>13437</v>
      </c>
    </row>
    <row r="6158" spans="1:2" x14ac:dyDescent="0.25">
      <c r="A6158" t="s">
        <v>6184</v>
      </c>
      <c r="B6158" t="s">
        <v>13438</v>
      </c>
    </row>
    <row r="6159" spans="1:2" x14ac:dyDescent="0.25">
      <c r="A6159" t="s">
        <v>6185</v>
      </c>
      <c r="B6159" t="s">
        <v>13439</v>
      </c>
    </row>
    <row r="6160" spans="1:2" x14ac:dyDescent="0.25">
      <c r="A6160" t="s">
        <v>6186</v>
      </c>
      <c r="B6160" t="s">
        <v>13440</v>
      </c>
    </row>
    <row r="6161" spans="1:2" x14ac:dyDescent="0.25">
      <c r="A6161" t="s">
        <v>6187</v>
      </c>
      <c r="B6161" t="s">
        <v>13441</v>
      </c>
    </row>
    <row r="6162" spans="1:2" x14ac:dyDescent="0.25">
      <c r="A6162" t="s">
        <v>6188</v>
      </c>
      <c r="B6162" t="s">
        <v>13442</v>
      </c>
    </row>
    <row r="6163" spans="1:2" x14ac:dyDescent="0.25">
      <c r="A6163" t="s">
        <v>6189</v>
      </c>
      <c r="B6163" t="s">
        <v>13443</v>
      </c>
    </row>
    <row r="6164" spans="1:2" x14ac:dyDescent="0.25">
      <c r="A6164" t="s">
        <v>6190</v>
      </c>
      <c r="B6164" t="s">
        <v>13444</v>
      </c>
    </row>
    <row r="6165" spans="1:2" x14ac:dyDescent="0.25">
      <c r="A6165" t="s">
        <v>6191</v>
      </c>
      <c r="B6165" t="s">
        <v>13445</v>
      </c>
    </row>
    <row r="6166" spans="1:2" x14ac:dyDescent="0.25">
      <c r="A6166" t="s">
        <v>6192</v>
      </c>
      <c r="B6166" t="s">
        <v>13446</v>
      </c>
    </row>
    <row r="6167" spans="1:2" x14ac:dyDescent="0.25">
      <c r="A6167" t="s">
        <v>6193</v>
      </c>
      <c r="B6167" t="s">
        <v>13447</v>
      </c>
    </row>
    <row r="6168" spans="1:2" x14ac:dyDescent="0.25">
      <c r="A6168" t="s">
        <v>6194</v>
      </c>
      <c r="B6168" t="s">
        <v>13448</v>
      </c>
    </row>
    <row r="6169" spans="1:2" x14ac:dyDescent="0.25">
      <c r="A6169" t="s">
        <v>6195</v>
      </c>
      <c r="B6169" t="s">
        <v>13449</v>
      </c>
    </row>
    <row r="6170" spans="1:2" x14ac:dyDescent="0.25">
      <c r="A6170" t="s">
        <v>6196</v>
      </c>
      <c r="B6170" t="s">
        <v>13450</v>
      </c>
    </row>
    <row r="6171" spans="1:2" x14ac:dyDescent="0.25">
      <c r="A6171" t="s">
        <v>6197</v>
      </c>
      <c r="B6171" t="s">
        <v>13451</v>
      </c>
    </row>
    <row r="6172" spans="1:2" x14ac:dyDescent="0.25">
      <c r="A6172" t="s">
        <v>6198</v>
      </c>
      <c r="B6172" t="s">
        <v>13452</v>
      </c>
    </row>
    <row r="6173" spans="1:2" x14ac:dyDescent="0.25">
      <c r="A6173" t="s">
        <v>6199</v>
      </c>
      <c r="B6173" t="s">
        <v>13453</v>
      </c>
    </row>
    <row r="6174" spans="1:2" x14ac:dyDescent="0.25">
      <c r="A6174" t="s">
        <v>6200</v>
      </c>
      <c r="B6174" t="s">
        <v>13454</v>
      </c>
    </row>
    <row r="6175" spans="1:2" x14ac:dyDescent="0.25">
      <c r="A6175" t="s">
        <v>6201</v>
      </c>
      <c r="B6175" t="s">
        <v>13455</v>
      </c>
    </row>
    <row r="6176" spans="1:2" x14ac:dyDescent="0.25">
      <c r="A6176" t="s">
        <v>6202</v>
      </c>
      <c r="B6176" t="s">
        <v>13456</v>
      </c>
    </row>
    <row r="6177" spans="1:2" x14ac:dyDescent="0.25">
      <c r="A6177" t="s">
        <v>6203</v>
      </c>
      <c r="B6177" t="s">
        <v>13457</v>
      </c>
    </row>
    <row r="6178" spans="1:2" x14ac:dyDescent="0.25">
      <c r="A6178" t="s">
        <v>6204</v>
      </c>
      <c r="B6178" t="s">
        <v>13458</v>
      </c>
    </row>
    <row r="6179" spans="1:2" x14ac:dyDescent="0.25">
      <c r="A6179" t="s">
        <v>6205</v>
      </c>
      <c r="B6179" t="s">
        <v>13459</v>
      </c>
    </row>
    <row r="6180" spans="1:2" x14ac:dyDescent="0.25">
      <c r="A6180" t="s">
        <v>6206</v>
      </c>
      <c r="B6180" t="s">
        <v>13460</v>
      </c>
    </row>
    <row r="6181" spans="1:2" x14ac:dyDescent="0.25">
      <c r="A6181" t="s">
        <v>6207</v>
      </c>
      <c r="B6181" t="s">
        <v>13461</v>
      </c>
    </row>
    <row r="6182" spans="1:2" x14ac:dyDescent="0.25">
      <c r="A6182" t="s">
        <v>6208</v>
      </c>
      <c r="B6182" t="s">
        <v>13462</v>
      </c>
    </row>
    <row r="6183" spans="1:2" x14ac:dyDescent="0.25">
      <c r="A6183" t="s">
        <v>6209</v>
      </c>
      <c r="B6183" t="s">
        <v>13463</v>
      </c>
    </row>
    <row r="6184" spans="1:2" x14ac:dyDescent="0.25">
      <c r="A6184" t="s">
        <v>6210</v>
      </c>
      <c r="B6184" t="s">
        <v>13464</v>
      </c>
    </row>
    <row r="6185" spans="1:2" x14ac:dyDescent="0.25">
      <c r="A6185" t="s">
        <v>6211</v>
      </c>
      <c r="B6185" t="s">
        <v>13465</v>
      </c>
    </row>
    <row r="6186" spans="1:2" x14ac:dyDescent="0.25">
      <c r="A6186" t="s">
        <v>6212</v>
      </c>
      <c r="B6186" t="s">
        <v>13466</v>
      </c>
    </row>
    <row r="6187" spans="1:2" x14ac:dyDescent="0.25">
      <c r="A6187" t="s">
        <v>6213</v>
      </c>
      <c r="B6187" t="s">
        <v>13467</v>
      </c>
    </row>
    <row r="6188" spans="1:2" x14ac:dyDescent="0.25">
      <c r="A6188" t="s">
        <v>6214</v>
      </c>
      <c r="B6188" t="s">
        <v>13468</v>
      </c>
    </row>
    <row r="6189" spans="1:2" x14ac:dyDescent="0.25">
      <c r="A6189" t="s">
        <v>6215</v>
      </c>
      <c r="B6189" t="s">
        <v>13469</v>
      </c>
    </row>
    <row r="6190" spans="1:2" x14ac:dyDescent="0.25">
      <c r="A6190" t="s">
        <v>6216</v>
      </c>
      <c r="B6190" t="s">
        <v>13470</v>
      </c>
    </row>
    <row r="6191" spans="1:2" x14ac:dyDescent="0.25">
      <c r="A6191" t="s">
        <v>6217</v>
      </c>
      <c r="B6191" t="s">
        <v>13471</v>
      </c>
    </row>
    <row r="6192" spans="1:2" x14ac:dyDescent="0.25">
      <c r="A6192" t="s">
        <v>6218</v>
      </c>
      <c r="B6192" t="s">
        <v>13472</v>
      </c>
    </row>
    <row r="6193" spans="1:2" x14ac:dyDescent="0.25">
      <c r="A6193" t="s">
        <v>6219</v>
      </c>
      <c r="B6193" t="s">
        <v>13473</v>
      </c>
    </row>
    <row r="6194" spans="1:2" x14ac:dyDescent="0.25">
      <c r="A6194" t="s">
        <v>6220</v>
      </c>
      <c r="B6194" t="s">
        <v>13474</v>
      </c>
    </row>
    <row r="6195" spans="1:2" x14ac:dyDescent="0.25">
      <c r="A6195" t="s">
        <v>6221</v>
      </c>
      <c r="B6195" t="s">
        <v>13475</v>
      </c>
    </row>
    <row r="6196" spans="1:2" x14ac:dyDescent="0.25">
      <c r="A6196" t="s">
        <v>6222</v>
      </c>
      <c r="B6196" t="s">
        <v>13476</v>
      </c>
    </row>
    <row r="6197" spans="1:2" x14ac:dyDescent="0.25">
      <c r="A6197" t="s">
        <v>6223</v>
      </c>
      <c r="B6197" t="s">
        <v>13477</v>
      </c>
    </row>
    <row r="6198" spans="1:2" x14ac:dyDescent="0.25">
      <c r="A6198" t="s">
        <v>6224</v>
      </c>
      <c r="B6198" t="s">
        <v>13478</v>
      </c>
    </row>
    <row r="6199" spans="1:2" x14ac:dyDescent="0.25">
      <c r="A6199" t="s">
        <v>6225</v>
      </c>
      <c r="B6199" t="s">
        <v>13479</v>
      </c>
    </row>
    <row r="6200" spans="1:2" x14ac:dyDescent="0.25">
      <c r="A6200" t="s">
        <v>6226</v>
      </c>
      <c r="B6200" t="s">
        <v>13480</v>
      </c>
    </row>
    <row r="6201" spans="1:2" x14ac:dyDescent="0.25">
      <c r="A6201" t="s">
        <v>6227</v>
      </c>
      <c r="B6201" t="s">
        <v>13481</v>
      </c>
    </row>
    <row r="6202" spans="1:2" x14ac:dyDescent="0.25">
      <c r="A6202" t="s">
        <v>6228</v>
      </c>
      <c r="B6202" t="s">
        <v>13482</v>
      </c>
    </row>
    <row r="6203" spans="1:2" x14ac:dyDescent="0.25">
      <c r="A6203" t="s">
        <v>6229</v>
      </c>
      <c r="B6203" t="s">
        <v>13483</v>
      </c>
    </row>
    <row r="6204" spans="1:2" x14ac:dyDescent="0.25">
      <c r="A6204" t="s">
        <v>6230</v>
      </c>
      <c r="B6204" t="s">
        <v>13484</v>
      </c>
    </row>
    <row r="6205" spans="1:2" x14ac:dyDescent="0.25">
      <c r="A6205" t="s">
        <v>6231</v>
      </c>
      <c r="B6205" t="s">
        <v>13485</v>
      </c>
    </row>
    <row r="6206" spans="1:2" x14ac:dyDescent="0.25">
      <c r="A6206" t="s">
        <v>6232</v>
      </c>
      <c r="B6206" t="s">
        <v>13486</v>
      </c>
    </row>
    <row r="6207" spans="1:2" x14ac:dyDescent="0.25">
      <c r="A6207" t="s">
        <v>6233</v>
      </c>
      <c r="B6207" t="s">
        <v>13487</v>
      </c>
    </row>
    <row r="6208" spans="1:2" x14ac:dyDescent="0.25">
      <c r="A6208" t="s">
        <v>6234</v>
      </c>
      <c r="B6208" t="s">
        <v>13488</v>
      </c>
    </row>
    <row r="6209" spans="1:2" x14ac:dyDescent="0.25">
      <c r="A6209" t="s">
        <v>6235</v>
      </c>
      <c r="B6209" t="s">
        <v>13489</v>
      </c>
    </row>
    <row r="6210" spans="1:2" x14ac:dyDescent="0.25">
      <c r="A6210" t="s">
        <v>6236</v>
      </c>
      <c r="B6210" t="s">
        <v>13490</v>
      </c>
    </row>
    <row r="6211" spans="1:2" x14ac:dyDescent="0.25">
      <c r="A6211" t="s">
        <v>6237</v>
      </c>
      <c r="B6211" t="s">
        <v>13491</v>
      </c>
    </row>
    <row r="6212" spans="1:2" x14ac:dyDescent="0.25">
      <c r="A6212" t="s">
        <v>6238</v>
      </c>
      <c r="B6212" t="s">
        <v>13492</v>
      </c>
    </row>
    <row r="6213" spans="1:2" x14ac:dyDescent="0.25">
      <c r="A6213" t="s">
        <v>6239</v>
      </c>
      <c r="B6213" t="s">
        <v>13493</v>
      </c>
    </row>
    <row r="6214" spans="1:2" x14ac:dyDescent="0.25">
      <c r="A6214" t="s">
        <v>6240</v>
      </c>
      <c r="B6214" t="s">
        <v>13494</v>
      </c>
    </row>
    <row r="6215" spans="1:2" x14ac:dyDescent="0.25">
      <c r="A6215" t="s">
        <v>6241</v>
      </c>
      <c r="B6215" t="s">
        <v>13495</v>
      </c>
    </row>
    <row r="6216" spans="1:2" x14ac:dyDescent="0.25">
      <c r="A6216" t="s">
        <v>6242</v>
      </c>
      <c r="B6216" t="s">
        <v>13496</v>
      </c>
    </row>
    <row r="6217" spans="1:2" x14ac:dyDescent="0.25">
      <c r="A6217" t="s">
        <v>6243</v>
      </c>
      <c r="B6217" t="s">
        <v>13497</v>
      </c>
    </row>
    <row r="6218" spans="1:2" x14ac:dyDescent="0.25">
      <c r="A6218" t="s">
        <v>6244</v>
      </c>
      <c r="B6218" t="s">
        <v>13498</v>
      </c>
    </row>
    <row r="6219" spans="1:2" x14ac:dyDescent="0.25">
      <c r="A6219" t="s">
        <v>6245</v>
      </c>
      <c r="B6219" t="s">
        <v>13499</v>
      </c>
    </row>
    <row r="6220" spans="1:2" x14ac:dyDescent="0.25">
      <c r="A6220" t="s">
        <v>6246</v>
      </c>
      <c r="B6220" t="s">
        <v>13500</v>
      </c>
    </row>
    <row r="6221" spans="1:2" x14ac:dyDescent="0.25">
      <c r="A6221" t="s">
        <v>6247</v>
      </c>
      <c r="B6221" t="s">
        <v>13501</v>
      </c>
    </row>
    <row r="6222" spans="1:2" x14ac:dyDescent="0.25">
      <c r="A6222" t="s">
        <v>6248</v>
      </c>
      <c r="B6222" t="s">
        <v>13502</v>
      </c>
    </row>
    <row r="6223" spans="1:2" x14ac:dyDescent="0.25">
      <c r="A6223" t="s">
        <v>6249</v>
      </c>
      <c r="B6223" t="s">
        <v>13503</v>
      </c>
    </row>
    <row r="6224" spans="1:2" x14ac:dyDescent="0.25">
      <c r="A6224" t="s">
        <v>6250</v>
      </c>
      <c r="B6224" t="s">
        <v>13504</v>
      </c>
    </row>
    <row r="6225" spans="1:2" x14ac:dyDescent="0.25">
      <c r="A6225" t="s">
        <v>6251</v>
      </c>
      <c r="B6225" t="s">
        <v>13505</v>
      </c>
    </row>
    <row r="6226" spans="1:2" x14ac:dyDescent="0.25">
      <c r="A6226" t="s">
        <v>6252</v>
      </c>
      <c r="B6226" t="s">
        <v>13506</v>
      </c>
    </row>
    <row r="6227" spans="1:2" x14ac:dyDescent="0.25">
      <c r="A6227" t="s">
        <v>6253</v>
      </c>
      <c r="B6227" t="s">
        <v>13507</v>
      </c>
    </row>
    <row r="6228" spans="1:2" x14ac:dyDescent="0.25">
      <c r="A6228" t="s">
        <v>6254</v>
      </c>
      <c r="B6228" t="s">
        <v>13508</v>
      </c>
    </row>
    <row r="6229" spans="1:2" x14ac:dyDescent="0.25">
      <c r="A6229" t="s">
        <v>6255</v>
      </c>
      <c r="B6229" t="s">
        <v>13509</v>
      </c>
    </row>
    <row r="6230" spans="1:2" x14ac:dyDescent="0.25">
      <c r="A6230" t="s">
        <v>6256</v>
      </c>
      <c r="B6230" t="s">
        <v>13510</v>
      </c>
    </row>
    <row r="6231" spans="1:2" x14ac:dyDescent="0.25">
      <c r="A6231" t="s">
        <v>6257</v>
      </c>
      <c r="B6231" t="s">
        <v>13511</v>
      </c>
    </row>
    <row r="6232" spans="1:2" x14ac:dyDescent="0.25">
      <c r="A6232" t="s">
        <v>6258</v>
      </c>
      <c r="B6232" t="s">
        <v>13512</v>
      </c>
    </row>
    <row r="6233" spans="1:2" x14ac:dyDescent="0.25">
      <c r="A6233" t="s">
        <v>6259</v>
      </c>
      <c r="B6233" t="s">
        <v>13513</v>
      </c>
    </row>
    <row r="6234" spans="1:2" x14ac:dyDescent="0.25">
      <c r="A6234" t="s">
        <v>6260</v>
      </c>
      <c r="B6234" t="s">
        <v>13514</v>
      </c>
    </row>
    <row r="6235" spans="1:2" x14ac:dyDescent="0.25">
      <c r="A6235" t="s">
        <v>6261</v>
      </c>
      <c r="B6235" t="s">
        <v>13515</v>
      </c>
    </row>
    <row r="6236" spans="1:2" x14ac:dyDescent="0.25">
      <c r="A6236" t="s">
        <v>6262</v>
      </c>
      <c r="B6236" t="s">
        <v>13516</v>
      </c>
    </row>
    <row r="6237" spans="1:2" x14ac:dyDescent="0.25">
      <c r="A6237" t="s">
        <v>6263</v>
      </c>
      <c r="B6237" t="s">
        <v>13517</v>
      </c>
    </row>
    <row r="6238" spans="1:2" x14ac:dyDescent="0.25">
      <c r="A6238" t="s">
        <v>6264</v>
      </c>
      <c r="B6238" t="s">
        <v>13518</v>
      </c>
    </row>
    <row r="6239" spans="1:2" x14ac:dyDescent="0.25">
      <c r="A6239" t="s">
        <v>6265</v>
      </c>
      <c r="B6239" t="s">
        <v>13519</v>
      </c>
    </row>
    <row r="6240" spans="1:2" x14ac:dyDescent="0.25">
      <c r="A6240" t="s">
        <v>6266</v>
      </c>
      <c r="B6240" t="s">
        <v>13520</v>
      </c>
    </row>
    <row r="6241" spans="1:2" x14ac:dyDescent="0.25">
      <c r="A6241" t="s">
        <v>6267</v>
      </c>
      <c r="B6241" t="s">
        <v>13521</v>
      </c>
    </row>
    <row r="6242" spans="1:2" x14ac:dyDescent="0.25">
      <c r="A6242" t="s">
        <v>6268</v>
      </c>
      <c r="B6242" t="s">
        <v>13522</v>
      </c>
    </row>
    <row r="6243" spans="1:2" x14ac:dyDescent="0.25">
      <c r="A6243" t="s">
        <v>6269</v>
      </c>
      <c r="B6243" t="s">
        <v>13523</v>
      </c>
    </row>
    <row r="6244" spans="1:2" x14ac:dyDescent="0.25">
      <c r="A6244" t="s">
        <v>6270</v>
      </c>
      <c r="B6244" t="s">
        <v>13524</v>
      </c>
    </row>
    <row r="6245" spans="1:2" x14ac:dyDescent="0.25">
      <c r="A6245" t="s">
        <v>6271</v>
      </c>
      <c r="B6245" t="s">
        <v>13525</v>
      </c>
    </row>
    <row r="6246" spans="1:2" x14ac:dyDescent="0.25">
      <c r="A6246" t="s">
        <v>6272</v>
      </c>
      <c r="B6246" t="s">
        <v>13526</v>
      </c>
    </row>
    <row r="6247" spans="1:2" x14ac:dyDescent="0.25">
      <c r="A6247" t="s">
        <v>6273</v>
      </c>
      <c r="B6247" t="s">
        <v>13527</v>
      </c>
    </row>
    <row r="6248" spans="1:2" x14ac:dyDescent="0.25">
      <c r="A6248" t="s">
        <v>6274</v>
      </c>
      <c r="B6248" t="s">
        <v>13528</v>
      </c>
    </row>
    <row r="6249" spans="1:2" x14ac:dyDescent="0.25">
      <c r="A6249" t="s">
        <v>6275</v>
      </c>
      <c r="B6249" t="s">
        <v>13529</v>
      </c>
    </row>
    <row r="6250" spans="1:2" x14ac:dyDescent="0.25">
      <c r="A6250" t="s">
        <v>6276</v>
      </c>
      <c r="B6250" t="s">
        <v>13530</v>
      </c>
    </row>
    <row r="6251" spans="1:2" x14ac:dyDescent="0.25">
      <c r="A6251" t="s">
        <v>6277</v>
      </c>
      <c r="B6251" t="s">
        <v>13531</v>
      </c>
    </row>
    <row r="6252" spans="1:2" x14ac:dyDescent="0.25">
      <c r="A6252" t="s">
        <v>6278</v>
      </c>
      <c r="B6252" t="s">
        <v>13532</v>
      </c>
    </row>
    <row r="6253" spans="1:2" x14ac:dyDescent="0.25">
      <c r="A6253" t="s">
        <v>6279</v>
      </c>
      <c r="B6253" t="s">
        <v>13533</v>
      </c>
    </row>
    <row r="6254" spans="1:2" x14ac:dyDescent="0.25">
      <c r="A6254" t="s">
        <v>6280</v>
      </c>
      <c r="B6254" t="s">
        <v>13534</v>
      </c>
    </row>
    <row r="6255" spans="1:2" x14ac:dyDescent="0.25">
      <c r="A6255" t="s">
        <v>6281</v>
      </c>
      <c r="B6255" t="s">
        <v>13535</v>
      </c>
    </row>
    <row r="6256" spans="1:2" x14ac:dyDescent="0.25">
      <c r="A6256" t="s">
        <v>6282</v>
      </c>
      <c r="B6256" t="s">
        <v>13536</v>
      </c>
    </row>
    <row r="6257" spans="1:2" x14ac:dyDescent="0.25">
      <c r="A6257" t="s">
        <v>6283</v>
      </c>
      <c r="B6257" t="s">
        <v>13537</v>
      </c>
    </row>
    <row r="6258" spans="1:2" x14ac:dyDescent="0.25">
      <c r="A6258" t="s">
        <v>6284</v>
      </c>
      <c r="B6258" t="s">
        <v>13538</v>
      </c>
    </row>
    <row r="6259" spans="1:2" x14ac:dyDescent="0.25">
      <c r="A6259" t="s">
        <v>6285</v>
      </c>
      <c r="B6259" t="s">
        <v>13539</v>
      </c>
    </row>
    <row r="6260" spans="1:2" x14ac:dyDescent="0.25">
      <c r="A6260" t="s">
        <v>6286</v>
      </c>
      <c r="B6260" t="s">
        <v>13540</v>
      </c>
    </row>
    <row r="6261" spans="1:2" x14ac:dyDescent="0.25">
      <c r="A6261" t="s">
        <v>6287</v>
      </c>
      <c r="B6261" t="s">
        <v>13541</v>
      </c>
    </row>
    <row r="6262" spans="1:2" x14ac:dyDescent="0.25">
      <c r="A6262" t="s">
        <v>6288</v>
      </c>
      <c r="B6262" t="s">
        <v>13542</v>
      </c>
    </row>
    <row r="6263" spans="1:2" x14ac:dyDescent="0.25">
      <c r="A6263" t="s">
        <v>6289</v>
      </c>
      <c r="B6263" t="s">
        <v>13543</v>
      </c>
    </row>
    <row r="6264" spans="1:2" x14ac:dyDescent="0.25">
      <c r="A6264" t="s">
        <v>6290</v>
      </c>
      <c r="B6264" t="s">
        <v>13544</v>
      </c>
    </row>
    <row r="6265" spans="1:2" x14ac:dyDescent="0.25">
      <c r="A6265" t="s">
        <v>6291</v>
      </c>
      <c r="B6265" t="s">
        <v>13545</v>
      </c>
    </row>
    <row r="6266" spans="1:2" x14ac:dyDescent="0.25">
      <c r="A6266" t="s">
        <v>6292</v>
      </c>
      <c r="B6266" t="s">
        <v>13546</v>
      </c>
    </row>
    <row r="6267" spans="1:2" x14ac:dyDescent="0.25">
      <c r="A6267" t="s">
        <v>6293</v>
      </c>
      <c r="B6267" t="s">
        <v>13547</v>
      </c>
    </row>
    <row r="6268" spans="1:2" x14ac:dyDescent="0.25">
      <c r="A6268" t="s">
        <v>6294</v>
      </c>
      <c r="B6268" t="s">
        <v>13548</v>
      </c>
    </row>
    <row r="6269" spans="1:2" x14ac:dyDescent="0.25">
      <c r="A6269" t="s">
        <v>6295</v>
      </c>
      <c r="B6269" t="s">
        <v>13549</v>
      </c>
    </row>
    <row r="6270" spans="1:2" x14ac:dyDescent="0.25">
      <c r="A6270" t="s">
        <v>6296</v>
      </c>
      <c r="B6270" t="s">
        <v>13550</v>
      </c>
    </row>
    <row r="6271" spans="1:2" x14ac:dyDescent="0.25">
      <c r="A6271" t="s">
        <v>6297</v>
      </c>
      <c r="B6271" t="s">
        <v>13551</v>
      </c>
    </row>
    <row r="6272" spans="1:2" x14ac:dyDescent="0.25">
      <c r="A6272" t="s">
        <v>6298</v>
      </c>
      <c r="B6272" t="s">
        <v>13552</v>
      </c>
    </row>
    <row r="6273" spans="1:2" x14ac:dyDescent="0.25">
      <c r="A6273" t="s">
        <v>6299</v>
      </c>
      <c r="B6273" t="s">
        <v>13553</v>
      </c>
    </row>
    <row r="6274" spans="1:2" x14ac:dyDescent="0.25">
      <c r="A6274" t="s">
        <v>6300</v>
      </c>
      <c r="B6274" t="s">
        <v>13554</v>
      </c>
    </row>
    <row r="6275" spans="1:2" x14ac:dyDescent="0.25">
      <c r="A6275" t="s">
        <v>6301</v>
      </c>
      <c r="B6275" t="s">
        <v>13555</v>
      </c>
    </row>
    <row r="6276" spans="1:2" x14ac:dyDescent="0.25">
      <c r="A6276" t="s">
        <v>6302</v>
      </c>
      <c r="B6276" t="s">
        <v>13556</v>
      </c>
    </row>
    <row r="6277" spans="1:2" x14ac:dyDescent="0.25">
      <c r="A6277" t="s">
        <v>6303</v>
      </c>
      <c r="B6277" t="s">
        <v>13557</v>
      </c>
    </row>
    <row r="6278" spans="1:2" x14ac:dyDescent="0.25">
      <c r="A6278" t="s">
        <v>6304</v>
      </c>
      <c r="B6278" t="s">
        <v>13558</v>
      </c>
    </row>
    <row r="6279" spans="1:2" x14ac:dyDescent="0.25">
      <c r="A6279" t="s">
        <v>6305</v>
      </c>
      <c r="B6279" t="s">
        <v>13559</v>
      </c>
    </row>
    <row r="6280" spans="1:2" x14ac:dyDescent="0.25">
      <c r="A6280" t="s">
        <v>6306</v>
      </c>
      <c r="B6280" t="s">
        <v>13560</v>
      </c>
    </row>
    <row r="6281" spans="1:2" x14ac:dyDescent="0.25">
      <c r="A6281" t="s">
        <v>6307</v>
      </c>
      <c r="B6281" t="s">
        <v>13561</v>
      </c>
    </row>
    <row r="6282" spans="1:2" x14ac:dyDescent="0.25">
      <c r="A6282" t="s">
        <v>6308</v>
      </c>
      <c r="B6282" t="s">
        <v>13562</v>
      </c>
    </row>
    <row r="6283" spans="1:2" x14ac:dyDescent="0.25">
      <c r="A6283" t="s">
        <v>6309</v>
      </c>
      <c r="B6283" t="s">
        <v>13563</v>
      </c>
    </row>
    <row r="6284" spans="1:2" x14ac:dyDescent="0.25">
      <c r="A6284" t="s">
        <v>6310</v>
      </c>
      <c r="B6284" t="s">
        <v>13564</v>
      </c>
    </row>
    <row r="6285" spans="1:2" x14ac:dyDescent="0.25">
      <c r="A6285" t="s">
        <v>6311</v>
      </c>
      <c r="B6285" t="s">
        <v>13565</v>
      </c>
    </row>
    <row r="6286" spans="1:2" x14ac:dyDescent="0.25">
      <c r="A6286" t="s">
        <v>6312</v>
      </c>
      <c r="B6286" t="s">
        <v>13566</v>
      </c>
    </row>
    <row r="6287" spans="1:2" x14ac:dyDescent="0.25">
      <c r="A6287" t="s">
        <v>6313</v>
      </c>
      <c r="B6287" t="s">
        <v>13567</v>
      </c>
    </row>
    <row r="6288" spans="1:2" x14ac:dyDescent="0.25">
      <c r="A6288" t="s">
        <v>6314</v>
      </c>
      <c r="B6288" t="s">
        <v>13568</v>
      </c>
    </row>
    <row r="6289" spans="1:2" x14ac:dyDescent="0.25">
      <c r="A6289" t="s">
        <v>6315</v>
      </c>
      <c r="B6289" t="s">
        <v>13569</v>
      </c>
    </row>
    <row r="6290" spans="1:2" x14ac:dyDescent="0.25">
      <c r="A6290" t="s">
        <v>6316</v>
      </c>
      <c r="B6290" t="s">
        <v>13570</v>
      </c>
    </row>
    <row r="6291" spans="1:2" x14ac:dyDescent="0.25">
      <c r="A6291" t="s">
        <v>6317</v>
      </c>
      <c r="B6291" t="s">
        <v>13571</v>
      </c>
    </row>
    <row r="6292" spans="1:2" x14ac:dyDescent="0.25">
      <c r="A6292" t="s">
        <v>6318</v>
      </c>
      <c r="B6292" t="s">
        <v>13572</v>
      </c>
    </row>
    <row r="6293" spans="1:2" x14ac:dyDescent="0.25">
      <c r="A6293" t="s">
        <v>6319</v>
      </c>
      <c r="B6293" t="s">
        <v>13573</v>
      </c>
    </row>
    <row r="6294" spans="1:2" x14ac:dyDescent="0.25">
      <c r="A6294" t="s">
        <v>6320</v>
      </c>
      <c r="B6294" t="s">
        <v>13574</v>
      </c>
    </row>
    <row r="6295" spans="1:2" x14ac:dyDescent="0.25">
      <c r="A6295" t="s">
        <v>6321</v>
      </c>
      <c r="B6295" t="s">
        <v>13575</v>
      </c>
    </row>
    <row r="6296" spans="1:2" x14ac:dyDescent="0.25">
      <c r="A6296" t="s">
        <v>6322</v>
      </c>
      <c r="B6296" t="s">
        <v>13576</v>
      </c>
    </row>
    <row r="6297" spans="1:2" x14ac:dyDescent="0.25">
      <c r="A6297" t="s">
        <v>6323</v>
      </c>
      <c r="B6297" t="s">
        <v>13577</v>
      </c>
    </row>
    <row r="6298" spans="1:2" x14ac:dyDescent="0.25">
      <c r="A6298" t="s">
        <v>6324</v>
      </c>
      <c r="B6298" t="s">
        <v>13578</v>
      </c>
    </row>
    <row r="6299" spans="1:2" x14ac:dyDescent="0.25">
      <c r="A6299" t="s">
        <v>6325</v>
      </c>
      <c r="B6299" t="s">
        <v>13579</v>
      </c>
    </row>
    <row r="6300" spans="1:2" x14ac:dyDescent="0.25">
      <c r="A6300" t="s">
        <v>6326</v>
      </c>
      <c r="B6300" t="s">
        <v>13580</v>
      </c>
    </row>
    <row r="6301" spans="1:2" x14ac:dyDescent="0.25">
      <c r="A6301" t="s">
        <v>6327</v>
      </c>
      <c r="B6301" t="s">
        <v>13581</v>
      </c>
    </row>
    <row r="6302" spans="1:2" x14ac:dyDescent="0.25">
      <c r="A6302" t="s">
        <v>6328</v>
      </c>
      <c r="B6302" t="s">
        <v>13582</v>
      </c>
    </row>
    <row r="6303" spans="1:2" x14ac:dyDescent="0.25">
      <c r="A6303" t="s">
        <v>6329</v>
      </c>
      <c r="B6303" t="s">
        <v>13583</v>
      </c>
    </row>
    <row r="6304" spans="1:2" x14ac:dyDescent="0.25">
      <c r="A6304" t="s">
        <v>6330</v>
      </c>
      <c r="B6304" t="s">
        <v>13584</v>
      </c>
    </row>
    <row r="6305" spans="1:2" x14ac:dyDescent="0.25">
      <c r="A6305" t="s">
        <v>6331</v>
      </c>
      <c r="B6305" t="s">
        <v>13585</v>
      </c>
    </row>
    <row r="6306" spans="1:2" x14ac:dyDescent="0.25">
      <c r="A6306" t="s">
        <v>6332</v>
      </c>
      <c r="B6306" t="s">
        <v>13586</v>
      </c>
    </row>
    <row r="6307" spans="1:2" x14ac:dyDescent="0.25">
      <c r="A6307" t="s">
        <v>6333</v>
      </c>
      <c r="B6307" t="s">
        <v>13587</v>
      </c>
    </row>
    <row r="6308" spans="1:2" x14ac:dyDescent="0.25">
      <c r="A6308" t="s">
        <v>6334</v>
      </c>
      <c r="B6308" t="s">
        <v>13588</v>
      </c>
    </row>
    <row r="6309" spans="1:2" x14ac:dyDescent="0.25">
      <c r="A6309" t="s">
        <v>6335</v>
      </c>
      <c r="B6309" t="s">
        <v>13589</v>
      </c>
    </row>
    <row r="6310" spans="1:2" x14ac:dyDescent="0.25">
      <c r="A6310" t="s">
        <v>6336</v>
      </c>
      <c r="B6310" t="s">
        <v>13590</v>
      </c>
    </row>
    <row r="6311" spans="1:2" x14ac:dyDescent="0.25">
      <c r="A6311" t="s">
        <v>6337</v>
      </c>
      <c r="B6311" t="s">
        <v>13591</v>
      </c>
    </row>
    <row r="6312" spans="1:2" x14ac:dyDescent="0.25">
      <c r="A6312" t="s">
        <v>6338</v>
      </c>
      <c r="B6312" t="s">
        <v>13592</v>
      </c>
    </row>
    <row r="6313" spans="1:2" x14ac:dyDescent="0.25">
      <c r="A6313" t="s">
        <v>6339</v>
      </c>
      <c r="B6313" t="s">
        <v>13593</v>
      </c>
    </row>
    <row r="6314" spans="1:2" x14ac:dyDescent="0.25">
      <c r="A6314" t="s">
        <v>6340</v>
      </c>
      <c r="B6314" t="s">
        <v>13594</v>
      </c>
    </row>
    <row r="6315" spans="1:2" x14ac:dyDescent="0.25">
      <c r="A6315" t="s">
        <v>6341</v>
      </c>
      <c r="B6315" t="s">
        <v>13595</v>
      </c>
    </row>
    <row r="6316" spans="1:2" x14ac:dyDescent="0.25">
      <c r="A6316" t="s">
        <v>6342</v>
      </c>
      <c r="B6316" t="s">
        <v>13596</v>
      </c>
    </row>
    <row r="6317" spans="1:2" x14ac:dyDescent="0.25">
      <c r="A6317" t="s">
        <v>6343</v>
      </c>
      <c r="B6317" t="s">
        <v>13597</v>
      </c>
    </row>
    <row r="6318" spans="1:2" x14ac:dyDescent="0.25">
      <c r="A6318" t="s">
        <v>6344</v>
      </c>
      <c r="B6318" t="s">
        <v>13598</v>
      </c>
    </row>
    <row r="6319" spans="1:2" x14ac:dyDescent="0.25">
      <c r="A6319" t="s">
        <v>6345</v>
      </c>
      <c r="B6319" t="s">
        <v>13599</v>
      </c>
    </row>
    <row r="6320" spans="1:2" x14ac:dyDescent="0.25">
      <c r="A6320" t="s">
        <v>6346</v>
      </c>
      <c r="B6320" t="s">
        <v>13600</v>
      </c>
    </row>
    <row r="6321" spans="1:2" x14ac:dyDescent="0.25">
      <c r="A6321" t="s">
        <v>6347</v>
      </c>
      <c r="B6321" t="s">
        <v>13601</v>
      </c>
    </row>
    <row r="6322" spans="1:2" x14ac:dyDescent="0.25">
      <c r="A6322" t="s">
        <v>6348</v>
      </c>
      <c r="B6322" t="s">
        <v>13602</v>
      </c>
    </row>
    <row r="6323" spans="1:2" x14ac:dyDescent="0.25">
      <c r="A6323" t="s">
        <v>6349</v>
      </c>
      <c r="B6323" t="s">
        <v>13603</v>
      </c>
    </row>
    <row r="6324" spans="1:2" x14ac:dyDescent="0.25">
      <c r="A6324" t="s">
        <v>6350</v>
      </c>
      <c r="B6324" t="s">
        <v>13604</v>
      </c>
    </row>
    <row r="6325" spans="1:2" x14ac:dyDescent="0.25">
      <c r="A6325" t="s">
        <v>6351</v>
      </c>
      <c r="B6325" t="s">
        <v>13605</v>
      </c>
    </row>
    <row r="6326" spans="1:2" x14ac:dyDescent="0.25">
      <c r="A6326" t="s">
        <v>6352</v>
      </c>
      <c r="B6326" t="s">
        <v>13606</v>
      </c>
    </row>
    <row r="6327" spans="1:2" x14ac:dyDescent="0.25">
      <c r="A6327" t="s">
        <v>6353</v>
      </c>
      <c r="B6327" t="s">
        <v>13607</v>
      </c>
    </row>
    <row r="6328" spans="1:2" x14ac:dyDescent="0.25">
      <c r="A6328" t="s">
        <v>6354</v>
      </c>
      <c r="B6328" t="s">
        <v>13608</v>
      </c>
    </row>
    <row r="6329" spans="1:2" x14ac:dyDescent="0.25">
      <c r="A6329" t="s">
        <v>6355</v>
      </c>
      <c r="B6329" t="s">
        <v>13609</v>
      </c>
    </row>
    <row r="6330" spans="1:2" x14ac:dyDescent="0.25">
      <c r="A6330" t="s">
        <v>6356</v>
      </c>
      <c r="B6330" t="s">
        <v>13610</v>
      </c>
    </row>
    <row r="6331" spans="1:2" x14ac:dyDescent="0.25">
      <c r="A6331" t="s">
        <v>6357</v>
      </c>
      <c r="B6331" t="s">
        <v>13611</v>
      </c>
    </row>
    <row r="6332" spans="1:2" x14ac:dyDescent="0.25">
      <c r="A6332" t="s">
        <v>6358</v>
      </c>
      <c r="B6332" t="s">
        <v>13612</v>
      </c>
    </row>
    <row r="6333" spans="1:2" x14ac:dyDescent="0.25">
      <c r="A6333" t="s">
        <v>6359</v>
      </c>
      <c r="B6333" t="s">
        <v>13613</v>
      </c>
    </row>
    <row r="6334" spans="1:2" x14ac:dyDescent="0.25">
      <c r="A6334" t="s">
        <v>6360</v>
      </c>
      <c r="B6334" t="s">
        <v>13614</v>
      </c>
    </row>
    <row r="6335" spans="1:2" x14ac:dyDescent="0.25">
      <c r="A6335" t="s">
        <v>6361</v>
      </c>
      <c r="B6335" t="s">
        <v>13615</v>
      </c>
    </row>
    <row r="6336" spans="1:2" x14ac:dyDescent="0.25">
      <c r="A6336" t="s">
        <v>6362</v>
      </c>
      <c r="B6336" t="s">
        <v>13616</v>
      </c>
    </row>
    <row r="6337" spans="1:2" x14ac:dyDescent="0.25">
      <c r="A6337" t="s">
        <v>6363</v>
      </c>
      <c r="B6337" t="s">
        <v>13617</v>
      </c>
    </row>
    <row r="6338" spans="1:2" x14ac:dyDescent="0.25">
      <c r="A6338" t="s">
        <v>6364</v>
      </c>
      <c r="B6338" t="s">
        <v>13618</v>
      </c>
    </row>
    <row r="6339" spans="1:2" x14ac:dyDescent="0.25">
      <c r="A6339" t="s">
        <v>6365</v>
      </c>
      <c r="B6339" t="s">
        <v>13619</v>
      </c>
    </row>
    <row r="6340" spans="1:2" x14ac:dyDescent="0.25">
      <c r="A6340" t="s">
        <v>6366</v>
      </c>
      <c r="B6340" t="s">
        <v>13620</v>
      </c>
    </row>
    <row r="6341" spans="1:2" x14ac:dyDescent="0.25">
      <c r="A6341" t="s">
        <v>6367</v>
      </c>
      <c r="B6341" t="s">
        <v>13621</v>
      </c>
    </row>
    <row r="6342" spans="1:2" x14ac:dyDescent="0.25">
      <c r="A6342" t="s">
        <v>6368</v>
      </c>
      <c r="B6342" t="s">
        <v>13622</v>
      </c>
    </row>
    <row r="6343" spans="1:2" x14ac:dyDescent="0.25">
      <c r="A6343" t="s">
        <v>6369</v>
      </c>
      <c r="B6343" t="s">
        <v>13623</v>
      </c>
    </row>
    <row r="6344" spans="1:2" x14ac:dyDescent="0.25">
      <c r="A6344" t="s">
        <v>6370</v>
      </c>
      <c r="B6344" t="s">
        <v>13624</v>
      </c>
    </row>
    <row r="6345" spans="1:2" x14ac:dyDescent="0.25">
      <c r="A6345" t="s">
        <v>6371</v>
      </c>
      <c r="B6345" t="s">
        <v>13625</v>
      </c>
    </row>
    <row r="6346" spans="1:2" x14ac:dyDescent="0.25">
      <c r="A6346" t="s">
        <v>6372</v>
      </c>
      <c r="B6346" t="s">
        <v>13626</v>
      </c>
    </row>
    <row r="6347" spans="1:2" x14ac:dyDescent="0.25">
      <c r="A6347" t="s">
        <v>6373</v>
      </c>
      <c r="B6347" t="s">
        <v>13627</v>
      </c>
    </row>
    <row r="6348" spans="1:2" x14ac:dyDescent="0.25">
      <c r="A6348" t="s">
        <v>6374</v>
      </c>
      <c r="B6348" t="s">
        <v>13628</v>
      </c>
    </row>
    <row r="6349" spans="1:2" x14ac:dyDescent="0.25">
      <c r="A6349" t="s">
        <v>6375</v>
      </c>
      <c r="B6349" t="s">
        <v>13629</v>
      </c>
    </row>
    <row r="6350" spans="1:2" x14ac:dyDescent="0.25">
      <c r="A6350" t="s">
        <v>6376</v>
      </c>
      <c r="B6350" t="s">
        <v>13630</v>
      </c>
    </row>
    <row r="6351" spans="1:2" x14ac:dyDescent="0.25">
      <c r="A6351" t="s">
        <v>6377</v>
      </c>
      <c r="B6351" t="s">
        <v>13631</v>
      </c>
    </row>
    <row r="6352" spans="1:2" x14ac:dyDescent="0.25">
      <c r="A6352" t="s">
        <v>6378</v>
      </c>
      <c r="B6352" t="s">
        <v>13632</v>
      </c>
    </row>
    <row r="6353" spans="1:2" x14ac:dyDescent="0.25">
      <c r="A6353" t="s">
        <v>6379</v>
      </c>
      <c r="B6353" t="s">
        <v>13633</v>
      </c>
    </row>
    <row r="6354" spans="1:2" x14ac:dyDescent="0.25">
      <c r="A6354" t="s">
        <v>6380</v>
      </c>
      <c r="B6354" t="s">
        <v>13634</v>
      </c>
    </row>
    <row r="6355" spans="1:2" x14ac:dyDescent="0.25">
      <c r="A6355" t="s">
        <v>6381</v>
      </c>
      <c r="B6355" t="s">
        <v>13635</v>
      </c>
    </row>
    <row r="6356" spans="1:2" x14ac:dyDescent="0.25">
      <c r="A6356" t="s">
        <v>6382</v>
      </c>
      <c r="B6356" t="s">
        <v>13636</v>
      </c>
    </row>
    <row r="6357" spans="1:2" x14ac:dyDescent="0.25">
      <c r="A6357" t="s">
        <v>6383</v>
      </c>
      <c r="B6357" t="s">
        <v>13637</v>
      </c>
    </row>
    <row r="6358" spans="1:2" x14ac:dyDescent="0.25">
      <c r="A6358" t="s">
        <v>6384</v>
      </c>
      <c r="B6358" t="s">
        <v>13638</v>
      </c>
    </row>
    <row r="6359" spans="1:2" x14ac:dyDescent="0.25">
      <c r="A6359" t="s">
        <v>6385</v>
      </c>
      <c r="B6359" t="s">
        <v>13639</v>
      </c>
    </row>
    <row r="6360" spans="1:2" x14ac:dyDescent="0.25">
      <c r="A6360" t="s">
        <v>6386</v>
      </c>
      <c r="B6360" t="s">
        <v>13640</v>
      </c>
    </row>
    <row r="6361" spans="1:2" x14ac:dyDescent="0.25">
      <c r="A6361" t="s">
        <v>6387</v>
      </c>
      <c r="B6361" t="s">
        <v>13641</v>
      </c>
    </row>
    <row r="6362" spans="1:2" x14ac:dyDescent="0.25">
      <c r="A6362" t="s">
        <v>6388</v>
      </c>
      <c r="B6362" t="s">
        <v>13642</v>
      </c>
    </row>
    <row r="6363" spans="1:2" x14ac:dyDescent="0.25">
      <c r="A6363" t="s">
        <v>6389</v>
      </c>
      <c r="B6363" t="s">
        <v>13643</v>
      </c>
    </row>
    <row r="6364" spans="1:2" x14ac:dyDescent="0.25">
      <c r="A6364" t="s">
        <v>6390</v>
      </c>
      <c r="B6364" t="s">
        <v>13644</v>
      </c>
    </row>
    <row r="6365" spans="1:2" x14ac:dyDescent="0.25">
      <c r="A6365" t="s">
        <v>6391</v>
      </c>
      <c r="B6365" t="s">
        <v>13645</v>
      </c>
    </row>
    <row r="6366" spans="1:2" x14ac:dyDescent="0.25">
      <c r="A6366" t="s">
        <v>6392</v>
      </c>
      <c r="B6366" t="s">
        <v>13646</v>
      </c>
    </row>
    <row r="6367" spans="1:2" x14ac:dyDescent="0.25">
      <c r="A6367" t="s">
        <v>6393</v>
      </c>
      <c r="B6367" t="s">
        <v>13647</v>
      </c>
    </row>
    <row r="6368" spans="1:2" x14ac:dyDescent="0.25">
      <c r="A6368" t="s">
        <v>6394</v>
      </c>
      <c r="B6368" t="s">
        <v>13648</v>
      </c>
    </row>
    <row r="6369" spans="1:2" x14ac:dyDescent="0.25">
      <c r="A6369" t="s">
        <v>6395</v>
      </c>
      <c r="B6369" t="s">
        <v>13649</v>
      </c>
    </row>
    <row r="6370" spans="1:2" x14ac:dyDescent="0.25">
      <c r="A6370" t="s">
        <v>6396</v>
      </c>
      <c r="B6370" t="s">
        <v>13650</v>
      </c>
    </row>
    <row r="6371" spans="1:2" x14ac:dyDescent="0.25">
      <c r="A6371" t="s">
        <v>6397</v>
      </c>
      <c r="B6371" t="s">
        <v>13651</v>
      </c>
    </row>
    <row r="6372" spans="1:2" x14ac:dyDescent="0.25">
      <c r="A6372" t="s">
        <v>6398</v>
      </c>
      <c r="B6372" t="s">
        <v>13652</v>
      </c>
    </row>
    <row r="6373" spans="1:2" x14ac:dyDescent="0.25">
      <c r="A6373" t="s">
        <v>6399</v>
      </c>
      <c r="B6373" t="s">
        <v>13653</v>
      </c>
    </row>
    <row r="6374" spans="1:2" x14ac:dyDescent="0.25">
      <c r="A6374" t="s">
        <v>6400</v>
      </c>
      <c r="B6374" t="s">
        <v>13654</v>
      </c>
    </row>
    <row r="6375" spans="1:2" x14ac:dyDescent="0.25">
      <c r="A6375" t="s">
        <v>6401</v>
      </c>
      <c r="B6375" t="s">
        <v>13655</v>
      </c>
    </row>
    <row r="6376" spans="1:2" x14ac:dyDescent="0.25">
      <c r="A6376" t="s">
        <v>6402</v>
      </c>
      <c r="B6376" t="s">
        <v>13656</v>
      </c>
    </row>
    <row r="6377" spans="1:2" x14ac:dyDescent="0.25">
      <c r="A6377" t="s">
        <v>6403</v>
      </c>
      <c r="B6377" t="s">
        <v>13657</v>
      </c>
    </row>
    <row r="6378" spans="1:2" x14ac:dyDescent="0.25">
      <c r="A6378" t="s">
        <v>6404</v>
      </c>
      <c r="B6378" t="s">
        <v>13658</v>
      </c>
    </row>
    <row r="6379" spans="1:2" x14ac:dyDescent="0.25">
      <c r="A6379" t="s">
        <v>6405</v>
      </c>
      <c r="B6379" t="s">
        <v>13659</v>
      </c>
    </row>
    <row r="6380" spans="1:2" x14ac:dyDescent="0.25">
      <c r="A6380" t="s">
        <v>6406</v>
      </c>
      <c r="B6380" t="s">
        <v>13660</v>
      </c>
    </row>
    <row r="6381" spans="1:2" x14ac:dyDescent="0.25">
      <c r="A6381" t="s">
        <v>6407</v>
      </c>
      <c r="B6381" t="s">
        <v>13661</v>
      </c>
    </row>
    <row r="6382" spans="1:2" x14ac:dyDescent="0.25">
      <c r="A6382" t="s">
        <v>6408</v>
      </c>
      <c r="B6382" t="s">
        <v>13662</v>
      </c>
    </row>
    <row r="6383" spans="1:2" x14ac:dyDescent="0.25">
      <c r="A6383" t="s">
        <v>6409</v>
      </c>
      <c r="B6383" t="s">
        <v>13663</v>
      </c>
    </row>
    <row r="6384" spans="1:2" x14ac:dyDescent="0.25">
      <c r="A6384" t="s">
        <v>6410</v>
      </c>
      <c r="B6384" t="s">
        <v>13664</v>
      </c>
    </row>
    <row r="6385" spans="1:2" x14ac:dyDescent="0.25">
      <c r="A6385" t="s">
        <v>6411</v>
      </c>
      <c r="B6385" t="s">
        <v>13665</v>
      </c>
    </row>
    <row r="6386" spans="1:2" x14ac:dyDescent="0.25">
      <c r="A6386" t="s">
        <v>6412</v>
      </c>
      <c r="B6386" t="s">
        <v>13666</v>
      </c>
    </row>
    <row r="6387" spans="1:2" x14ac:dyDescent="0.25">
      <c r="A6387" t="s">
        <v>6413</v>
      </c>
      <c r="B6387" t="s">
        <v>13667</v>
      </c>
    </row>
    <row r="6388" spans="1:2" x14ac:dyDescent="0.25">
      <c r="A6388" t="s">
        <v>6414</v>
      </c>
      <c r="B6388" t="s">
        <v>13668</v>
      </c>
    </row>
    <row r="6389" spans="1:2" x14ac:dyDescent="0.25">
      <c r="A6389" t="s">
        <v>6415</v>
      </c>
      <c r="B6389" t="s">
        <v>13669</v>
      </c>
    </row>
    <row r="6390" spans="1:2" x14ac:dyDescent="0.25">
      <c r="A6390" t="s">
        <v>6416</v>
      </c>
      <c r="B6390" t="s">
        <v>13670</v>
      </c>
    </row>
    <row r="6391" spans="1:2" x14ac:dyDescent="0.25">
      <c r="A6391" t="s">
        <v>6417</v>
      </c>
      <c r="B6391" t="s">
        <v>13671</v>
      </c>
    </row>
    <row r="6392" spans="1:2" x14ac:dyDescent="0.25">
      <c r="A6392" t="s">
        <v>6418</v>
      </c>
      <c r="B6392" t="s">
        <v>13672</v>
      </c>
    </row>
    <row r="6393" spans="1:2" x14ac:dyDescent="0.25">
      <c r="A6393" t="s">
        <v>6419</v>
      </c>
      <c r="B6393" t="s">
        <v>13673</v>
      </c>
    </row>
    <row r="6394" spans="1:2" x14ac:dyDescent="0.25">
      <c r="A6394" t="s">
        <v>6420</v>
      </c>
      <c r="B6394" t="s">
        <v>13674</v>
      </c>
    </row>
    <row r="6395" spans="1:2" x14ac:dyDescent="0.25">
      <c r="A6395" t="s">
        <v>6421</v>
      </c>
      <c r="B6395" t="s">
        <v>13675</v>
      </c>
    </row>
    <row r="6396" spans="1:2" x14ac:dyDescent="0.25">
      <c r="A6396" t="s">
        <v>6422</v>
      </c>
      <c r="B6396" t="s">
        <v>13676</v>
      </c>
    </row>
    <row r="6397" spans="1:2" x14ac:dyDescent="0.25">
      <c r="A6397" t="s">
        <v>6423</v>
      </c>
      <c r="B6397" t="s">
        <v>13677</v>
      </c>
    </row>
    <row r="6398" spans="1:2" x14ac:dyDescent="0.25">
      <c r="A6398" t="s">
        <v>6424</v>
      </c>
      <c r="B6398" t="s">
        <v>13678</v>
      </c>
    </row>
    <row r="6399" spans="1:2" x14ac:dyDescent="0.25">
      <c r="A6399" t="s">
        <v>6425</v>
      </c>
      <c r="B6399" t="s">
        <v>13679</v>
      </c>
    </row>
    <row r="6400" spans="1:2" x14ac:dyDescent="0.25">
      <c r="A6400" t="s">
        <v>6426</v>
      </c>
      <c r="B6400" t="s">
        <v>13680</v>
      </c>
    </row>
    <row r="6401" spans="1:2" x14ac:dyDescent="0.25">
      <c r="A6401" t="s">
        <v>6427</v>
      </c>
      <c r="B6401" t="s">
        <v>13681</v>
      </c>
    </row>
    <row r="6402" spans="1:2" x14ac:dyDescent="0.25">
      <c r="A6402" t="s">
        <v>6428</v>
      </c>
      <c r="B6402" t="s">
        <v>13682</v>
      </c>
    </row>
    <row r="6403" spans="1:2" x14ac:dyDescent="0.25">
      <c r="A6403" t="s">
        <v>6429</v>
      </c>
      <c r="B6403" t="s">
        <v>13683</v>
      </c>
    </row>
    <row r="6404" spans="1:2" x14ac:dyDescent="0.25">
      <c r="A6404" t="s">
        <v>6430</v>
      </c>
      <c r="B6404" t="s">
        <v>13684</v>
      </c>
    </row>
    <row r="6405" spans="1:2" x14ac:dyDescent="0.25">
      <c r="A6405" t="s">
        <v>6431</v>
      </c>
      <c r="B6405" t="s">
        <v>13685</v>
      </c>
    </row>
    <row r="6406" spans="1:2" x14ac:dyDescent="0.25">
      <c r="A6406" t="s">
        <v>6432</v>
      </c>
      <c r="B6406" t="s">
        <v>13686</v>
      </c>
    </row>
    <row r="6407" spans="1:2" x14ac:dyDescent="0.25">
      <c r="A6407" t="s">
        <v>6433</v>
      </c>
      <c r="B6407" t="s">
        <v>13687</v>
      </c>
    </row>
    <row r="6408" spans="1:2" x14ac:dyDescent="0.25">
      <c r="A6408" t="s">
        <v>6434</v>
      </c>
      <c r="B6408" t="s">
        <v>13688</v>
      </c>
    </row>
    <row r="6409" spans="1:2" x14ac:dyDescent="0.25">
      <c r="A6409" t="s">
        <v>6435</v>
      </c>
      <c r="B6409" t="s">
        <v>13689</v>
      </c>
    </row>
    <row r="6410" spans="1:2" x14ac:dyDescent="0.25">
      <c r="A6410" t="s">
        <v>6436</v>
      </c>
      <c r="B6410" t="s">
        <v>13690</v>
      </c>
    </row>
    <row r="6411" spans="1:2" x14ac:dyDescent="0.25">
      <c r="A6411" t="s">
        <v>6437</v>
      </c>
      <c r="B6411" t="s">
        <v>13691</v>
      </c>
    </row>
    <row r="6412" spans="1:2" x14ac:dyDescent="0.25">
      <c r="A6412" t="s">
        <v>6438</v>
      </c>
      <c r="B6412" t="s">
        <v>13692</v>
      </c>
    </row>
    <row r="6413" spans="1:2" x14ac:dyDescent="0.25">
      <c r="A6413" t="s">
        <v>6439</v>
      </c>
      <c r="B6413" t="s">
        <v>13693</v>
      </c>
    </row>
    <row r="6414" spans="1:2" x14ac:dyDescent="0.25">
      <c r="A6414" t="s">
        <v>6440</v>
      </c>
      <c r="B6414" t="s">
        <v>13694</v>
      </c>
    </row>
    <row r="6415" spans="1:2" x14ac:dyDescent="0.25">
      <c r="A6415" t="s">
        <v>6441</v>
      </c>
      <c r="B6415" t="s">
        <v>13695</v>
      </c>
    </row>
    <row r="6416" spans="1:2" x14ac:dyDescent="0.25">
      <c r="A6416" t="s">
        <v>6442</v>
      </c>
      <c r="B6416" t="s">
        <v>13696</v>
      </c>
    </row>
    <row r="6417" spans="1:2" x14ac:dyDescent="0.25">
      <c r="A6417" t="s">
        <v>6443</v>
      </c>
      <c r="B6417" t="s">
        <v>13697</v>
      </c>
    </row>
    <row r="6418" spans="1:2" x14ac:dyDescent="0.25">
      <c r="A6418" t="s">
        <v>6444</v>
      </c>
      <c r="B6418" t="s">
        <v>13698</v>
      </c>
    </row>
    <row r="6419" spans="1:2" x14ac:dyDescent="0.25">
      <c r="A6419" t="s">
        <v>6445</v>
      </c>
      <c r="B6419" t="s">
        <v>13699</v>
      </c>
    </row>
    <row r="6420" spans="1:2" x14ac:dyDescent="0.25">
      <c r="A6420" t="s">
        <v>6446</v>
      </c>
      <c r="B6420" t="s">
        <v>13700</v>
      </c>
    </row>
    <row r="6421" spans="1:2" x14ac:dyDescent="0.25">
      <c r="A6421" t="s">
        <v>6447</v>
      </c>
      <c r="B6421" t="s">
        <v>13701</v>
      </c>
    </row>
    <row r="6422" spans="1:2" x14ac:dyDescent="0.25">
      <c r="A6422" t="s">
        <v>6448</v>
      </c>
      <c r="B6422" t="s">
        <v>13702</v>
      </c>
    </row>
    <row r="6423" spans="1:2" x14ac:dyDescent="0.25">
      <c r="A6423" t="s">
        <v>6449</v>
      </c>
      <c r="B6423" t="s">
        <v>13703</v>
      </c>
    </row>
    <row r="6424" spans="1:2" x14ac:dyDescent="0.25">
      <c r="A6424" t="s">
        <v>6450</v>
      </c>
      <c r="B6424" t="s">
        <v>13704</v>
      </c>
    </row>
    <row r="6425" spans="1:2" x14ac:dyDescent="0.25">
      <c r="A6425" t="s">
        <v>6451</v>
      </c>
      <c r="B6425" t="s">
        <v>13705</v>
      </c>
    </row>
    <row r="6426" spans="1:2" x14ac:dyDescent="0.25">
      <c r="A6426" t="s">
        <v>6452</v>
      </c>
      <c r="B6426" t="s">
        <v>13706</v>
      </c>
    </row>
    <row r="6427" spans="1:2" x14ac:dyDescent="0.25">
      <c r="A6427" t="s">
        <v>6453</v>
      </c>
      <c r="B6427" t="s">
        <v>13707</v>
      </c>
    </row>
    <row r="6428" spans="1:2" x14ac:dyDescent="0.25">
      <c r="A6428" t="s">
        <v>6454</v>
      </c>
      <c r="B6428" t="s">
        <v>13708</v>
      </c>
    </row>
    <row r="6429" spans="1:2" x14ac:dyDescent="0.25">
      <c r="A6429" t="s">
        <v>6455</v>
      </c>
      <c r="B6429" t="s">
        <v>13709</v>
      </c>
    </row>
    <row r="6430" spans="1:2" x14ac:dyDescent="0.25">
      <c r="A6430" t="s">
        <v>6456</v>
      </c>
      <c r="B6430" t="s">
        <v>13710</v>
      </c>
    </row>
    <row r="6431" spans="1:2" x14ac:dyDescent="0.25">
      <c r="A6431" t="s">
        <v>6457</v>
      </c>
      <c r="B6431" t="s">
        <v>13711</v>
      </c>
    </row>
    <row r="6432" spans="1:2" x14ac:dyDescent="0.25">
      <c r="A6432" t="s">
        <v>6458</v>
      </c>
      <c r="B6432" t="s">
        <v>13712</v>
      </c>
    </row>
    <row r="6433" spans="1:2" x14ac:dyDescent="0.25">
      <c r="A6433" t="s">
        <v>6459</v>
      </c>
      <c r="B6433" t="s">
        <v>13713</v>
      </c>
    </row>
    <row r="6434" spans="1:2" x14ac:dyDescent="0.25">
      <c r="A6434" t="s">
        <v>6460</v>
      </c>
      <c r="B6434" t="s">
        <v>13714</v>
      </c>
    </row>
    <row r="6435" spans="1:2" x14ac:dyDescent="0.25">
      <c r="A6435" t="s">
        <v>6461</v>
      </c>
      <c r="B6435" t="s">
        <v>13715</v>
      </c>
    </row>
    <row r="6436" spans="1:2" x14ac:dyDescent="0.25">
      <c r="A6436" t="s">
        <v>6462</v>
      </c>
      <c r="B6436" t="s">
        <v>13716</v>
      </c>
    </row>
    <row r="6437" spans="1:2" x14ac:dyDescent="0.25">
      <c r="A6437" t="s">
        <v>6463</v>
      </c>
      <c r="B6437" t="s">
        <v>13717</v>
      </c>
    </row>
    <row r="6438" spans="1:2" x14ac:dyDescent="0.25">
      <c r="A6438" t="s">
        <v>6464</v>
      </c>
      <c r="B6438" t="s">
        <v>13718</v>
      </c>
    </row>
    <row r="6439" spans="1:2" x14ac:dyDescent="0.25">
      <c r="A6439" t="s">
        <v>6465</v>
      </c>
      <c r="B6439" t="s">
        <v>13719</v>
      </c>
    </row>
    <row r="6440" spans="1:2" x14ac:dyDescent="0.25">
      <c r="A6440" t="s">
        <v>6466</v>
      </c>
      <c r="B6440" t="s">
        <v>13720</v>
      </c>
    </row>
    <row r="6441" spans="1:2" x14ac:dyDescent="0.25">
      <c r="A6441" t="s">
        <v>6467</v>
      </c>
      <c r="B6441" t="s">
        <v>13721</v>
      </c>
    </row>
    <row r="6442" spans="1:2" x14ac:dyDescent="0.25">
      <c r="A6442" t="s">
        <v>6468</v>
      </c>
      <c r="B6442" t="s">
        <v>13722</v>
      </c>
    </row>
    <row r="6443" spans="1:2" x14ac:dyDescent="0.25">
      <c r="A6443" t="s">
        <v>6469</v>
      </c>
      <c r="B6443" t="s">
        <v>13723</v>
      </c>
    </row>
    <row r="6444" spans="1:2" x14ac:dyDescent="0.25">
      <c r="A6444" t="s">
        <v>6470</v>
      </c>
      <c r="B6444" t="s">
        <v>13724</v>
      </c>
    </row>
    <row r="6445" spans="1:2" x14ac:dyDescent="0.25">
      <c r="A6445" t="s">
        <v>6471</v>
      </c>
      <c r="B6445" t="s">
        <v>13725</v>
      </c>
    </row>
    <row r="6446" spans="1:2" x14ac:dyDescent="0.25">
      <c r="A6446" t="s">
        <v>6472</v>
      </c>
      <c r="B6446" t="s">
        <v>13726</v>
      </c>
    </row>
    <row r="6447" spans="1:2" x14ac:dyDescent="0.25">
      <c r="A6447" t="s">
        <v>6473</v>
      </c>
      <c r="B6447" t="s">
        <v>13727</v>
      </c>
    </row>
    <row r="6448" spans="1:2" x14ac:dyDescent="0.25">
      <c r="A6448" t="s">
        <v>6474</v>
      </c>
      <c r="B6448" t="s">
        <v>13728</v>
      </c>
    </row>
    <row r="6449" spans="1:2" x14ac:dyDescent="0.25">
      <c r="A6449" t="s">
        <v>6475</v>
      </c>
      <c r="B6449" t="s">
        <v>13729</v>
      </c>
    </row>
    <row r="6450" spans="1:2" x14ac:dyDescent="0.25">
      <c r="A6450" t="s">
        <v>6476</v>
      </c>
      <c r="B6450" t="s">
        <v>13730</v>
      </c>
    </row>
    <row r="6451" spans="1:2" x14ac:dyDescent="0.25">
      <c r="A6451" t="s">
        <v>6477</v>
      </c>
      <c r="B6451" t="s">
        <v>13731</v>
      </c>
    </row>
    <row r="6452" spans="1:2" x14ac:dyDescent="0.25">
      <c r="A6452" t="s">
        <v>6478</v>
      </c>
      <c r="B6452" t="s">
        <v>13732</v>
      </c>
    </row>
    <row r="6453" spans="1:2" x14ac:dyDescent="0.25">
      <c r="A6453" t="s">
        <v>6479</v>
      </c>
      <c r="B6453" t="s">
        <v>13733</v>
      </c>
    </row>
    <row r="6454" spans="1:2" x14ac:dyDescent="0.25">
      <c r="A6454" t="s">
        <v>6480</v>
      </c>
      <c r="B6454" t="s">
        <v>13734</v>
      </c>
    </row>
    <row r="6455" spans="1:2" x14ac:dyDescent="0.25">
      <c r="A6455" t="s">
        <v>6481</v>
      </c>
      <c r="B6455" t="s">
        <v>13735</v>
      </c>
    </row>
    <row r="6456" spans="1:2" x14ac:dyDescent="0.25">
      <c r="A6456" t="s">
        <v>6482</v>
      </c>
      <c r="B6456" t="s">
        <v>13736</v>
      </c>
    </row>
    <row r="6457" spans="1:2" x14ac:dyDescent="0.25">
      <c r="A6457" t="s">
        <v>6483</v>
      </c>
      <c r="B6457" t="s">
        <v>13737</v>
      </c>
    </row>
    <row r="6458" spans="1:2" x14ac:dyDescent="0.25">
      <c r="A6458" t="s">
        <v>6484</v>
      </c>
      <c r="B6458" t="s">
        <v>13738</v>
      </c>
    </row>
    <row r="6459" spans="1:2" x14ac:dyDescent="0.25">
      <c r="A6459" t="s">
        <v>6485</v>
      </c>
      <c r="B6459" t="s">
        <v>13739</v>
      </c>
    </row>
    <row r="6460" spans="1:2" x14ac:dyDescent="0.25">
      <c r="A6460" t="s">
        <v>6486</v>
      </c>
      <c r="B6460" t="s">
        <v>13740</v>
      </c>
    </row>
    <row r="6461" spans="1:2" x14ac:dyDescent="0.25">
      <c r="A6461" t="s">
        <v>6487</v>
      </c>
      <c r="B6461" t="s">
        <v>13741</v>
      </c>
    </row>
    <row r="6462" spans="1:2" x14ac:dyDescent="0.25">
      <c r="A6462" t="s">
        <v>6488</v>
      </c>
      <c r="B6462" t="s">
        <v>13742</v>
      </c>
    </row>
    <row r="6463" spans="1:2" x14ac:dyDescent="0.25">
      <c r="A6463" t="s">
        <v>6489</v>
      </c>
      <c r="B6463" t="s">
        <v>13743</v>
      </c>
    </row>
    <row r="6464" spans="1:2" x14ac:dyDescent="0.25">
      <c r="A6464" t="s">
        <v>6490</v>
      </c>
      <c r="B6464" t="s">
        <v>13744</v>
      </c>
    </row>
    <row r="6465" spans="1:2" x14ac:dyDescent="0.25">
      <c r="A6465" t="s">
        <v>6491</v>
      </c>
      <c r="B6465" t="s">
        <v>13745</v>
      </c>
    </row>
    <row r="6466" spans="1:2" x14ac:dyDescent="0.25">
      <c r="A6466" t="s">
        <v>6492</v>
      </c>
      <c r="B6466" t="s">
        <v>13746</v>
      </c>
    </row>
    <row r="6467" spans="1:2" x14ac:dyDescent="0.25">
      <c r="A6467" t="s">
        <v>6493</v>
      </c>
      <c r="B6467" t="s">
        <v>13747</v>
      </c>
    </row>
    <row r="6468" spans="1:2" x14ac:dyDescent="0.25">
      <c r="A6468" t="s">
        <v>6494</v>
      </c>
      <c r="B6468" t="s">
        <v>13748</v>
      </c>
    </row>
    <row r="6469" spans="1:2" x14ac:dyDescent="0.25">
      <c r="A6469" t="s">
        <v>6495</v>
      </c>
      <c r="B6469" t="s">
        <v>13749</v>
      </c>
    </row>
    <row r="6470" spans="1:2" x14ac:dyDescent="0.25">
      <c r="A6470" t="s">
        <v>6496</v>
      </c>
      <c r="B6470" t="s">
        <v>13750</v>
      </c>
    </row>
    <row r="6471" spans="1:2" x14ac:dyDescent="0.25">
      <c r="A6471" t="s">
        <v>6497</v>
      </c>
      <c r="B6471" t="s">
        <v>13751</v>
      </c>
    </row>
    <row r="6472" spans="1:2" x14ac:dyDescent="0.25">
      <c r="A6472" t="s">
        <v>6498</v>
      </c>
      <c r="B6472" t="s">
        <v>13752</v>
      </c>
    </row>
    <row r="6473" spans="1:2" x14ac:dyDescent="0.25">
      <c r="A6473" t="s">
        <v>6499</v>
      </c>
      <c r="B6473" t="s">
        <v>13753</v>
      </c>
    </row>
    <row r="6474" spans="1:2" x14ac:dyDescent="0.25">
      <c r="A6474" t="s">
        <v>6500</v>
      </c>
      <c r="B6474" t="s">
        <v>13754</v>
      </c>
    </row>
    <row r="6475" spans="1:2" x14ac:dyDescent="0.25">
      <c r="A6475" t="s">
        <v>6501</v>
      </c>
      <c r="B6475" t="s">
        <v>13755</v>
      </c>
    </row>
    <row r="6476" spans="1:2" x14ac:dyDescent="0.25">
      <c r="A6476" t="s">
        <v>6502</v>
      </c>
      <c r="B6476" t="s">
        <v>13756</v>
      </c>
    </row>
    <row r="6477" spans="1:2" x14ac:dyDescent="0.25">
      <c r="A6477" t="s">
        <v>6503</v>
      </c>
      <c r="B6477" t="s">
        <v>13757</v>
      </c>
    </row>
    <row r="6478" spans="1:2" x14ac:dyDescent="0.25">
      <c r="A6478" t="s">
        <v>6504</v>
      </c>
      <c r="B6478" t="s">
        <v>13758</v>
      </c>
    </row>
    <row r="6479" spans="1:2" x14ac:dyDescent="0.25">
      <c r="A6479" t="s">
        <v>6505</v>
      </c>
      <c r="B6479" t="s">
        <v>13759</v>
      </c>
    </row>
    <row r="6480" spans="1:2" x14ac:dyDescent="0.25">
      <c r="A6480" t="s">
        <v>6506</v>
      </c>
      <c r="B6480" t="s">
        <v>13760</v>
      </c>
    </row>
    <row r="6481" spans="1:2" x14ac:dyDescent="0.25">
      <c r="A6481" t="s">
        <v>6507</v>
      </c>
      <c r="B6481" t="s">
        <v>13761</v>
      </c>
    </row>
    <row r="6482" spans="1:2" x14ac:dyDescent="0.25">
      <c r="A6482" t="s">
        <v>6508</v>
      </c>
      <c r="B6482" t="s">
        <v>13762</v>
      </c>
    </row>
    <row r="6483" spans="1:2" x14ac:dyDescent="0.25">
      <c r="A6483" t="s">
        <v>6509</v>
      </c>
      <c r="B6483" t="s">
        <v>13763</v>
      </c>
    </row>
    <row r="6484" spans="1:2" x14ac:dyDescent="0.25">
      <c r="A6484" t="s">
        <v>6510</v>
      </c>
      <c r="B6484" t="s">
        <v>13764</v>
      </c>
    </row>
    <row r="6485" spans="1:2" x14ac:dyDescent="0.25">
      <c r="A6485" t="s">
        <v>6511</v>
      </c>
      <c r="B6485" t="s">
        <v>13765</v>
      </c>
    </row>
    <row r="6486" spans="1:2" x14ac:dyDescent="0.25">
      <c r="A6486" t="s">
        <v>6512</v>
      </c>
      <c r="B6486" t="s">
        <v>13766</v>
      </c>
    </row>
    <row r="6487" spans="1:2" x14ac:dyDescent="0.25">
      <c r="A6487" t="s">
        <v>6513</v>
      </c>
      <c r="B6487" t="s">
        <v>13767</v>
      </c>
    </row>
    <row r="6488" spans="1:2" x14ac:dyDescent="0.25">
      <c r="A6488" t="s">
        <v>6514</v>
      </c>
      <c r="B6488" t="s">
        <v>13768</v>
      </c>
    </row>
    <row r="6489" spans="1:2" x14ac:dyDescent="0.25">
      <c r="A6489" t="s">
        <v>6515</v>
      </c>
      <c r="B6489" t="s">
        <v>13769</v>
      </c>
    </row>
    <row r="6490" spans="1:2" x14ac:dyDescent="0.25">
      <c r="A6490" t="s">
        <v>6516</v>
      </c>
      <c r="B6490" t="s">
        <v>13770</v>
      </c>
    </row>
    <row r="6491" spans="1:2" x14ac:dyDescent="0.25">
      <c r="A6491" t="s">
        <v>6517</v>
      </c>
      <c r="B6491" t="s">
        <v>13771</v>
      </c>
    </row>
    <row r="6492" spans="1:2" x14ac:dyDescent="0.25">
      <c r="A6492" t="s">
        <v>6518</v>
      </c>
      <c r="B6492" t="s">
        <v>13772</v>
      </c>
    </row>
    <row r="6493" spans="1:2" x14ac:dyDescent="0.25">
      <c r="A6493" t="s">
        <v>6519</v>
      </c>
      <c r="B6493" t="s">
        <v>13773</v>
      </c>
    </row>
    <row r="6494" spans="1:2" x14ac:dyDescent="0.25">
      <c r="A6494" t="s">
        <v>6520</v>
      </c>
      <c r="B6494" t="s">
        <v>13774</v>
      </c>
    </row>
    <row r="6495" spans="1:2" x14ac:dyDescent="0.25">
      <c r="A6495" t="s">
        <v>6521</v>
      </c>
      <c r="B6495" t="s">
        <v>13775</v>
      </c>
    </row>
    <row r="6496" spans="1:2" x14ac:dyDescent="0.25">
      <c r="A6496" t="s">
        <v>6522</v>
      </c>
      <c r="B6496" t="s">
        <v>13776</v>
      </c>
    </row>
    <row r="6497" spans="1:2" x14ac:dyDescent="0.25">
      <c r="A6497" t="s">
        <v>6523</v>
      </c>
      <c r="B6497" t="s">
        <v>13777</v>
      </c>
    </row>
    <row r="6498" spans="1:2" x14ac:dyDescent="0.25">
      <c r="A6498" t="s">
        <v>6524</v>
      </c>
      <c r="B6498" t="s">
        <v>13778</v>
      </c>
    </row>
    <row r="6499" spans="1:2" x14ac:dyDescent="0.25">
      <c r="A6499" t="s">
        <v>6525</v>
      </c>
      <c r="B6499" t="s">
        <v>13779</v>
      </c>
    </row>
    <row r="6500" spans="1:2" x14ac:dyDescent="0.25">
      <c r="A6500" t="s">
        <v>6526</v>
      </c>
      <c r="B6500" t="s">
        <v>13780</v>
      </c>
    </row>
    <row r="6501" spans="1:2" x14ac:dyDescent="0.25">
      <c r="A6501" t="s">
        <v>6527</v>
      </c>
      <c r="B6501" t="s">
        <v>13781</v>
      </c>
    </row>
    <row r="6502" spans="1:2" x14ac:dyDescent="0.25">
      <c r="A6502" t="s">
        <v>6528</v>
      </c>
      <c r="B6502" t="s">
        <v>13782</v>
      </c>
    </row>
    <row r="6503" spans="1:2" x14ac:dyDescent="0.25">
      <c r="A6503" t="s">
        <v>6529</v>
      </c>
      <c r="B6503" t="s">
        <v>13783</v>
      </c>
    </row>
    <row r="6504" spans="1:2" x14ac:dyDescent="0.25">
      <c r="A6504" t="s">
        <v>6530</v>
      </c>
      <c r="B6504" t="s">
        <v>13784</v>
      </c>
    </row>
    <row r="6505" spans="1:2" x14ac:dyDescent="0.25">
      <c r="A6505" t="s">
        <v>6531</v>
      </c>
      <c r="B6505" t="s">
        <v>13785</v>
      </c>
    </row>
    <row r="6506" spans="1:2" x14ac:dyDescent="0.25">
      <c r="A6506" t="s">
        <v>6532</v>
      </c>
      <c r="B6506" t="s">
        <v>13786</v>
      </c>
    </row>
    <row r="6507" spans="1:2" x14ac:dyDescent="0.25">
      <c r="A6507" t="s">
        <v>6533</v>
      </c>
      <c r="B6507" t="s">
        <v>13787</v>
      </c>
    </row>
    <row r="6508" spans="1:2" x14ac:dyDescent="0.25">
      <c r="A6508" t="s">
        <v>6534</v>
      </c>
      <c r="B6508" t="s">
        <v>13788</v>
      </c>
    </row>
    <row r="6509" spans="1:2" x14ac:dyDescent="0.25">
      <c r="A6509" t="s">
        <v>6535</v>
      </c>
      <c r="B6509" t="s">
        <v>13789</v>
      </c>
    </row>
    <row r="6510" spans="1:2" x14ac:dyDescent="0.25">
      <c r="A6510" t="s">
        <v>6536</v>
      </c>
      <c r="B6510" t="s">
        <v>13790</v>
      </c>
    </row>
    <row r="6511" spans="1:2" x14ac:dyDescent="0.25">
      <c r="A6511" t="s">
        <v>6537</v>
      </c>
      <c r="B6511" t="s">
        <v>13791</v>
      </c>
    </row>
    <row r="6512" spans="1:2" x14ac:dyDescent="0.25">
      <c r="A6512" t="s">
        <v>6538</v>
      </c>
      <c r="B6512" t="s">
        <v>13792</v>
      </c>
    </row>
    <row r="6513" spans="1:2" x14ac:dyDescent="0.25">
      <c r="A6513" t="s">
        <v>6539</v>
      </c>
      <c r="B6513" t="s">
        <v>13793</v>
      </c>
    </row>
    <row r="6514" spans="1:2" x14ac:dyDescent="0.25">
      <c r="A6514" t="s">
        <v>6540</v>
      </c>
      <c r="B6514" t="s">
        <v>13794</v>
      </c>
    </row>
    <row r="6515" spans="1:2" x14ac:dyDescent="0.25">
      <c r="A6515" t="s">
        <v>6541</v>
      </c>
      <c r="B6515" t="s">
        <v>13795</v>
      </c>
    </row>
    <row r="6516" spans="1:2" x14ac:dyDescent="0.25">
      <c r="A6516" t="s">
        <v>6542</v>
      </c>
      <c r="B6516" t="s">
        <v>13796</v>
      </c>
    </row>
    <row r="6517" spans="1:2" x14ac:dyDescent="0.25">
      <c r="A6517" t="s">
        <v>6543</v>
      </c>
      <c r="B6517" t="s">
        <v>13797</v>
      </c>
    </row>
    <row r="6518" spans="1:2" x14ac:dyDescent="0.25">
      <c r="A6518" t="s">
        <v>6544</v>
      </c>
      <c r="B6518" t="s">
        <v>13798</v>
      </c>
    </row>
    <row r="6519" spans="1:2" x14ac:dyDescent="0.25">
      <c r="A6519" t="s">
        <v>6545</v>
      </c>
      <c r="B6519" t="s">
        <v>13799</v>
      </c>
    </row>
    <row r="6520" spans="1:2" x14ac:dyDescent="0.25">
      <c r="A6520" t="s">
        <v>6546</v>
      </c>
      <c r="B6520" t="s">
        <v>13800</v>
      </c>
    </row>
    <row r="6521" spans="1:2" x14ac:dyDescent="0.25">
      <c r="A6521" t="s">
        <v>6547</v>
      </c>
      <c r="B6521" t="s">
        <v>13801</v>
      </c>
    </row>
    <row r="6522" spans="1:2" x14ac:dyDescent="0.25">
      <c r="A6522" t="s">
        <v>6548</v>
      </c>
      <c r="B6522" t="s">
        <v>13802</v>
      </c>
    </row>
    <row r="6523" spans="1:2" x14ac:dyDescent="0.25">
      <c r="A6523" t="s">
        <v>6549</v>
      </c>
      <c r="B6523" t="s">
        <v>13803</v>
      </c>
    </row>
    <row r="6524" spans="1:2" x14ac:dyDescent="0.25">
      <c r="A6524" t="s">
        <v>6550</v>
      </c>
      <c r="B6524" t="s">
        <v>13804</v>
      </c>
    </row>
    <row r="6525" spans="1:2" x14ac:dyDescent="0.25">
      <c r="A6525" t="s">
        <v>6551</v>
      </c>
      <c r="B6525" t="s">
        <v>13805</v>
      </c>
    </row>
    <row r="6526" spans="1:2" x14ac:dyDescent="0.25">
      <c r="A6526" t="s">
        <v>6552</v>
      </c>
      <c r="B6526" t="s">
        <v>13806</v>
      </c>
    </row>
    <row r="6527" spans="1:2" x14ac:dyDescent="0.25">
      <c r="A6527" t="s">
        <v>6553</v>
      </c>
      <c r="B6527" t="s">
        <v>13807</v>
      </c>
    </row>
    <row r="6528" spans="1:2" x14ac:dyDescent="0.25">
      <c r="A6528" t="s">
        <v>6554</v>
      </c>
      <c r="B6528" t="s">
        <v>13808</v>
      </c>
    </row>
    <row r="6529" spans="1:2" x14ac:dyDescent="0.25">
      <c r="A6529" t="s">
        <v>6555</v>
      </c>
      <c r="B6529" t="s">
        <v>13809</v>
      </c>
    </row>
    <row r="6530" spans="1:2" x14ac:dyDescent="0.25">
      <c r="A6530" t="s">
        <v>6556</v>
      </c>
      <c r="B6530" t="s">
        <v>13810</v>
      </c>
    </row>
    <row r="6531" spans="1:2" x14ac:dyDescent="0.25">
      <c r="A6531" t="s">
        <v>6557</v>
      </c>
      <c r="B6531" t="s">
        <v>13811</v>
      </c>
    </row>
    <row r="6532" spans="1:2" x14ac:dyDescent="0.25">
      <c r="A6532" t="s">
        <v>6558</v>
      </c>
      <c r="B6532" t="s">
        <v>13812</v>
      </c>
    </row>
    <row r="6533" spans="1:2" x14ac:dyDescent="0.25">
      <c r="A6533" t="s">
        <v>6559</v>
      </c>
      <c r="B6533" t="s">
        <v>13813</v>
      </c>
    </row>
    <row r="6534" spans="1:2" x14ac:dyDescent="0.25">
      <c r="A6534" t="s">
        <v>6560</v>
      </c>
      <c r="B6534" t="s">
        <v>13814</v>
      </c>
    </row>
    <row r="6535" spans="1:2" x14ac:dyDescent="0.25">
      <c r="A6535" t="s">
        <v>6561</v>
      </c>
      <c r="B6535" t="s">
        <v>13815</v>
      </c>
    </row>
    <row r="6536" spans="1:2" x14ac:dyDescent="0.25">
      <c r="A6536" t="s">
        <v>6562</v>
      </c>
      <c r="B6536" t="s">
        <v>13816</v>
      </c>
    </row>
    <row r="6537" spans="1:2" x14ac:dyDescent="0.25">
      <c r="A6537" t="s">
        <v>6563</v>
      </c>
      <c r="B6537" t="s">
        <v>13817</v>
      </c>
    </row>
    <row r="6538" spans="1:2" x14ac:dyDescent="0.25">
      <c r="A6538" t="s">
        <v>6564</v>
      </c>
      <c r="B6538" t="s">
        <v>13818</v>
      </c>
    </row>
    <row r="6539" spans="1:2" x14ac:dyDescent="0.25">
      <c r="A6539" t="s">
        <v>6565</v>
      </c>
      <c r="B6539" t="s">
        <v>13819</v>
      </c>
    </row>
    <row r="6540" spans="1:2" x14ac:dyDescent="0.25">
      <c r="A6540" t="s">
        <v>6566</v>
      </c>
      <c r="B6540" t="s">
        <v>13820</v>
      </c>
    </row>
    <row r="6541" spans="1:2" x14ac:dyDescent="0.25">
      <c r="A6541" t="s">
        <v>6567</v>
      </c>
      <c r="B6541" t="s">
        <v>13821</v>
      </c>
    </row>
    <row r="6542" spans="1:2" x14ac:dyDescent="0.25">
      <c r="A6542" t="s">
        <v>6568</v>
      </c>
      <c r="B6542" t="s">
        <v>13822</v>
      </c>
    </row>
    <row r="6543" spans="1:2" x14ac:dyDescent="0.25">
      <c r="A6543" t="s">
        <v>6569</v>
      </c>
      <c r="B6543" t="s">
        <v>13823</v>
      </c>
    </row>
    <row r="6544" spans="1:2" x14ac:dyDescent="0.25">
      <c r="A6544" t="s">
        <v>6570</v>
      </c>
      <c r="B6544" t="s">
        <v>13824</v>
      </c>
    </row>
    <row r="6545" spans="1:2" x14ac:dyDescent="0.25">
      <c r="A6545" t="s">
        <v>6571</v>
      </c>
      <c r="B6545" t="s">
        <v>13825</v>
      </c>
    </row>
    <row r="6546" spans="1:2" x14ac:dyDescent="0.25">
      <c r="A6546" t="s">
        <v>6572</v>
      </c>
      <c r="B6546" t="s">
        <v>13826</v>
      </c>
    </row>
    <row r="6547" spans="1:2" x14ac:dyDescent="0.25">
      <c r="A6547" t="s">
        <v>6573</v>
      </c>
      <c r="B6547" t="s">
        <v>13827</v>
      </c>
    </row>
    <row r="6548" spans="1:2" x14ac:dyDescent="0.25">
      <c r="A6548" t="s">
        <v>6574</v>
      </c>
      <c r="B6548" t="s">
        <v>13828</v>
      </c>
    </row>
    <row r="6549" spans="1:2" x14ac:dyDescent="0.25">
      <c r="A6549" t="s">
        <v>6575</v>
      </c>
      <c r="B6549" t="s">
        <v>13829</v>
      </c>
    </row>
    <row r="6550" spans="1:2" x14ac:dyDescent="0.25">
      <c r="A6550" t="s">
        <v>6576</v>
      </c>
      <c r="B6550" t="s">
        <v>13830</v>
      </c>
    </row>
    <row r="6551" spans="1:2" x14ac:dyDescent="0.25">
      <c r="A6551" t="s">
        <v>6577</v>
      </c>
      <c r="B6551" t="s">
        <v>13831</v>
      </c>
    </row>
    <row r="6552" spans="1:2" x14ac:dyDescent="0.25">
      <c r="A6552" t="s">
        <v>6578</v>
      </c>
      <c r="B6552" t="s">
        <v>13832</v>
      </c>
    </row>
    <row r="6553" spans="1:2" x14ac:dyDescent="0.25">
      <c r="A6553" t="s">
        <v>6579</v>
      </c>
      <c r="B6553" t="s">
        <v>13833</v>
      </c>
    </row>
    <row r="6554" spans="1:2" x14ac:dyDescent="0.25">
      <c r="A6554" t="s">
        <v>6580</v>
      </c>
      <c r="B6554" t="s">
        <v>13834</v>
      </c>
    </row>
    <row r="6555" spans="1:2" x14ac:dyDescent="0.25">
      <c r="A6555" t="s">
        <v>6581</v>
      </c>
      <c r="B6555" t="s">
        <v>13835</v>
      </c>
    </row>
    <row r="6556" spans="1:2" x14ac:dyDescent="0.25">
      <c r="A6556" t="s">
        <v>6582</v>
      </c>
      <c r="B6556" t="s">
        <v>13836</v>
      </c>
    </row>
    <row r="6557" spans="1:2" x14ac:dyDescent="0.25">
      <c r="A6557" t="s">
        <v>6583</v>
      </c>
      <c r="B6557" t="s">
        <v>13837</v>
      </c>
    </row>
    <row r="6558" spans="1:2" x14ac:dyDescent="0.25">
      <c r="A6558" t="s">
        <v>6584</v>
      </c>
      <c r="B6558" t="s">
        <v>13838</v>
      </c>
    </row>
    <row r="6559" spans="1:2" x14ac:dyDescent="0.25">
      <c r="A6559" t="s">
        <v>6585</v>
      </c>
      <c r="B6559" t="s">
        <v>13839</v>
      </c>
    </row>
    <row r="6560" spans="1:2" x14ac:dyDescent="0.25">
      <c r="A6560" t="s">
        <v>6586</v>
      </c>
      <c r="B6560" t="s">
        <v>13840</v>
      </c>
    </row>
    <row r="6561" spans="1:2" x14ac:dyDescent="0.25">
      <c r="A6561" t="s">
        <v>6587</v>
      </c>
      <c r="B6561" t="s">
        <v>13841</v>
      </c>
    </row>
    <row r="6562" spans="1:2" x14ac:dyDescent="0.25">
      <c r="A6562" t="s">
        <v>6588</v>
      </c>
      <c r="B6562" t="s">
        <v>13842</v>
      </c>
    </row>
    <row r="6563" spans="1:2" x14ac:dyDescent="0.25">
      <c r="A6563" t="s">
        <v>6589</v>
      </c>
      <c r="B6563" t="s">
        <v>13843</v>
      </c>
    </row>
    <row r="6564" spans="1:2" x14ac:dyDescent="0.25">
      <c r="A6564" t="s">
        <v>6590</v>
      </c>
      <c r="B6564" t="s">
        <v>13844</v>
      </c>
    </row>
    <row r="6565" spans="1:2" x14ac:dyDescent="0.25">
      <c r="A6565" t="s">
        <v>6591</v>
      </c>
      <c r="B6565" t="s">
        <v>13845</v>
      </c>
    </row>
    <row r="6566" spans="1:2" x14ac:dyDescent="0.25">
      <c r="A6566" t="s">
        <v>6592</v>
      </c>
      <c r="B6566" t="s">
        <v>13846</v>
      </c>
    </row>
    <row r="6567" spans="1:2" x14ac:dyDescent="0.25">
      <c r="A6567" t="s">
        <v>6593</v>
      </c>
      <c r="B6567" t="s">
        <v>13847</v>
      </c>
    </row>
    <row r="6568" spans="1:2" x14ac:dyDescent="0.25">
      <c r="A6568" t="s">
        <v>6594</v>
      </c>
      <c r="B6568" t="s">
        <v>13848</v>
      </c>
    </row>
    <row r="6569" spans="1:2" x14ac:dyDescent="0.25">
      <c r="A6569" t="s">
        <v>6595</v>
      </c>
      <c r="B6569" t="s">
        <v>13849</v>
      </c>
    </row>
    <row r="6570" spans="1:2" x14ac:dyDescent="0.25">
      <c r="A6570" t="s">
        <v>6596</v>
      </c>
      <c r="B6570" t="s">
        <v>13850</v>
      </c>
    </row>
    <row r="6571" spans="1:2" x14ac:dyDescent="0.25">
      <c r="A6571" t="s">
        <v>6597</v>
      </c>
      <c r="B6571" t="s">
        <v>13851</v>
      </c>
    </row>
    <row r="6572" spans="1:2" x14ac:dyDescent="0.25">
      <c r="A6572" t="s">
        <v>6598</v>
      </c>
      <c r="B6572" t="s">
        <v>13852</v>
      </c>
    </row>
    <row r="6573" spans="1:2" x14ac:dyDescent="0.25">
      <c r="A6573" t="b">
        <v>1</v>
      </c>
      <c r="B6573" t="s">
        <v>13853</v>
      </c>
    </row>
    <row r="6574" spans="1:2" x14ac:dyDescent="0.25">
      <c r="A6574" t="s">
        <v>6599</v>
      </c>
      <c r="B6574" t="s">
        <v>13854</v>
      </c>
    </row>
    <row r="6575" spans="1:2" x14ac:dyDescent="0.25">
      <c r="A6575" t="s">
        <v>6600</v>
      </c>
      <c r="B6575" t="s">
        <v>13855</v>
      </c>
    </row>
    <row r="6576" spans="1:2" x14ac:dyDescent="0.25">
      <c r="A6576" t="s">
        <v>6601</v>
      </c>
      <c r="B6576" t="s">
        <v>13856</v>
      </c>
    </row>
    <row r="6577" spans="1:2" x14ac:dyDescent="0.25">
      <c r="A6577" t="s">
        <v>6602</v>
      </c>
      <c r="B6577" t="s">
        <v>13857</v>
      </c>
    </row>
    <row r="6578" spans="1:2" x14ac:dyDescent="0.25">
      <c r="A6578" t="s">
        <v>6603</v>
      </c>
      <c r="B6578" t="s">
        <v>13858</v>
      </c>
    </row>
    <row r="6579" spans="1:2" x14ac:dyDescent="0.25">
      <c r="A6579" t="s">
        <v>6604</v>
      </c>
      <c r="B6579" t="s">
        <v>13859</v>
      </c>
    </row>
    <row r="6580" spans="1:2" x14ac:dyDescent="0.25">
      <c r="A6580" t="s">
        <v>6605</v>
      </c>
      <c r="B6580" t="s">
        <v>13860</v>
      </c>
    </row>
    <row r="6581" spans="1:2" x14ac:dyDescent="0.25">
      <c r="A6581" t="s">
        <v>6606</v>
      </c>
      <c r="B6581" t="s">
        <v>13861</v>
      </c>
    </row>
    <row r="6582" spans="1:2" x14ac:dyDescent="0.25">
      <c r="A6582" t="s">
        <v>6607</v>
      </c>
      <c r="B6582" t="s">
        <v>13862</v>
      </c>
    </row>
    <row r="6583" spans="1:2" x14ac:dyDescent="0.25">
      <c r="A6583" t="s">
        <v>6608</v>
      </c>
      <c r="B6583" t="s">
        <v>13863</v>
      </c>
    </row>
    <row r="6584" spans="1:2" x14ac:dyDescent="0.25">
      <c r="A6584" t="s">
        <v>6609</v>
      </c>
      <c r="B6584" t="s">
        <v>13864</v>
      </c>
    </row>
    <row r="6585" spans="1:2" x14ac:dyDescent="0.25">
      <c r="A6585" t="s">
        <v>6610</v>
      </c>
      <c r="B6585" t="s">
        <v>13865</v>
      </c>
    </row>
    <row r="6586" spans="1:2" x14ac:dyDescent="0.25">
      <c r="A6586" t="s">
        <v>6611</v>
      </c>
      <c r="B6586" t="s">
        <v>13866</v>
      </c>
    </row>
    <row r="6587" spans="1:2" x14ac:dyDescent="0.25">
      <c r="A6587" t="s">
        <v>6612</v>
      </c>
      <c r="B6587" t="s">
        <v>13867</v>
      </c>
    </row>
    <row r="6588" spans="1:2" x14ac:dyDescent="0.25">
      <c r="A6588" t="s">
        <v>6613</v>
      </c>
      <c r="B6588" t="s">
        <v>13868</v>
      </c>
    </row>
    <row r="6589" spans="1:2" x14ac:dyDescent="0.25">
      <c r="A6589" t="s">
        <v>6614</v>
      </c>
      <c r="B6589" t="s">
        <v>13869</v>
      </c>
    </row>
    <row r="6590" spans="1:2" x14ac:dyDescent="0.25">
      <c r="A6590" t="s">
        <v>6615</v>
      </c>
      <c r="B6590" t="s">
        <v>13870</v>
      </c>
    </row>
    <row r="6591" spans="1:2" x14ac:dyDescent="0.25">
      <c r="A6591" t="s">
        <v>6616</v>
      </c>
      <c r="B6591" t="s">
        <v>13871</v>
      </c>
    </row>
    <row r="6592" spans="1:2" x14ac:dyDescent="0.25">
      <c r="A6592" t="s">
        <v>6617</v>
      </c>
      <c r="B6592" t="s">
        <v>13872</v>
      </c>
    </row>
    <row r="6593" spans="1:2" x14ac:dyDescent="0.25">
      <c r="A6593" t="s">
        <v>6618</v>
      </c>
      <c r="B6593" t="s">
        <v>13873</v>
      </c>
    </row>
    <row r="6594" spans="1:2" x14ac:dyDescent="0.25">
      <c r="A6594" t="s">
        <v>6619</v>
      </c>
      <c r="B6594" t="s">
        <v>13874</v>
      </c>
    </row>
    <row r="6595" spans="1:2" x14ac:dyDescent="0.25">
      <c r="A6595" t="s">
        <v>6620</v>
      </c>
      <c r="B6595" t="s">
        <v>13875</v>
      </c>
    </row>
    <row r="6596" spans="1:2" x14ac:dyDescent="0.25">
      <c r="A6596" t="s">
        <v>6621</v>
      </c>
      <c r="B6596" t="s">
        <v>13876</v>
      </c>
    </row>
    <row r="6597" spans="1:2" x14ac:dyDescent="0.25">
      <c r="A6597" t="s">
        <v>6622</v>
      </c>
      <c r="B6597" t="s">
        <v>13877</v>
      </c>
    </row>
    <row r="6598" spans="1:2" x14ac:dyDescent="0.25">
      <c r="A6598" t="s">
        <v>6623</v>
      </c>
      <c r="B6598" t="s">
        <v>13878</v>
      </c>
    </row>
    <row r="6599" spans="1:2" x14ac:dyDescent="0.25">
      <c r="A6599" t="s">
        <v>6624</v>
      </c>
      <c r="B6599" t="s">
        <v>13879</v>
      </c>
    </row>
    <row r="6600" spans="1:2" x14ac:dyDescent="0.25">
      <c r="A6600" t="s">
        <v>6625</v>
      </c>
      <c r="B6600" t="s">
        <v>13880</v>
      </c>
    </row>
    <row r="6601" spans="1:2" x14ac:dyDescent="0.25">
      <c r="A6601" t="s">
        <v>6626</v>
      </c>
      <c r="B6601" t="s">
        <v>13881</v>
      </c>
    </row>
    <row r="6602" spans="1:2" x14ac:dyDescent="0.25">
      <c r="A6602" t="s">
        <v>6627</v>
      </c>
      <c r="B6602" t="s">
        <v>13882</v>
      </c>
    </row>
    <row r="6603" spans="1:2" x14ac:dyDescent="0.25">
      <c r="A6603" t="s">
        <v>6628</v>
      </c>
      <c r="B6603" t="s">
        <v>13883</v>
      </c>
    </row>
    <row r="6604" spans="1:2" x14ac:dyDescent="0.25">
      <c r="A6604" t="s">
        <v>6629</v>
      </c>
      <c r="B6604" t="s">
        <v>13884</v>
      </c>
    </row>
    <row r="6605" spans="1:2" x14ac:dyDescent="0.25">
      <c r="A6605" t="s">
        <v>6630</v>
      </c>
      <c r="B6605" t="s">
        <v>13885</v>
      </c>
    </row>
    <row r="6606" spans="1:2" x14ac:dyDescent="0.25">
      <c r="A6606" t="s">
        <v>6631</v>
      </c>
      <c r="B6606" t="s">
        <v>13886</v>
      </c>
    </row>
    <row r="6607" spans="1:2" x14ac:dyDescent="0.25">
      <c r="A6607" t="s">
        <v>6632</v>
      </c>
      <c r="B6607" t="s">
        <v>13887</v>
      </c>
    </row>
    <row r="6608" spans="1:2" x14ac:dyDescent="0.25">
      <c r="A6608" t="s">
        <v>6633</v>
      </c>
      <c r="B6608" t="s">
        <v>13888</v>
      </c>
    </row>
    <row r="6609" spans="1:2" x14ac:dyDescent="0.25">
      <c r="A6609" t="s">
        <v>6634</v>
      </c>
      <c r="B6609" t="s">
        <v>13889</v>
      </c>
    </row>
    <row r="6610" spans="1:2" x14ac:dyDescent="0.25">
      <c r="A6610" t="s">
        <v>6635</v>
      </c>
      <c r="B6610" t="s">
        <v>13890</v>
      </c>
    </row>
    <row r="6611" spans="1:2" x14ac:dyDescent="0.25">
      <c r="A6611" t="s">
        <v>6636</v>
      </c>
      <c r="B6611" t="s">
        <v>13891</v>
      </c>
    </row>
    <row r="6612" spans="1:2" x14ac:dyDescent="0.25">
      <c r="A6612" t="s">
        <v>6637</v>
      </c>
      <c r="B6612" t="s">
        <v>13892</v>
      </c>
    </row>
    <row r="6613" spans="1:2" x14ac:dyDescent="0.25">
      <c r="A6613" t="s">
        <v>6638</v>
      </c>
      <c r="B6613" t="s">
        <v>13893</v>
      </c>
    </row>
    <row r="6614" spans="1:2" x14ac:dyDescent="0.25">
      <c r="A6614" t="s">
        <v>6639</v>
      </c>
      <c r="B6614" t="s">
        <v>13894</v>
      </c>
    </row>
    <row r="6615" spans="1:2" x14ac:dyDescent="0.25">
      <c r="A6615" t="s">
        <v>6640</v>
      </c>
      <c r="B6615" t="s">
        <v>13895</v>
      </c>
    </row>
    <row r="6616" spans="1:2" x14ac:dyDescent="0.25">
      <c r="A6616" t="s">
        <v>6641</v>
      </c>
      <c r="B6616" t="s">
        <v>13896</v>
      </c>
    </row>
    <row r="6617" spans="1:2" x14ac:dyDescent="0.25">
      <c r="A6617" t="s">
        <v>6642</v>
      </c>
      <c r="B6617" t="s">
        <v>13897</v>
      </c>
    </row>
    <row r="6618" spans="1:2" x14ac:dyDescent="0.25">
      <c r="A6618" t="s">
        <v>6643</v>
      </c>
      <c r="B6618" t="s">
        <v>13898</v>
      </c>
    </row>
    <row r="6619" spans="1:2" x14ac:dyDescent="0.25">
      <c r="A6619" t="s">
        <v>6644</v>
      </c>
      <c r="B6619" t="s">
        <v>13899</v>
      </c>
    </row>
    <row r="6620" spans="1:2" x14ac:dyDescent="0.25">
      <c r="A6620" t="s">
        <v>6645</v>
      </c>
      <c r="B6620" t="s">
        <v>13900</v>
      </c>
    </row>
    <row r="6621" spans="1:2" x14ac:dyDescent="0.25">
      <c r="A6621" t="s">
        <v>6646</v>
      </c>
      <c r="B6621" t="s">
        <v>13901</v>
      </c>
    </row>
    <row r="6622" spans="1:2" x14ac:dyDescent="0.25">
      <c r="A6622" t="s">
        <v>6647</v>
      </c>
      <c r="B6622" t="s">
        <v>13902</v>
      </c>
    </row>
    <row r="6623" spans="1:2" x14ac:dyDescent="0.25">
      <c r="A6623" t="s">
        <v>6648</v>
      </c>
      <c r="B6623" t="s">
        <v>13903</v>
      </c>
    </row>
    <row r="6624" spans="1:2" x14ac:dyDescent="0.25">
      <c r="A6624" t="s">
        <v>6649</v>
      </c>
      <c r="B6624" t="s">
        <v>13904</v>
      </c>
    </row>
    <row r="6625" spans="1:2" x14ac:dyDescent="0.25">
      <c r="A6625" t="s">
        <v>6650</v>
      </c>
      <c r="B6625" t="s">
        <v>13905</v>
      </c>
    </row>
    <row r="6626" spans="1:2" x14ac:dyDescent="0.25">
      <c r="A6626" t="s">
        <v>6651</v>
      </c>
      <c r="B6626" t="s">
        <v>13906</v>
      </c>
    </row>
    <row r="6627" spans="1:2" x14ac:dyDescent="0.25">
      <c r="A6627" t="s">
        <v>6652</v>
      </c>
      <c r="B6627" t="s">
        <v>13907</v>
      </c>
    </row>
    <row r="6628" spans="1:2" x14ac:dyDescent="0.25">
      <c r="A6628" t="s">
        <v>6653</v>
      </c>
      <c r="B6628" t="s">
        <v>13908</v>
      </c>
    </row>
    <row r="6629" spans="1:2" x14ac:dyDescent="0.25">
      <c r="A6629" t="s">
        <v>6654</v>
      </c>
      <c r="B6629" t="s">
        <v>13909</v>
      </c>
    </row>
    <row r="6630" spans="1:2" x14ac:dyDescent="0.25">
      <c r="A6630" t="s">
        <v>6655</v>
      </c>
      <c r="B6630" t="s">
        <v>13910</v>
      </c>
    </row>
    <row r="6631" spans="1:2" x14ac:dyDescent="0.25">
      <c r="A6631" t="s">
        <v>6656</v>
      </c>
      <c r="B6631" t="s">
        <v>13911</v>
      </c>
    </row>
    <row r="6632" spans="1:2" x14ac:dyDescent="0.25">
      <c r="A6632" t="s">
        <v>6657</v>
      </c>
      <c r="B6632" t="s">
        <v>13912</v>
      </c>
    </row>
    <row r="6633" spans="1:2" x14ac:dyDescent="0.25">
      <c r="A6633" t="s">
        <v>6658</v>
      </c>
      <c r="B6633" t="s">
        <v>13913</v>
      </c>
    </row>
    <row r="6634" spans="1:2" x14ac:dyDescent="0.25">
      <c r="A6634" t="s">
        <v>6659</v>
      </c>
      <c r="B6634" t="s">
        <v>13914</v>
      </c>
    </row>
    <row r="6635" spans="1:2" x14ac:dyDescent="0.25">
      <c r="A6635" t="s">
        <v>6660</v>
      </c>
      <c r="B6635" t="s">
        <v>13915</v>
      </c>
    </row>
    <row r="6636" spans="1:2" x14ac:dyDescent="0.25">
      <c r="A6636" t="s">
        <v>6661</v>
      </c>
      <c r="B6636" t="s">
        <v>13916</v>
      </c>
    </row>
    <row r="6637" spans="1:2" x14ac:dyDescent="0.25">
      <c r="A6637" t="s">
        <v>6662</v>
      </c>
      <c r="B6637" t="s">
        <v>13917</v>
      </c>
    </row>
    <row r="6638" spans="1:2" x14ac:dyDescent="0.25">
      <c r="A6638" t="s">
        <v>6663</v>
      </c>
      <c r="B6638" t="s">
        <v>13918</v>
      </c>
    </row>
    <row r="6639" spans="1:2" x14ac:dyDescent="0.25">
      <c r="A6639" t="s">
        <v>6664</v>
      </c>
      <c r="B6639" t="s">
        <v>13919</v>
      </c>
    </row>
    <row r="6640" spans="1:2" x14ac:dyDescent="0.25">
      <c r="A6640" t="s">
        <v>6665</v>
      </c>
      <c r="B6640" t="s">
        <v>13920</v>
      </c>
    </row>
    <row r="6641" spans="1:2" x14ac:dyDescent="0.25">
      <c r="A6641" t="s">
        <v>6666</v>
      </c>
      <c r="B6641" t="s">
        <v>13921</v>
      </c>
    </row>
    <row r="6642" spans="1:2" x14ac:dyDescent="0.25">
      <c r="A6642" t="s">
        <v>6667</v>
      </c>
      <c r="B6642" t="s">
        <v>13922</v>
      </c>
    </row>
    <row r="6643" spans="1:2" x14ac:dyDescent="0.25">
      <c r="A6643" t="s">
        <v>6668</v>
      </c>
      <c r="B6643" t="s">
        <v>13923</v>
      </c>
    </row>
    <row r="6644" spans="1:2" x14ac:dyDescent="0.25">
      <c r="A6644" t="s">
        <v>6669</v>
      </c>
      <c r="B6644" t="s">
        <v>13924</v>
      </c>
    </row>
    <row r="6645" spans="1:2" x14ac:dyDescent="0.25">
      <c r="A6645" t="s">
        <v>6670</v>
      </c>
      <c r="B6645" t="s">
        <v>13925</v>
      </c>
    </row>
    <row r="6646" spans="1:2" x14ac:dyDescent="0.25">
      <c r="A6646" t="s">
        <v>6671</v>
      </c>
      <c r="B6646" t="s">
        <v>13926</v>
      </c>
    </row>
    <row r="6647" spans="1:2" x14ac:dyDescent="0.25">
      <c r="A6647" t="s">
        <v>6672</v>
      </c>
      <c r="B6647" t="s">
        <v>13927</v>
      </c>
    </row>
    <row r="6648" spans="1:2" x14ac:dyDescent="0.25">
      <c r="A6648" t="s">
        <v>6673</v>
      </c>
      <c r="B6648" t="s">
        <v>13928</v>
      </c>
    </row>
    <row r="6649" spans="1:2" x14ac:dyDescent="0.25">
      <c r="A6649" t="s">
        <v>6674</v>
      </c>
      <c r="B6649" t="s">
        <v>13929</v>
      </c>
    </row>
    <row r="6650" spans="1:2" x14ac:dyDescent="0.25">
      <c r="A6650" t="s">
        <v>6675</v>
      </c>
      <c r="B6650" t="s">
        <v>13930</v>
      </c>
    </row>
    <row r="6651" spans="1:2" x14ac:dyDescent="0.25">
      <c r="A6651" t="s">
        <v>6676</v>
      </c>
      <c r="B6651" t="s">
        <v>13931</v>
      </c>
    </row>
    <row r="6652" spans="1:2" x14ac:dyDescent="0.25">
      <c r="A6652" t="s">
        <v>6677</v>
      </c>
      <c r="B6652" t="s">
        <v>13932</v>
      </c>
    </row>
    <row r="6653" spans="1:2" x14ac:dyDescent="0.25">
      <c r="A6653" t="s">
        <v>6678</v>
      </c>
      <c r="B6653" t="s">
        <v>13933</v>
      </c>
    </row>
    <row r="6654" spans="1:2" x14ac:dyDescent="0.25">
      <c r="A6654" t="s">
        <v>6679</v>
      </c>
      <c r="B6654" t="s">
        <v>13934</v>
      </c>
    </row>
    <row r="6655" spans="1:2" x14ac:dyDescent="0.25">
      <c r="A6655" t="s">
        <v>6680</v>
      </c>
      <c r="B6655" t="s">
        <v>13935</v>
      </c>
    </row>
    <row r="6656" spans="1:2" x14ac:dyDescent="0.25">
      <c r="A6656" t="s">
        <v>6681</v>
      </c>
      <c r="B6656" t="s">
        <v>13936</v>
      </c>
    </row>
    <row r="6657" spans="1:2" x14ac:dyDescent="0.25">
      <c r="A6657" t="s">
        <v>6682</v>
      </c>
      <c r="B6657" t="s">
        <v>13937</v>
      </c>
    </row>
    <row r="6658" spans="1:2" x14ac:dyDescent="0.25">
      <c r="A6658" t="s">
        <v>6683</v>
      </c>
      <c r="B6658" t="s">
        <v>13938</v>
      </c>
    </row>
    <row r="6659" spans="1:2" x14ac:dyDescent="0.25">
      <c r="A6659" t="s">
        <v>6684</v>
      </c>
      <c r="B6659" t="s">
        <v>13939</v>
      </c>
    </row>
    <row r="6660" spans="1:2" x14ac:dyDescent="0.25">
      <c r="A6660" t="s">
        <v>6685</v>
      </c>
      <c r="B6660" t="s">
        <v>13940</v>
      </c>
    </row>
    <row r="6661" spans="1:2" x14ac:dyDescent="0.25">
      <c r="A6661" t="s">
        <v>6686</v>
      </c>
      <c r="B6661" t="s">
        <v>13941</v>
      </c>
    </row>
    <row r="6662" spans="1:2" x14ac:dyDescent="0.25">
      <c r="A6662" t="s">
        <v>6687</v>
      </c>
      <c r="B6662" t="s">
        <v>13942</v>
      </c>
    </row>
    <row r="6663" spans="1:2" x14ac:dyDescent="0.25">
      <c r="A6663" t="s">
        <v>6688</v>
      </c>
      <c r="B6663" t="s">
        <v>13943</v>
      </c>
    </row>
    <row r="6664" spans="1:2" x14ac:dyDescent="0.25">
      <c r="A6664" t="s">
        <v>6689</v>
      </c>
      <c r="B6664" t="s">
        <v>13944</v>
      </c>
    </row>
    <row r="6665" spans="1:2" x14ac:dyDescent="0.25">
      <c r="A6665" t="s">
        <v>6690</v>
      </c>
      <c r="B6665" t="s">
        <v>13945</v>
      </c>
    </row>
    <row r="6666" spans="1:2" x14ac:dyDescent="0.25">
      <c r="A6666" t="s">
        <v>6691</v>
      </c>
      <c r="B6666" t="s">
        <v>13946</v>
      </c>
    </row>
    <row r="6667" spans="1:2" x14ac:dyDescent="0.25">
      <c r="A6667" t="s">
        <v>6692</v>
      </c>
      <c r="B6667" t="s">
        <v>13947</v>
      </c>
    </row>
    <row r="6668" spans="1:2" x14ac:dyDescent="0.25">
      <c r="A6668" t="s">
        <v>6693</v>
      </c>
      <c r="B6668" t="s">
        <v>13948</v>
      </c>
    </row>
    <row r="6669" spans="1:2" x14ac:dyDescent="0.25">
      <c r="A6669" t="s">
        <v>6694</v>
      </c>
      <c r="B6669" t="s">
        <v>13949</v>
      </c>
    </row>
    <row r="6670" spans="1:2" x14ac:dyDescent="0.25">
      <c r="A6670" t="s">
        <v>6695</v>
      </c>
      <c r="B6670" t="s">
        <v>13950</v>
      </c>
    </row>
    <row r="6671" spans="1:2" x14ac:dyDescent="0.25">
      <c r="A6671" t="s">
        <v>6696</v>
      </c>
      <c r="B6671" t="s">
        <v>13951</v>
      </c>
    </row>
    <row r="6672" spans="1:2" x14ac:dyDescent="0.25">
      <c r="A6672" t="s">
        <v>6697</v>
      </c>
      <c r="B6672" t="s">
        <v>13952</v>
      </c>
    </row>
    <row r="6673" spans="1:2" x14ac:dyDescent="0.25">
      <c r="A6673" t="s">
        <v>6698</v>
      </c>
      <c r="B6673" t="s">
        <v>13953</v>
      </c>
    </row>
    <row r="6674" spans="1:2" x14ac:dyDescent="0.25">
      <c r="A6674" t="s">
        <v>6699</v>
      </c>
      <c r="B6674" t="s">
        <v>13954</v>
      </c>
    </row>
    <row r="6675" spans="1:2" x14ac:dyDescent="0.25">
      <c r="A6675" t="s">
        <v>6700</v>
      </c>
      <c r="B6675" t="s">
        <v>13955</v>
      </c>
    </row>
    <row r="6676" spans="1:2" x14ac:dyDescent="0.25">
      <c r="A6676" t="s">
        <v>6701</v>
      </c>
      <c r="B6676" t="s">
        <v>13956</v>
      </c>
    </row>
    <row r="6677" spans="1:2" x14ac:dyDescent="0.25">
      <c r="A6677" t="s">
        <v>6702</v>
      </c>
      <c r="B6677" t="s">
        <v>13957</v>
      </c>
    </row>
    <row r="6678" spans="1:2" x14ac:dyDescent="0.25">
      <c r="A6678" t="s">
        <v>6703</v>
      </c>
      <c r="B6678" t="s">
        <v>13958</v>
      </c>
    </row>
    <row r="6679" spans="1:2" x14ac:dyDescent="0.25">
      <c r="A6679" t="s">
        <v>6704</v>
      </c>
      <c r="B6679" t="s">
        <v>13959</v>
      </c>
    </row>
    <row r="6680" spans="1:2" x14ac:dyDescent="0.25">
      <c r="A6680" t="s">
        <v>6705</v>
      </c>
      <c r="B6680" t="s">
        <v>13960</v>
      </c>
    </row>
    <row r="6681" spans="1:2" x14ac:dyDescent="0.25">
      <c r="A6681" t="s">
        <v>6706</v>
      </c>
      <c r="B6681" t="s">
        <v>13961</v>
      </c>
    </row>
    <row r="6682" spans="1:2" x14ac:dyDescent="0.25">
      <c r="A6682" t="s">
        <v>6707</v>
      </c>
      <c r="B6682" t="s">
        <v>13962</v>
      </c>
    </row>
    <row r="6683" spans="1:2" x14ac:dyDescent="0.25">
      <c r="A6683" t="s">
        <v>6708</v>
      </c>
      <c r="B6683" t="s">
        <v>13963</v>
      </c>
    </row>
    <row r="6684" spans="1:2" x14ac:dyDescent="0.25">
      <c r="A6684" t="s">
        <v>6709</v>
      </c>
      <c r="B6684" t="s">
        <v>13964</v>
      </c>
    </row>
    <row r="6685" spans="1:2" x14ac:dyDescent="0.25">
      <c r="A6685" t="s">
        <v>6710</v>
      </c>
      <c r="B6685" t="s">
        <v>13965</v>
      </c>
    </row>
    <row r="6686" spans="1:2" x14ac:dyDescent="0.25">
      <c r="A6686" t="s">
        <v>6711</v>
      </c>
      <c r="B6686" t="s">
        <v>13966</v>
      </c>
    </row>
    <row r="6687" spans="1:2" x14ac:dyDescent="0.25">
      <c r="A6687" t="s">
        <v>6712</v>
      </c>
      <c r="B6687" t="s">
        <v>13967</v>
      </c>
    </row>
    <row r="6688" spans="1:2" x14ac:dyDescent="0.25">
      <c r="A6688" t="s">
        <v>6713</v>
      </c>
      <c r="B6688" t="s">
        <v>13968</v>
      </c>
    </row>
    <row r="6689" spans="1:2" x14ac:dyDescent="0.25">
      <c r="A6689" t="s">
        <v>6714</v>
      </c>
      <c r="B6689" t="s">
        <v>13969</v>
      </c>
    </row>
    <row r="6690" spans="1:2" x14ac:dyDescent="0.25">
      <c r="A6690" t="s">
        <v>6715</v>
      </c>
      <c r="B6690" t="s">
        <v>13970</v>
      </c>
    </row>
    <row r="6691" spans="1:2" x14ac:dyDescent="0.25">
      <c r="A6691" t="s">
        <v>6716</v>
      </c>
      <c r="B6691" t="s">
        <v>13971</v>
      </c>
    </row>
    <row r="6692" spans="1:2" x14ac:dyDescent="0.25">
      <c r="A6692" t="s">
        <v>6717</v>
      </c>
      <c r="B6692" t="s">
        <v>13972</v>
      </c>
    </row>
    <row r="6693" spans="1:2" x14ac:dyDescent="0.25">
      <c r="A6693" t="s">
        <v>6718</v>
      </c>
      <c r="B6693" t="s">
        <v>13973</v>
      </c>
    </row>
    <row r="6694" spans="1:2" x14ac:dyDescent="0.25">
      <c r="A6694" t="s">
        <v>6719</v>
      </c>
      <c r="B6694" t="s">
        <v>13974</v>
      </c>
    </row>
    <row r="6695" spans="1:2" x14ac:dyDescent="0.25">
      <c r="A6695" t="s">
        <v>6720</v>
      </c>
      <c r="B6695" t="s">
        <v>13975</v>
      </c>
    </row>
    <row r="6696" spans="1:2" x14ac:dyDescent="0.25">
      <c r="A6696" t="s">
        <v>6721</v>
      </c>
      <c r="B6696" t="s">
        <v>13976</v>
      </c>
    </row>
    <row r="6697" spans="1:2" x14ac:dyDescent="0.25">
      <c r="A6697" t="s">
        <v>6722</v>
      </c>
      <c r="B6697" t="s">
        <v>13977</v>
      </c>
    </row>
    <row r="6698" spans="1:2" x14ac:dyDescent="0.25">
      <c r="A6698" t="s">
        <v>6723</v>
      </c>
      <c r="B6698" t="s">
        <v>13978</v>
      </c>
    </row>
    <row r="6699" spans="1:2" x14ac:dyDescent="0.25">
      <c r="A6699" t="s">
        <v>6724</v>
      </c>
      <c r="B6699" t="s">
        <v>13979</v>
      </c>
    </row>
    <row r="6700" spans="1:2" x14ac:dyDescent="0.25">
      <c r="A6700" t="s">
        <v>6725</v>
      </c>
      <c r="B6700" t="s">
        <v>13980</v>
      </c>
    </row>
    <row r="6701" spans="1:2" x14ac:dyDescent="0.25">
      <c r="A6701" t="s">
        <v>6726</v>
      </c>
      <c r="B6701" t="s">
        <v>13981</v>
      </c>
    </row>
    <row r="6702" spans="1:2" x14ac:dyDescent="0.25">
      <c r="A6702" t="s">
        <v>6727</v>
      </c>
      <c r="B6702" t="s">
        <v>13982</v>
      </c>
    </row>
    <row r="6703" spans="1:2" x14ac:dyDescent="0.25">
      <c r="A6703" t="s">
        <v>6728</v>
      </c>
      <c r="B6703" t="s">
        <v>13983</v>
      </c>
    </row>
    <row r="6704" spans="1:2" x14ac:dyDescent="0.25">
      <c r="A6704" t="s">
        <v>6729</v>
      </c>
      <c r="B6704" t="s">
        <v>13984</v>
      </c>
    </row>
    <row r="6705" spans="1:2" x14ac:dyDescent="0.25">
      <c r="A6705" t="s">
        <v>6730</v>
      </c>
      <c r="B6705" t="s">
        <v>13985</v>
      </c>
    </row>
    <row r="6706" spans="1:2" x14ac:dyDescent="0.25">
      <c r="A6706" t="s">
        <v>6731</v>
      </c>
      <c r="B6706" t="s">
        <v>13986</v>
      </c>
    </row>
    <row r="6707" spans="1:2" x14ac:dyDescent="0.25">
      <c r="A6707" t="s">
        <v>6732</v>
      </c>
      <c r="B6707" t="s">
        <v>13987</v>
      </c>
    </row>
    <row r="6708" spans="1:2" x14ac:dyDescent="0.25">
      <c r="A6708" t="s">
        <v>6733</v>
      </c>
      <c r="B6708" t="s">
        <v>13988</v>
      </c>
    </row>
    <row r="6709" spans="1:2" x14ac:dyDescent="0.25">
      <c r="A6709" t="s">
        <v>6734</v>
      </c>
      <c r="B6709" t="s">
        <v>13989</v>
      </c>
    </row>
    <row r="6710" spans="1:2" x14ac:dyDescent="0.25">
      <c r="A6710" t="s">
        <v>6735</v>
      </c>
      <c r="B6710" t="s">
        <v>13990</v>
      </c>
    </row>
    <row r="6711" spans="1:2" x14ac:dyDescent="0.25">
      <c r="A6711" t="s">
        <v>6736</v>
      </c>
      <c r="B6711" t="s">
        <v>13991</v>
      </c>
    </row>
    <row r="6712" spans="1:2" x14ac:dyDescent="0.25">
      <c r="A6712" t="s">
        <v>6737</v>
      </c>
      <c r="B6712" t="s">
        <v>13992</v>
      </c>
    </row>
    <row r="6713" spans="1:2" x14ac:dyDescent="0.25">
      <c r="A6713" t="s">
        <v>6738</v>
      </c>
      <c r="B6713" t="s">
        <v>13993</v>
      </c>
    </row>
    <row r="6714" spans="1:2" x14ac:dyDescent="0.25">
      <c r="A6714" t="s">
        <v>6739</v>
      </c>
      <c r="B6714" t="s">
        <v>13994</v>
      </c>
    </row>
    <row r="6715" spans="1:2" x14ac:dyDescent="0.25">
      <c r="A6715" t="s">
        <v>6740</v>
      </c>
      <c r="B6715" t="s">
        <v>13995</v>
      </c>
    </row>
    <row r="6716" spans="1:2" x14ac:dyDescent="0.25">
      <c r="A6716" t="s">
        <v>6741</v>
      </c>
      <c r="B6716" t="s">
        <v>13996</v>
      </c>
    </row>
    <row r="6717" spans="1:2" x14ac:dyDescent="0.25">
      <c r="A6717" t="s">
        <v>6742</v>
      </c>
      <c r="B6717" t="s">
        <v>13997</v>
      </c>
    </row>
    <row r="6718" spans="1:2" x14ac:dyDescent="0.25">
      <c r="A6718" t="s">
        <v>6743</v>
      </c>
      <c r="B6718" t="s">
        <v>13998</v>
      </c>
    </row>
    <row r="6719" spans="1:2" x14ac:dyDescent="0.25">
      <c r="A6719" t="s">
        <v>6744</v>
      </c>
      <c r="B6719" t="s">
        <v>13999</v>
      </c>
    </row>
    <row r="6720" spans="1:2" x14ac:dyDescent="0.25">
      <c r="A6720" t="s">
        <v>6745</v>
      </c>
      <c r="B6720" t="s">
        <v>14000</v>
      </c>
    </row>
    <row r="6721" spans="1:2" x14ac:dyDescent="0.25">
      <c r="A6721" t="s">
        <v>6746</v>
      </c>
      <c r="B6721" t="s">
        <v>14001</v>
      </c>
    </row>
    <row r="6722" spans="1:2" x14ac:dyDescent="0.25">
      <c r="A6722" t="s">
        <v>6747</v>
      </c>
      <c r="B6722" t="s">
        <v>14002</v>
      </c>
    </row>
    <row r="6723" spans="1:2" x14ac:dyDescent="0.25">
      <c r="A6723" t="s">
        <v>6748</v>
      </c>
      <c r="B6723" t="s">
        <v>14003</v>
      </c>
    </row>
    <row r="6724" spans="1:2" x14ac:dyDescent="0.25">
      <c r="A6724" t="s">
        <v>6749</v>
      </c>
      <c r="B6724" t="s">
        <v>14004</v>
      </c>
    </row>
    <row r="6725" spans="1:2" x14ac:dyDescent="0.25">
      <c r="A6725" t="s">
        <v>6750</v>
      </c>
      <c r="B6725" t="s">
        <v>14005</v>
      </c>
    </row>
    <row r="6726" spans="1:2" x14ac:dyDescent="0.25">
      <c r="A6726" t="s">
        <v>6751</v>
      </c>
      <c r="B6726" t="s">
        <v>14006</v>
      </c>
    </row>
    <row r="6727" spans="1:2" x14ac:dyDescent="0.25">
      <c r="A6727" t="s">
        <v>6752</v>
      </c>
      <c r="B6727" t="s">
        <v>14007</v>
      </c>
    </row>
    <row r="6728" spans="1:2" x14ac:dyDescent="0.25">
      <c r="A6728" t="s">
        <v>6753</v>
      </c>
      <c r="B6728" t="s">
        <v>14008</v>
      </c>
    </row>
    <row r="6729" spans="1:2" x14ac:dyDescent="0.25">
      <c r="A6729" t="s">
        <v>6754</v>
      </c>
      <c r="B6729" t="s">
        <v>14009</v>
      </c>
    </row>
    <row r="6730" spans="1:2" x14ac:dyDescent="0.25">
      <c r="A6730" t="s">
        <v>6755</v>
      </c>
      <c r="B6730" t="s">
        <v>14010</v>
      </c>
    </row>
    <row r="6731" spans="1:2" x14ac:dyDescent="0.25">
      <c r="A6731" t="s">
        <v>6756</v>
      </c>
      <c r="B6731" t="s">
        <v>14011</v>
      </c>
    </row>
    <row r="6732" spans="1:2" x14ac:dyDescent="0.25">
      <c r="A6732" t="s">
        <v>6757</v>
      </c>
      <c r="B6732" t="s">
        <v>14012</v>
      </c>
    </row>
    <row r="6733" spans="1:2" x14ac:dyDescent="0.25">
      <c r="A6733" t="s">
        <v>6758</v>
      </c>
      <c r="B6733" t="s">
        <v>14013</v>
      </c>
    </row>
    <row r="6734" spans="1:2" x14ac:dyDescent="0.25">
      <c r="A6734" t="s">
        <v>6759</v>
      </c>
      <c r="B6734" t="s">
        <v>14014</v>
      </c>
    </row>
    <row r="6735" spans="1:2" x14ac:dyDescent="0.25">
      <c r="A6735" t="s">
        <v>6760</v>
      </c>
      <c r="B6735" t="s">
        <v>14015</v>
      </c>
    </row>
    <row r="6736" spans="1:2" x14ac:dyDescent="0.25">
      <c r="A6736" t="s">
        <v>6761</v>
      </c>
      <c r="B6736" t="s">
        <v>14016</v>
      </c>
    </row>
    <row r="6737" spans="1:2" x14ac:dyDescent="0.25">
      <c r="A6737" t="s">
        <v>6762</v>
      </c>
      <c r="B6737" t="s">
        <v>14017</v>
      </c>
    </row>
    <row r="6738" spans="1:2" x14ac:dyDescent="0.25">
      <c r="A6738" t="s">
        <v>6763</v>
      </c>
      <c r="B6738" t="s">
        <v>14018</v>
      </c>
    </row>
    <row r="6739" spans="1:2" x14ac:dyDescent="0.25">
      <c r="A6739" t="s">
        <v>6764</v>
      </c>
      <c r="B6739" t="s">
        <v>14019</v>
      </c>
    </row>
    <row r="6740" spans="1:2" x14ac:dyDescent="0.25">
      <c r="A6740" t="s">
        <v>6765</v>
      </c>
      <c r="B6740" t="s">
        <v>14020</v>
      </c>
    </row>
    <row r="6741" spans="1:2" x14ac:dyDescent="0.25">
      <c r="A6741" t="s">
        <v>6766</v>
      </c>
      <c r="B6741" t="s">
        <v>14021</v>
      </c>
    </row>
    <row r="6742" spans="1:2" x14ac:dyDescent="0.25">
      <c r="A6742" t="s">
        <v>6767</v>
      </c>
      <c r="B6742" t="s">
        <v>14022</v>
      </c>
    </row>
    <row r="6743" spans="1:2" x14ac:dyDescent="0.25">
      <c r="A6743" t="s">
        <v>6768</v>
      </c>
      <c r="B6743" t="s">
        <v>14023</v>
      </c>
    </row>
    <row r="6744" spans="1:2" x14ac:dyDescent="0.25">
      <c r="A6744" t="s">
        <v>6769</v>
      </c>
      <c r="B6744" t="s">
        <v>14024</v>
      </c>
    </row>
    <row r="6745" spans="1:2" x14ac:dyDescent="0.25">
      <c r="A6745" t="s">
        <v>6770</v>
      </c>
      <c r="B6745" t="s">
        <v>14025</v>
      </c>
    </row>
    <row r="6746" spans="1:2" x14ac:dyDescent="0.25">
      <c r="A6746" t="s">
        <v>6771</v>
      </c>
      <c r="B6746" t="s">
        <v>14026</v>
      </c>
    </row>
    <row r="6747" spans="1:2" x14ac:dyDescent="0.25">
      <c r="A6747" t="s">
        <v>6772</v>
      </c>
      <c r="B6747" t="s">
        <v>14027</v>
      </c>
    </row>
    <row r="6748" spans="1:2" x14ac:dyDescent="0.25">
      <c r="A6748" t="s">
        <v>6773</v>
      </c>
      <c r="B6748" t="s">
        <v>14028</v>
      </c>
    </row>
    <row r="6749" spans="1:2" x14ac:dyDescent="0.25">
      <c r="A6749" t="s">
        <v>6774</v>
      </c>
      <c r="B6749" t="s">
        <v>14029</v>
      </c>
    </row>
    <row r="6750" spans="1:2" x14ac:dyDescent="0.25">
      <c r="A6750" t="s">
        <v>6775</v>
      </c>
      <c r="B6750" t="s">
        <v>14030</v>
      </c>
    </row>
    <row r="6751" spans="1:2" x14ac:dyDescent="0.25">
      <c r="A6751" t="s">
        <v>6776</v>
      </c>
      <c r="B6751" t="s">
        <v>14031</v>
      </c>
    </row>
    <row r="6752" spans="1:2" x14ac:dyDescent="0.25">
      <c r="A6752" t="s">
        <v>6777</v>
      </c>
      <c r="B6752" t="s">
        <v>14032</v>
      </c>
    </row>
    <row r="6753" spans="1:2" x14ac:dyDescent="0.25">
      <c r="A6753" t="s">
        <v>6778</v>
      </c>
      <c r="B6753" t="s">
        <v>14033</v>
      </c>
    </row>
    <row r="6754" spans="1:2" x14ac:dyDescent="0.25">
      <c r="A6754" t="s">
        <v>6779</v>
      </c>
      <c r="B6754" t="s">
        <v>14034</v>
      </c>
    </row>
    <row r="6755" spans="1:2" x14ac:dyDescent="0.25">
      <c r="A6755" t="s">
        <v>6780</v>
      </c>
      <c r="B6755" t="s">
        <v>14035</v>
      </c>
    </row>
    <row r="6756" spans="1:2" x14ac:dyDescent="0.25">
      <c r="A6756" t="s">
        <v>6781</v>
      </c>
      <c r="B6756" t="s">
        <v>14036</v>
      </c>
    </row>
    <row r="6757" spans="1:2" x14ac:dyDescent="0.25">
      <c r="A6757" t="s">
        <v>6782</v>
      </c>
      <c r="B6757" t="s">
        <v>14037</v>
      </c>
    </row>
    <row r="6758" spans="1:2" x14ac:dyDescent="0.25">
      <c r="A6758" t="s">
        <v>6783</v>
      </c>
      <c r="B6758" t="s">
        <v>14038</v>
      </c>
    </row>
    <row r="6759" spans="1:2" x14ac:dyDescent="0.25">
      <c r="A6759" t="s">
        <v>6784</v>
      </c>
      <c r="B6759" t="s">
        <v>14039</v>
      </c>
    </row>
    <row r="6760" spans="1:2" x14ac:dyDescent="0.25">
      <c r="A6760" t="s">
        <v>6785</v>
      </c>
      <c r="B6760" t="s">
        <v>14040</v>
      </c>
    </row>
    <row r="6761" spans="1:2" x14ac:dyDescent="0.25">
      <c r="A6761" t="s">
        <v>6786</v>
      </c>
      <c r="B6761" t="s">
        <v>14041</v>
      </c>
    </row>
    <row r="6762" spans="1:2" x14ac:dyDescent="0.25">
      <c r="A6762" t="s">
        <v>6787</v>
      </c>
      <c r="B6762" t="s">
        <v>14042</v>
      </c>
    </row>
    <row r="6763" spans="1:2" x14ac:dyDescent="0.25">
      <c r="A6763" t="s">
        <v>6788</v>
      </c>
      <c r="B6763" t="s">
        <v>14043</v>
      </c>
    </row>
    <row r="6764" spans="1:2" x14ac:dyDescent="0.25">
      <c r="A6764" t="s">
        <v>6789</v>
      </c>
      <c r="B6764" t="s">
        <v>14044</v>
      </c>
    </row>
    <row r="6765" spans="1:2" x14ac:dyDescent="0.25">
      <c r="A6765" t="s">
        <v>6790</v>
      </c>
      <c r="B6765" t="s">
        <v>14045</v>
      </c>
    </row>
    <row r="6766" spans="1:2" x14ac:dyDescent="0.25">
      <c r="A6766" t="s">
        <v>6791</v>
      </c>
      <c r="B6766" t="s">
        <v>14046</v>
      </c>
    </row>
    <row r="6767" spans="1:2" x14ac:dyDescent="0.25">
      <c r="A6767" t="s">
        <v>6792</v>
      </c>
      <c r="B6767" t="s">
        <v>14046</v>
      </c>
    </row>
    <row r="6768" spans="1:2" x14ac:dyDescent="0.25">
      <c r="A6768" t="s">
        <v>6793</v>
      </c>
      <c r="B6768" t="s">
        <v>14047</v>
      </c>
    </row>
    <row r="6769" spans="1:2" x14ac:dyDescent="0.25">
      <c r="A6769" t="s">
        <v>6794</v>
      </c>
      <c r="B6769" t="s">
        <v>14048</v>
      </c>
    </row>
    <row r="6770" spans="1:2" x14ac:dyDescent="0.25">
      <c r="A6770" t="s">
        <v>6795</v>
      </c>
      <c r="B6770" t="s">
        <v>14049</v>
      </c>
    </row>
    <row r="6771" spans="1:2" x14ac:dyDescent="0.25">
      <c r="A6771" t="s">
        <v>6796</v>
      </c>
      <c r="B6771" t="s">
        <v>14050</v>
      </c>
    </row>
    <row r="6772" spans="1:2" x14ac:dyDescent="0.25">
      <c r="A6772" t="s">
        <v>6797</v>
      </c>
      <c r="B6772" t="s">
        <v>14051</v>
      </c>
    </row>
    <row r="6773" spans="1:2" x14ac:dyDescent="0.25">
      <c r="A6773" t="s">
        <v>6798</v>
      </c>
      <c r="B6773" t="s">
        <v>14052</v>
      </c>
    </row>
    <row r="6774" spans="1:2" x14ac:dyDescent="0.25">
      <c r="A6774" t="s">
        <v>6799</v>
      </c>
      <c r="B6774" t="s">
        <v>14053</v>
      </c>
    </row>
    <row r="6775" spans="1:2" x14ac:dyDescent="0.25">
      <c r="A6775" t="s">
        <v>6800</v>
      </c>
      <c r="B6775" t="s">
        <v>14054</v>
      </c>
    </row>
    <row r="6776" spans="1:2" x14ac:dyDescent="0.25">
      <c r="A6776" t="s">
        <v>6801</v>
      </c>
      <c r="B6776" t="s">
        <v>14055</v>
      </c>
    </row>
    <row r="6777" spans="1:2" x14ac:dyDescent="0.25">
      <c r="A6777" t="s">
        <v>6802</v>
      </c>
      <c r="B6777" t="s">
        <v>14056</v>
      </c>
    </row>
    <row r="6778" spans="1:2" x14ac:dyDescent="0.25">
      <c r="A6778" t="s">
        <v>6803</v>
      </c>
      <c r="B6778" t="s">
        <v>14057</v>
      </c>
    </row>
    <row r="6779" spans="1:2" x14ac:dyDescent="0.25">
      <c r="A6779" t="s">
        <v>6804</v>
      </c>
      <c r="B6779" t="s">
        <v>14058</v>
      </c>
    </row>
    <row r="6780" spans="1:2" x14ac:dyDescent="0.25">
      <c r="A6780" t="s">
        <v>6805</v>
      </c>
      <c r="B6780" t="s">
        <v>14059</v>
      </c>
    </row>
    <row r="6781" spans="1:2" x14ac:dyDescent="0.25">
      <c r="A6781" t="s">
        <v>6806</v>
      </c>
      <c r="B6781" t="s">
        <v>14060</v>
      </c>
    </row>
    <row r="6782" spans="1:2" x14ac:dyDescent="0.25">
      <c r="A6782" t="s">
        <v>6807</v>
      </c>
      <c r="B6782" t="s">
        <v>14061</v>
      </c>
    </row>
    <row r="6783" spans="1:2" x14ac:dyDescent="0.25">
      <c r="A6783" t="s">
        <v>6808</v>
      </c>
      <c r="B6783" t="s">
        <v>14062</v>
      </c>
    </row>
    <row r="6784" spans="1:2" x14ac:dyDescent="0.25">
      <c r="A6784" t="s">
        <v>6809</v>
      </c>
      <c r="B6784" t="s">
        <v>14063</v>
      </c>
    </row>
    <row r="6785" spans="1:2" x14ac:dyDescent="0.25">
      <c r="A6785" t="s">
        <v>6810</v>
      </c>
      <c r="B6785" t="s">
        <v>14064</v>
      </c>
    </row>
    <row r="6786" spans="1:2" x14ac:dyDescent="0.25">
      <c r="A6786" t="s">
        <v>6811</v>
      </c>
      <c r="B6786" t="s">
        <v>14065</v>
      </c>
    </row>
    <row r="6787" spans="1:2" x14ac:dyDescent="0.25">
      <c r="A6787" t="s">
        <v>6812</v>
      </c>
      <c r="B6787" t="s">
        <v>14066</v>
      </c>
    </row>
    <row r="6788" spans="1:2" x14ac:dyDescent="0.25">
      <c r="A6788" t="s">
        <v>6813</v>
      </c>
      <c r="B6788" t="s">
        <v>14067</v>
      </c>
    </row>
    <row r="6789" spans="1:2" x14ac:dyDescent="0.25">
      <c r="A6789" t="s">
        <v>6814</v>
      </c>
      <c r="B6789" t="s">
        <v>14068</v>
      </c>
    </row>
    <row r="6790" spans="1:2" x14ac:dyDescent="0.25">
      <c r="A6790" t="s">
        <v>6815</v>
      </c>
      <c r="B6790" t="s">
        <v>14069</v>
      </c>
    </row>
    <row r="6791" spans="1:2" x14ac:dyDescent="0.25">
      <c r="A6791" t="s">
        <v>6816</v>
      </c>
      <c r="B6791" t="s">
        <v>14070</v>
      </c>
    </row>
    <row r="6792" spans="1:2" x14ac:dyDescent="0.25">
      <c r="A6792" t="s">
        <v>6817</v>
      </c>
      <c r="B6792" t="s">
        <v>14071</v>
      </c>
    </row>
    <row r="6793" spans="1:2" x14ac:dyDescent="0.25">
      <c r="A6793" t="s">
        <v>6818</v>
      </c>
      <c r="B6793" t="s">
        <v>14072</v>
      </c>
    </row>
    <row r="6794" spans="1:2" x14ac:dyDescent="0.25">
      <c r="A6794" t="s">
        <v>6819</v>
      </c>
      <c r="B6794" t="s">
        <v>14073</v>
      </c>
    </row>
    <row r="6795" spans="1:2" x14ac:dyDescent="0.25">
      <c r="A6795" t="s">
        <v>6820</v>
      </c>
      <c r="B6795" t="s">
        <v>14074</v>
      </c>
    </row>
    <row r="6796" spans="1:2" x14ac:dyDescent="0.25">
      <c r="A6796" t="s">
        <v>6821</v>
      </c>
      <c r="B6796" t="s">
        <v>14075</v>
      </c>
    </row>
    <row r="6797" spans="1:2" x14ac:dyDescent="0.25">
      <c r="A6797" t="s">
        <v>6822</v>
      </c>
      <c r="B6797" t="s">
        <v>14076</v>
      </c>
    </row>
    <row r="6798" spans="1:2" x14ac:dyDescent="0.25">
      <c r="A6798" t="s">
        <v>6823</v>
      </c>
      <c r="B6798" t="s">
        <v>14077</v>
      </c>
    </row>
    <row r="6799" spans="1:2" x14ac:dyDescent="0.25">
      <c r="A6799" t="s">
        <v>6824</v>
      </c>
      <c r="B6799" t="s">
        <v>14078</v>
      </c>
    </row>
    <row r="6800" spans="1:2" x14ac:dyDescent="0.25">
      <c r="A6800" t="s">
        <v>6825</v>
      </c>
      <c r="B6800" t="s">
        <v>14079</v>
      </c>
    </row>
    <row r="6801" spans="1:2" x14ac:dyDescent="0.25">
      <c r="A6801" t="s">
        <v>6826</v>
      </c>
      <c r="B6801" t="s">
        <v>14080</v>
      </c>
    </row>
    <row r="6802" spans="1:2" x14ac:dyDescent="0.25">
      <c r="A6802" t="s">
        <v>6827</v>
      </c>
      <c r="B6802" t="s">
        <v>14081</v>
      </c>
    </row>
    <row r="6803" spans="1:2" x14ac:dyDescent="0.25">
      <c r="A6803" t="s">
        <v>6828</v>
      </c>
      <c r="B6803" t="s">
        <v>14082</v>
      </c>
    </row>
    <row r="6804" spans="1:2" x14ac:dyDescent="0.25">
      <c r="A6804" t="s">
        <v>6829</v>
      </c>
      <c r="B6804" t="s">
        <v>14083</v>
      </c>
    </row>
    <row r="6805" spans="1:2" x14ac:dyDescent="0.25">
      <c r="A6805" t="s">
        <v>6830</v>
      </c>
      <c r="B6805" t="s">
        <v>14084</v>
      </c>
    </row>
    <row r="6806" spans="1:2" x14ac:dyDescent="0.25">
      <c r="A6806" t="s">
        <v>6831</v>
      </c>
      <c r="B6806" t="s">
        <v>14085</v>
      </c>
    </row>
    <row r="6807" spans="1:2" x14ac:dyDescent="0.25">
      <c r="A6807" t="s">
        <v>6832</v>
      </c>
      <c r="B6807" t="s">
        <v>14086</v>
      </c>
    </row>
    <row r="6808" spans="1:2" x14ac:dyDescent="0.25">
      <c r="A6808" t="s">
        <v>6833</v>
      </c>
      <c r="B6808" t="s">
        <v>14087</v>
      </c>
    </row>
    <row r="6809" spans="1:2" x14ac:dyDescent="0.25">
      <c r="A6809" t="s">
        <v>6834</v>
      </c>
      <c r="B6809" t="s">
        <v>14088</v>
      </c>
    </row>
    <row r="6810" spans="1:2" x14ac:dyDescent="0.25">
      <c r="A6810" t="s">
        <v>6835</v>
      </c>
      <c r="B6810" t="s">
        <v>14089</v>
      </c>
    </row>
    <row r="6811" spans="1:2" x14ac:dyDescent="0.25">
      <c r="A6811" t="s">
        <v>6836</v>
      </c>
      <c r="B6811" t="s">
        <v>14090</v>
      </c>
    </row>
    <row r="6812" spans="1:2" x14ac:dyDescent="0.25">
      <c r="A6812" t="s">
        <v>6837</v>
      </c>
      <c r="B6812" t="s">
        <v>14091</v>
      </c>
    </row>
    <row r="6813" spans="1:2" x14ac:dyDescent="0.25">
      <c r="A6813" t="s">
        <v>6838</v>
      </c>
      <c r="B6813" t="s">
        <v>14092</v>
      </c>
    </row>
    <row r="6814" spans="1:2" x14ac:dyDescent="0.25">
      <c r="A6814" t="s">
        <v>6839</v>
      </c>
      <c r="B6814" t="s">
        <v>14093</v>
      </c>
    </row>
    <row r="6815" spans="1:2" x14ac:dyDescent="0.25">
      <c r="A6815" t="s">
        <v>6840</v>
      </c>
      <c r="B6815" t="s">
        <v>14094</v>
      </c>
    </row>
    <row r="6816" spans="1:2" x14ac:dyDescent="0.25">
      <c r="A6816" t="s">
        <v>6841</v>
      </c>
      <c r="B6816" t="s">
        <v>14095</v>
      </c>
    </row>
    <row r="6817" spans="1:2" x14ac:dyDescent="0.25">
      <c r="A6817" t="s">
        <v>6842</v>
      </c>
      <c r="B6817" t="s">
        <v>14096</v>
      </c>
    </row>
    <row r="6818" spans="1:2" x14ac:dyDescent="0.25">
      <c r="A6818" t="s">
        <v>6843</v>
      </c>
      <c r="B6818" t="s">
        <v>14097</v>
      </c>
    </row>
    <row r="6819" spans="1:2" x14ac:dyDescent="0.25">
      <c r="A6819" t="s">
        <v>6844</v>
      </c>
      <c r="B6819" t="s">
        <v>14098</v>
      </c>
    </row>
    <row r="6820" spans="1:2" x14ac:dyDescent="0.25">
      <c r="A6820" t="s">
        <v>6845</v>
      </c>
      <c r="B6820" t="s">
        <v>14099</v>
      </c>
    </row>
    <row r="6821" spans="1:2" x14ac:dyDescent="0.25">
      <c r="A6821" t="s">
        <v>6846</v>
      </c>
      <c r="B6821" t="s">
        <v>14100</v>
      </c>
    </row>
    <row r="6822" spans="1:2" x14ac:dyDescent="0.25">
      <c r="A6822" t="s">
        <v>6847</v>
      </c>
      <c r="B6822" t="s">
        <v>14101</v>
      </c>
    </row>
    <row r="6823" spans="1:2" x14ac:dyDescent="0.25">
      <c r="A6823" t="s">
        <v>6848</v>
      </c>
      <c r="B6823" t="s">
        <v>14102</v>
      </c>
    </row>
    <row r="6824" spans="1:2" x14ac:dyDescent="0.25">
      <c r="A6824" t="s">
        <v>6849</v>
      </c>
      <c r="B6824" t="s">
        <v>14103</v>
      </c>
    </row>
    <row r="6825" spans="1:2" x14ac:dyDescent="0.25">
      <c r="A6825" t="s">
        <v>6850</v>
      </c>
      <c r="B6825" t="s">
        <v>14104</v>
      </c>
    </row>
    <row r="6826" spans="1:2" x14ac:dyDescent="0.25">
      <c r="A6826" t="s">
        <v>6851</v>
      </c>
      <c r="B6826" t="s">
        <v>14105</v>
      </c>
    </row>
    <row r="6827" spans="1:2" x14ac:dyDescent="0.25">
      <c r="A6827" t="s">
        <v>6852</v>
      </c>
      <c r="B6827" t="s">
        <v>14106</v>
      </c>
    </row>
    <row r="6828" spans="1:2" x14ac:dyDescent="0.25">
      <c r="A6828" t="s">
        <v>6853</v>
      </c>
      <c r="B6828" t="s">
        <v>14107</v>
      </c>
    </row>
    <row r="6829" spans="1:2" x14ac:dyDescent="0.25">
      <c r="A6829" t="s">
        <v>6854</v>
      </c>
      <c r="B6829" t="s">
        <v>14108</v>
      </c>
    </row>
    <row r="6830" spans="1:2" x14ac:dyDescent="0.25">
      <c r="A6830" t="s">
        <v>6855</v>
      </c>
      <c r="B6830" t="s">
        <v>14109</v>
      </c>
    </row>
    <row r="6831" spans="1:2" x14ac:dyDescent="0.25">
      <c r="A6831" t="s">
        <v>6856</v>
      </c>
      <c r="B6831" t="s">
        <v>14110</v>
      </c>
    </row>
    <row r="6832" spans="1:2" x14ac:dyDescent="0.25">
      <c r="A6832" t="s">
        <v>6857</v>
      </c>
      <c r="B6832" t="s">
        <v>14111</v>
      </c>
    </row>
    <row r="6833" spans="1:2" x14ac:dyDescent="0.25">
      <c r="A6833" t="s">
        <v>6858</v>
      </c>
      <c r="B6833" t="s">
        <v>14112</v>
      </c>
    </row>
    <row r="6834" spans="1:2" x14ac:dyDescent="0.25">
      <c r="A6834" t="s">
        <v>6859</v>
      </c>
      <c r="B6834" t="s">
        <v>14113</v>
      </c>
    </row>
    <row r="6835" spans="1:2" x14ac:dyDescent="0.25">
      <c r="A6835" t="s">
        <v>6860</v>
      </c>
      <c r="B6835" t="s">
        <v>14114</v>
      </c>
    </row>
    <row r="6836" spans="1:2" x14ac:dyDescent="0.25">
      <c r="A6836" t="s">
        <v>6861</v>
      </c>
      <c r="B6836" t="s">
        <v>14115</v>
      </c>
    </row>
    <row r="6837" spans="1:2" x14ac:dyDescent="0.25">
      <c r="A6837" t="s">
        <v>6862</v>
      </c>
      <c r="B6837" t="s">
        <v>14116</v>
      </c>
    </row>
    <row r="6838" spans="1:2" x14ac:dyDescent="0.25">
      <c r="A6838" t="s">
        <v>6863</v>
      </c>
      <c r="B6838" t="s">
        <v>14117</v>
      </c>
    </row>
    <row r="6839" spans="1:2" x14ac:dyDescent="0.25">
      <c r="A6839" t="s">
        <v>6864</v>
      </c>
      <c r="B6839" t="s">
        <v>14118</v>
      </c>
    </row>
    <row r="6840" spans="1:2" x14ac:dyDescent="0.25">
      <c r="A6840" t="s">
        <v>6865</v>
      </c>
      <c r="B6840" t="s">
        <v>14119</v>
      </c>
    </row>
    <row r="6841" spans="1:2" x14ac:dyDescent="0.25">
      <c r="A6841" t="s">
        <v>6866</v>
      </c>
      <c r="B6841" t="s">
        <v>14120</v>
      </c>
    </row>
    <row r="6842" spans="1:2" x14ac:dyDescent="0.25">
      <c r="A6842" t="s">
        <v>6867</v>
      </c>
      <c r="B6842" t="s">
        <v>14121</v>
      </c>
    </row>
    <row r="6843" spans="1:2" x14ac:dyDescent="0.25">
      <c r="A6843" t="s">
        <v>6868</v>
      </c>
      <c r="B6843" t="s">
        <v>14122</v>
      </c>
    </row>
    <row r="6844" spans="1:2" x14ac:dyDescent="0.25">
      <c r="A6844" t="s">
        <v>6869</v>
      </c>
      <c r="B6844" t="s">
        <v>14123</v>
      </c>
    </row>
    <row r="6845" spans="1:2" x14ac:dyDescent="0.25">
      <c r="A6845" t="s">
        <v>6870</v>
      </c>
      <c r="B6845" t="s">
        <v>14124</v>
      </c>
    </row>
    <row r="6846" spans="1:2" x14ac:dyDescent="0.25">
      <c r="A6846" t="s">
        <v>6871</v>
      </c>
      <c r="B6846" t="s">
        <v>14125</v>
      </c>
    </row>
    <row r="6847" spans="1:2" x14ac:dyDescent="0.25">
      <c r="A6847" t="s">
        <v>6872</v>
      </c>
      <c r="B6847" t="s">
        <v>14126</v>
      </c>
    </row>
    <row r="6848" spans="1:2" x14ac:dyDescent="0.25">
      <c r="A6848" t="s">
        <v>6873</v>
      </c>
      <c r="B6848" t="s">
        <v>14127</v>
      </c>
    </row>
    <row r="6849" spans="1:2" x14ac:dyDescent="0.25">
      <c r="A6849" t="s">
        <v>6874</v>
      </c>
      <c r="B6849" t="s">
        <v>14128</v>
      </c>
    </row>
    <row r="6850" spans="1:2" x14ac:dyDescent="0.25">
      <c r="A6850" t="s">
        <v>6875</v>
      </c>
      <c r="B6850" t="s">
        <v>14129</v>
      </c>
    </row>
    <row r="6851" spans="1:2" x14ac:dyDescent="0.25">
      <c r="A6851" t="s">
        <v>6876</v>
      </c>
      <c r="B6851" t="s">
        <v>14130</v>
      </c>
    </row>
    <row r="6852" spans="1:2" x14ac:dyDescent="0.25">
      <c r="A6852" t="s">
        <v>6877</v>
      </c>
      <c r="B6852" t="s">
        <v>14131</v>
      </c>
    </row>
    <row r="6853" spans="1:2" x14ac:dyDescent="0.25">
      <c r="A6853" t="s">
        <v>6878</v>
      </c>
      <c r="B6853" t="s">
        <v>14132</v>
      </c>
    </row>
    <row r="6854" spans="1:2" x14ac:dyDescent="0.25">
      <c r="A6854" t="s">
        <v>6879</v>
      </c>
      <c r="B6854" t="s">
        <v>14133</v>
      </c>
    </row>
    <row r="6855" spans="1:2" x14ac:dyDescent="0.25">
      <c r="A6855" t="s">
        <v>6880</v>
      </c>
      <c r="B6855" t="s">
        <v>14134</v>
      </c>
    </row>
    <row r="6856" spans="1:2" x14ac:dyDescent="0.25">
      <c r="A6856" t="s">
        <v>6881</v>
      </c>
      <c r="B6856" t="s">
        <v>14135</v>
      </c>
    </row>
    <row r="6857" spans="1:2" x14ac:dyDescent="0.25">
      <c r="A6857" t="s">
        <v>6882</v>
      </c>
      <c r="B6857" t="s">
        <v>14136</v>
      </c>
    </row>
    <row r="6858" spans="1:2" x14ac:dyDescent="0.25">
      <c r="A6858" t="s">
        <v>6883</v>
      </c>
      <c r="B6858" t="s">
        <v>14137</v>
      </c>
    </row>
    <row r="6859" spans="1:2" x14ac:dyDescent="0.25">
      <c r="A6859" t="s">
        <v>6884</v>
      </c>
      <c r="B6859" t="s">
        <v>14138</v>
      </c>
    </row>
    <row r="6860" spans="1:2" x14ac:dyDescent="0.25">
      <c r="A6860" t="s">
        <v>6885</v>
      </c>
      <c r="B6860" t="s">
        <v>14139</v>
      </c>
    </row>
    <row r="6861" spans="1:2" x14ac:dyDescent="0.25">
      <c r="A6861" t="s">
        <v>6886</v>
      </c>
      <c r="B6861" t="s">
        <v>14140</v>
      </c>
    </row>
    <row r="6862" spans="1:2" x14ac:dyDescent="0.25">
      <c r="A6862" t="s">
        <v>6887</v>
      </c>
      <c r="B6862" t="s">
        <v>14141</v>
      </c>
    </row>
    <row r="6863" spans="1:2" x14ac:dyDescent="0.25">
      <c r="A6863" t="s">
        <v>6888</v>
      </c>
      <c r="B6863" t="s">
        <v>14142</v>
      </c>
    </row>
    <row r="6864" spans="1:2" x14ac:dyDescent="0.25">
      <c r="A6864" t="s">
        <v>6889</v>
      </c>
      <c r="B6864" t="s">
        <v>14143</v>
      </c>
    </row>
    <row r="6865" spans="1:2" x14ac:dyDescent="0.25">
      <c r="A6865" t="s">
        <v>6890</v>
      </c>
      <c r="B6865" t="s">
        <v>14144</v>
      </c>
    </row>
    <row r="6866" spans="1:2" x14ac:dyDescent="0.25">
      <c r="A6866" t="s">
        <v>6891</v>
      </c>
      <c r="B6866" t="s">
        <v>14145</v>
      </c>
    </row>
    <row r="6867" spans="1:2" x14ac:dyDescent="0.25">
      <c r="A6867" t="s">
        <v>6892</v>
      </c>
      <c r="B6867" t="s">
        <v>14146</v>
      </c>
    </row>
    <row r="6868" spans="1:2" x14ac:dyDescent="0.25">
      <c r="A6868" t="s">
        <v>6893</v>
      </c>
      <c r="B6868" t="s">
        <v>14147</v>
      </c>
    </row>
    <row r="6869" spans="1:2" x14ac:dyDescent="0.25">
      <c r="A6869" t="s">
        <v>6894</v>
      </c>
      <c r="B6869" t="s">
        <v>14148</v>
      </c>
    </row>
    <row r="6870" spans="1:2" x14ac:dyDescent="0.25">
      <c r="A6870" t="s">
        <v>6895</v>
      </c>
      <c r="B6870" t="s">
        <v>14149</v>
      </c>
    </row>
    <row r="6871" spans="1:2" x14ac:dyDescent="0.25">
      <c r="A6871" t="s">
        <v>6896</v>
      </c>
      <c r="B6871" t="s">
        <v>14150</v>
      </c>
    </row>
    <row r="6872" spans="1:2" x14ac:dyDescent="0.25">
      <c r="A6872" t="s">
        <v>6897</v>
      </c>
      <c r="B6872" t="s">
        <v>14151</v>
      </c>
    </row>
    <row r="6873" spans="1:2" x14ac:dyDescent="0.25">
      <c r="A6873" t="s">
        <v>6898</v>
      </c>
      <c r="B6873" t="s">
        <v>14152</v>
      </c>
    </row>
    <row r="6874" spans="1:2" x14ac:dyDescent="0.25">
      <c r="A6874" t="s">
        <v>6899</v>
      </c>
      <c r="B6874" t="s">
        <v>14153</v>
      </c>
    </row>
    <row r="6875" spans="1:2" x14ac:dyDescent="0.25">
      <c r="A6875" t="s">
        <v>6900</v>
      </c>
      <c r="B6875" t="s">
        <v>14154</v>
      </c>
    </row>
    <row r="6876" spans="1:2" x14ac:dyDescent="0.25">
      <c r="A6876" t="s">
        <v>6901</v>
      </c>
      <c r="B6876" t="s">
        <v>14155</v>
      </c>
    </row>
    <row r="6877" spans="1:2" x14ac:dyDescent="0.25">
      <c r="A6877" t="s">
        <v>6902</v>
      </c>
      <c r="B6877" t="s">
        <v>14156</v>
      </c>
    </row>
    <row r="6878" spans="1:2" x14ac:dyDescent="0.25">
      <c r="A6878" t="s">
        <v>6903</v>
      </c>
      <c r="B6878" t="s">
        <v>14157</v>
      </c>
    </row>
    <row r="6879" spans="1:2" x14ac:dyDescent="0.25">
      <c r="A6879" t="s">
        <v>6904</v>
      </c>
      <c r="B6879" t="s">
        <v>14158</v>
      </c>
    </row>
    <row r="6880" spans="1:2" x14ac:dyDescent="0.25">
      <c r="A6880" t="s">
        <v>6905</v>
      </c>
      <c r="B6880" t="s">
        <v>14159</v>
      </c>
    </row>
    <row r="6881" spans="1:2" x14ac:dyDescent="0.25">
      <c r="A6881" t="s">
        <v>6906</v>
      </c>
      <c r="B6881" t="s">
        <v>14160</v>
      </c>
    </row>
    <row r="6882" spans="1:2" x14ac:dyDescent="0.25">
      <c r="A6882" t="s">
        <v>6907</v>
      </c>
      <c r="B6882" t="s">
        <v>14161</v>
      </c>
    </row>
    <row r="6883" spans="1:2" x14ac:dyDescent="0.25">
      <c r="A6883" t="s">
        <v>6908</v>
      </c>
      <c r="B6883" t="s">
        <v>14162</v>
      </c>
    </row>
    <row r="6884" spans="1:2" x14ac:dyDescent="0.25">
      <c r="A6884" t="s">
        <v>6909</v>
      </c>
      <c r="B6884" t="s">
        <v>14163</v>
      </c>
    </row>
    <row r="6885" spans="1:2" x14ac:dyDescent="0.25">
      <c r="A6885" t="s">
        <v>6910</v>
      </c>
      <c r="B6885" t="s">
        <v>14164</v>
      </c>
    </row>
    <row r="6886" spans="1:2" x14ac:dyDescent="0.25">
      <c r="A6886" t="s">
        <v>6911</v>
      </c>
      <c r="B6886" t="s">
        <v>14165</v>
      </c>
    </row>
    <row r="6887" spans="1:2" x14ac:dyDescent="0.25">
      <c r="A6887" t="s">
        <v>6912</v>
      </c>
      <c r="B6887" t="s">
        <v>14166</v>
      </c>
    </row>
    <row r="6888" spans="1:2" x14ac:dyDescent="0.25">
      <c r="A6888" t="s">
        <v>6913</v>
      </c>
      <c r="B6888" t="s">
        <v>14167</v>
      </c>
    </row>
    <row r="6889" spans="1:2" x14ac:dyDescent="0.25">
      <c r="A6889" t="s">
        <v>6914</v>
      </c>
      <c r="B6889" t="s">
        <v>14168</v>
      </c>
    </row>
    <row r="6890" spans="1:2" x14ac:dyDescent="0.25">
      <c r="A6890" t="s">
        <v>6915</v>
      </c>
      <c r="B6890" t="s">
        <v>14169</v>
      </c>
    </row>
    <row r="6891" spans="1:2" x14ac:dyDescent="0.25">
      <c r="A6891" t="s">
        <v>6916</v>
      </c>
      <c r="B6891" t="s">
        <v>14170</v>
      </c>
    </row>
    <row r="6892" spans="1:2" x14ac:dyDescent="0.25">
      <c r="A6892" t="s">
        <v>6917</v>
      </c>
      <c r="B6892" t="s">
        <v>14171</v>
      </c>
    </row>
    <row r="6893" spans="1:2" x14ac:dyDescent="0.25">
      <c r="A6893" t="s">
        <v>6918</v>
      </c>
      <c r="B6893" t="s">
        <v>14172</v>
      </c>
    </row>
    <row r="6894" spans="1:2" x14ac:dyDescent="0.25">
      <c r="A6894" t="s">
        <v>6919</v>
      </c>
      <c r="B6894" t="s">
        <v>14173</v>
      </c>
    </row>
    <row r="6895" spans="1:2" x14ac:dyDescent="0.25">
      <c r="A6895" t="s">
        <v>6920</v>
      </c>
      <c r="B6895" t="s">
        <v>14174</v>
      </c>
    </row>
    <row r="6896" spans="1:2" x14ac:dyDescent="0.25">
      <c r="A6896" t="s">
        <v>6921</v>
      </c>
      <c r="B6896" t="s">
        <v>14175</v>
      </c>
    </row>
    <row r="6897" spans="1:2" x14ac:dyDescent="0.25">
      <c r="A6897" t="s">
        <v>6922</v>
      </c>
      <c r="B6897" t="s">
        <v>14176</v>
      </c>
    </row>
    <row r="6898" spans="1:2" x14ac:dyDescent="0.25">
      <c r="A6898" t="s">
        <v>6923</v>
      </c>
      <c r="B6898" t="s">
        <v>14177</v>
      </c>
    </row>
    <row r="6899" spans="1:2" x14ac:dyDescent="0.25">
      <c r="A6899" t="s">
        <v>6924</v>
      </c>
      <c r="B6899" t="s">
        <v>14178</v>
      </c>
    </row>
    <row r="6900" spans="1:2" x14ac:dyDescent="0.25">
      <c r="A6900" t="s">
        <v>6925</v>
      </c>
      <c r="B6900" t="s">
        <v>14179</v>
      </c>
    </row>
    <row r="6901" spans="1:2" x14ac:dyDescent="0.25">
      <c r="A6901" t="s">
        <v>6926</v>
      </c>
      <c r="B6901" t="s">
        <v>14180</v>
      </c>
    </row>
    <row r="6902" spans="1:2" x14ac:dyDescent="0.25">
      <c r="A6902" t="s">
        <v>6927</v>
      </c>
      <c r="B6902" t="s">
        <v>14181</v>
      </c>
    </row>
    <row r="6903" spans="1:2" x14ac:dyDescent="0.25">
      <c r="A6903" t="s">
        <v>6928</v>
      </c>
      <c r="B6903" t="s">
        <v>14182</v>
      </c>
    </row>
    <row r="6904" spans="1:2" x14ac:dyDescent="0.25">
      <c r="A6904" t="s">
        <v>6929</v>
      </c>
      <c r="B6904" t="s">
        <v>14183</v>
      </c>
    </row>
    <row r="6905" spans="1:2" x14ac:dyDescent="0.25">
      <c r="A6905" t="s">
        <v>6930</v>
      </c>
      <c r="B6905" t="s">
        <v>14184</v>
      </c>
    </row>
    <row r="6906" spans="1:2" x14ac:dyDescent="0.25">
      <c r="A6906" t="s">
        <v>6931</v>
      </c>
      <c r="B6906" t="s">
        <v>14185</v>
      </c>
    </row>
    <row r="6907" spans="1:2" x14ac:dyDescent="0.25">
      <c r="A6907" t="s">
        <v>6932</v>
      </c>
      <c r="B6907" t="s">
        <v>14186</v>
      </c>
    </row>
    <row r="6908" spans="1:2" x14ac:dyDescent="0.25">
      <c r="A6908" t="s">
        <v>6933</v>
      </c>
      <c r="B6908" t="s">
        <v>14187</v>
      </c>
    </row>
    <row r="6909" spans="1:2" x14ac:dyDescent="0.25">
      <c r="A6909" t="s">
        <v>6934</v>
      </c>
      <c r="B6909" t="s">
        <v>14188</v>
      </c>
    </row>
    <row r="6910" spans="1:2" x14ac:dyDescent="0.25">
      <c r="A6910" t="s">
        <v>6935</v>
      </c>
      <c r="B6910" t="s">
        <v>14189</v>
      </c>
    </row>
    <row r="6911" spans="1:2" x14ac:dyDescent="0.25">
      <c r="A6911" t="s">
        <v>6936</v>
      </c>
      <c r="B6911" t="s">
        <v>14190</v>
      </c>
    </row>
    <row r="6912" spans="1:2" x14ac:dyDescent="0.25">
      <c r="A6912" t="s">
        <v>6937</v>
      </c>
      <c r="B6912" t="s">
        <v>14191</v>
      </c>
    </row>
    <row r="6913" spans="1:2" x14ac:dyDescent="0.25">
      <c r="A6913" t="s">
        <v>6938</v>
      </c>
      <c r="B6913" t="s">
        <v>14192</v>
      </c>
    </row>
    <row r="6914" spans="1:2" x14ac:dyDescent="0.25">
      <c r="A6914" t="s">
        <v>6939</v>
      </c>
      <c r="B6914" t="s">
        <v>14193</v>
      </c>
    </row>
    <row r="6915" spans="1:2" x14ac:dyDescent="0.25">
      <c r="A6915" t="s">
        <v>6940</v>
      </c>
      <c r="B6915" t="s">
        <v>14194</v>
      </c>
    </row>
    <row r="6916" spans="1:2" x14ac:dyDescent="0.25">
      <c r="A6916" t="s">
        <v>6941</v>
      </c>
      <c r="B6916" t="s">
        <v>14195</v>
      </c>
    </row>
    <row r="6917" spans="1:2" x14ac:dyDescent="0.25">
      <c r="A6917" t="s">
        <v>6942</v>
      </c>
      <c r="B6917" t="s">
        <v>14196</v>
      </c>
    </row>
    <row r="6918" spans="1:2" x14ac:dyDescent="0.25">
      <c r="A6918" t="s">
        <v>6943</v>
      </c>
      <c r="B6918" t="s">
        <v>14197</v>
      </c>
    </row>
    <row r="6919" spans="1:2" x14ac:dyDescent="0.25">
      <c r="A6919" t="s">
        <v>6944</v>
      </c>
      <c r="B6919" t="s">
        <v>14198</v>
      </c>
    </row>
    <row r="6920" spans="1:2" x14ac:dyDescent="0.25">
      <c r="A6920" t="s">
        <v>6945</v>
      </c>
      <c r="B6920" t="s">
        <v>14199</v>
      </c>
    </row>
    <row r="6921" spans="1:2" x14ac:dyDescent="0.25">
      <c r="A6921" t="s">
        <v>6946</v>
      </c>
      <c r="B6921" t="s">
        <v>14200</v>
      </c>
    </row>
    <row r="6922" spans="1:2" x14ac:dyDescent="0.25">
      <c r="A6922" t="s">
        <v>6947</v>
      </c>
      <c r="B6922" t="s">
        <v>14201</v>
      </c>
    </row>
    <row r="6923" spans="1:2" x14ac:dyDescent="0.25">
      <c r="A6923" t="s">
        <v>6948</v>
      </c>
      <c r="B6923" t="s">
        <v>14202</v>
      </c>
    </row>
    <row r="6924" spans="1:2" x14ac:dyDescent="0.25">
      <c r="A6924" t="s">
        <v>6949</v>
      </c>
      <c r="B6924" t="s">
        <v>14203</v>
      </c>
    </row>
    <row r="6925" spans="1:2" x14ac:dyDescent="0.25">
      <c r="A6925" t="s">
        <v>6950</v>
      </c>
      <c r="B6925" t="s">
        <v>14204</v>
      </c>
    </row>
    <row r="6926" spans="1:2" x14ac:dyDescent="0.25">
      <c r="A6926" t="s">
        <v>6951</v>
      </c>
      <c r="B6926" t="s">
        <v>14205</v>
      </c>
    </row>
    <row r="6927" spans="1:2" x14ac:dyDescent="0.25">
      <c r="A6927" t="s">
        <v>6952</v>
      </c>
      <c r="B6927" t="s">
        <v>14206</v>
      </c>
    </row>
    <row r="6928" spans="1:2" x14ac:dyDescent="0.25">
      <c r="A6928" t="s">
        <v>6953</v>
      </c>
      <c r="B6928" t="s">
        <v>14207</v>
      </c>
    </row>
    <row r="6929" spans="1:2" x14ac:dyDescent="0.25">
      <c r="A6929" t="s">
        <v>6954</v>
      </c>
      <c r="B6929" t="s">
        <v>14208</v>
      </c>
    </row>
    <row r="6930" spans="1:2" x14ac:dyDescent="0.25">
      <c r="A6930" t="s">
        <v>6955</v>
      </c>
      <c r="B6930" t="s">
        <v>14209</v>
      </c>
    </row>
    <row r="6931" spans="1:2" x14ac:dyDescent="0.25">
      <c r="A6931" t="s">
        <v>6956</v>
      </c>
      <c r="B6931" t="s">
        <v>14210</v>
      </c>
    </row>
    <row r="6932" spans="1:2" x14ac:dyDescent="0.25">
      <c r="A6932" t="s">
        <v>6957</v>
      </c>
      <c r="B6932" t="s">
        <v>14211</v>
      </c>
    </row>
    <row r="6933" spans="1:2" x14ac:dyDescent="0.25">
      <c r="A6933" t="s">
        <v>6958</v>
      </c>
      <c r="B6933" t="s">
        <v>14212</v>
      </c>
    </row>
    <row r="6934" spans="1:2" x14ac:dyDescent="0.25">
      <c r="A6934" t="s">
        <v>6959</v>
      </c>
      <c r="B6934" t="s">
        <v>14213</v>
      </c>
    </row>
    <row r="6935" spans="1:2" x14ac:dyDescent="0.25">
      <c r="A6935" t="s">
        <v>6960</v>
      </c>
      <c r="B6935" t="s">
        <v>14214</v>
      </c>
    </row>
    <row r="6936" spans="1:2" x14ac:dyDescent="0.25">
      <c r="A6936" t="s">
        <v>6961</v>
      </c>
      <c r="B6936" t="s">
        <v>14215</v>
      </c>
    </row>
    <row r="6937" spans="1:2" x14ac:dyDescent="0.25">
      <c r="A6937" t="s">
        <v>6962</v>
      </c>
      <c r="B6937" t="s">
        <v>14216</v>
      </c>
    </row>
    <row r="6938" spans="1:2" x14ac:dyDescent="0.25">
      <c r="A6938" t="s">
        <v>6963</v>
      </c>
      <c r="B6938" t="s">
        <v>14217</v>
      </c>
    </row>
    <row r="6939" spans="1:2" x14ac:dyDescent="0.25">
      <c r="A6939" t="s">
        <v>6964</v>
      </c>
      <c r="B6939" t="s">
        <v>14218</v>
      </c>
    </row>
    <row r="6940" spans="1:2" x14ac:dyDescent="0.25">
      <c r="A6940" t="s">
        <v>6965</v>
      </c>
      <c r="B6940" t="s">
        <v>14219</v>
      </c>
    </row>
    <row r="6941" spans="1:2" x14ac:dyDescent="0.25">
      <c r="A6941" t="s">
        <v>6966</v>
      </c>
      <c r="B6941" t="s">
        <v>14220</v>
      </c>
    </row>
    <row r="6942" spans="1:2" x14ac:dyDescent="0.25">
      <c r="A6942" t="s">
        <v>6967</v>
      </c>
      <c r="B6942" t="s">
        <v>14221</v>
      </c>
    </row>
    <row r="6943" spans="1:2" x14ac:dyDescent="0.25">
      <c r="A6943" t="s">
        <v>6968</v>
      </c>
      <c r="B6943" t="s">
        <v>14222</v>
      </c>
    </row>
    <row r="6944" spans="1:2" x14ac:dyDescent="0.25">
      <c r="A6944" t="s">
        <v>6969</v>
      </c>
      <c r="B6944" t="s">
        <v>14223</v>
      </c>
    </row>
    <row r="6945" spans="1:2" x14ac:dyDescent="0.25">
      <c r="A6945" t="s">
        <v>6970</v>
      </c>
      <c r="B6945" t="s">
        <v>14224</v>
      </c>
    </row>
    <row r="6946" spans="1:2" x14ac:dyDescent="0.25">
      <c r="A6946" t="s">
        <v>6971</v>
      </c>
      <c r="B6946" t="s">
        <v>14225</v>
      </c>
    </row>
    <row r="6947" spans="1:2" x14ac:dyDescent="0.25">
      <c r="A6947" t="s">
        <v>6972</v>
      </c>
      <c r="B6947" t="s">
        <v>14226</v>
      </c>
    </row>
    <row r="6948" spans="1:2" x14ac:dyDescent="0.25">
      <c r="A6948" t="s">
        <v>6973</v>
      </c>
      <c r="B6948" t="s">
        <v>14227</v>
      </c>
    </row>
    <row r="6949" spans="1:2" x14ac:dyDescent="0.25">
      <c r="A6949" t="s">
        <v>6974</v>
      </c>
      <c r="B6949" t="s">
        <v>14228</v>
      </c>
    </row>
    <row r="6950" spans="1:2" x14ac:dyDescent="0.25">
      <c r="A6950" t="s">
        <v>6975</v>
      </c>
      <c r="B6950" t="s">
        <v>14229</v>
      </c>
    </row>
    <row r="6951" spans="1:2" x14ac:dyDescent="0.25">
      <c r="A6951" t="s">
        <v>6976</v>
      </c>
      <c r="B6951" t="s">
        <v>14230</v>
      </c>
    </row>
    <row r="6952" spans="1:2" x14ac:dyDescent="0.25">
      <c r="A6952" t="s">
        <v>6977</v>
      </c>
      <c r="B6952" t="s">
        <v>14231</v>
      </c>
    </row>
    <row r="6953" spans="1:2" x14ac:dyDescent="0.25">
      <c r="A6953" t="s">
        <v>6978</v>
      </c>
      <c r="B6953" t="s">
        <v>14232</v>
      </c>
    </row>
    <row r="6954" spans="1:2" x14ac:dyDescent="0.25">
      <c r="A6954" t="s">
        <v>6979</v>
      </c>
      <c r="B6954" t="s">
        <v>14233</v>
      </c>
    </row>
    <row r="6955" spans="1:2" x14ac:dyDescent="0.25">
      <c r="A6955" t="s">
        <v>6980</v>
      </c>
      <c r="B6955" t="s">
        <v>14234</v>
      </c>
    </row>
    <row r="6956" spans="1:2" x14ac:dyDescent="0.25">
      <c r="A6956" t="s">
        <v>6981</v>
      </c>
      <c r="B6956" t="s">
        <v>14235</v>
      </c>
    </row>
    <row r="6957" spans="1:2" x14ac:dyDescent="0.25">
      <c r="A6957" t="s">
        <v>6982</v>
      </c>
      <c r="B6957" t="s">
        <v>14236</v>
      </c>
    </row>
    <row r="6958" spans="1:2" x14ac:dyDescent="0.25">
      <c r="A6958" t="s">
        <v>6983</v>
      </c>
      <c r="B6958" t="s">
        <v>14237</v>
      </c>
    </row>
    <row r="6959" spans="1:2" x14ac:dyDescent="0.25">
      <c r="A6959" t="s">
        <v>6984</v>
      </c>
      <c r="B6959" t="s">
        <v>14238</v>
      </c>
    </row>
    <row r="6960" spans="1:2" x14ac:dyDescent="0.25">
      <c r="A6960" t="s">
        <v>6985</v>
      </c>
      <c r="B6960" t="s">
        <v>14239</v>
      </c>
    </row>
    <row r="6961" spans="1:2" x14ac:dyDescent="0.25">
      <c r="A6961" t="s">
        <v>6986</v>
      </c>
      <c r="B6961" t="s">
        <v>14240</v>
      </c>
    </row>
    <row r="6962" spans="1:2" x14ac:dyDescent="0.25">
      <c r="A6962" t="s">
        <v>6987</v>
      </c>
      <c r="B6962" t="s">
        <v>14241</v>
      </c>
    </row>
    <row r="6963" spans="1:2" x14ac:dyDescent="0.25">
      <c r="A6963" t="s">
        <v>6988</v>
      </c>
      <c r="B6963" t="s">
        <v>14242</v>
      </c>
    </row>
    <row r="6964" spans="1:2" x14ac:dyDescent="0.25">
      <c r="A6964" t="s">
        <v>6989</v>
      </c>
      <c r="B6964" t="s">
        <v>14243</v>
      </c>
    </row>
    <row r="6965" spans="1:2" x14ac:dyDescent="0.25">
      <c r="A6965" t="s">
        <v>6990</v>
      </c>
      <c r="B6965" t="s">
        <v>14244</v>
      </c>
    </row>
    <row r="6966" spans="1:2" x14ac:dyDescent="0.25">
      <c r="A6966" t="s">
        <v>6991</v>
      </c>
      <c r="B6966" t="s">
        <v>14245</v>
      </c>
    </row>
    <row r="6967" spans="1:2" x14ac:dyDescent="0.25">
      <c r="A6967" t="s">
        <v>6992</v>
      </c>
      <c r="B6967" t="s">
        <v>14246</v>
      </c>
    </row>
    <row r="6968" spans="1:2" x14ac:dyDescent="0.25">
      <c r="A6968" t="s">
        <v>6993</v>
      </c>
      <c r="B6968" t="s">
        <v>14247</v>
      </c>
    </row>
    <row r="6969" spans="1:2" x14ac:dyDescent="0.25">
      <c r="A6969" t="s">
        <v>6994</v>
      </c>
      <c r="B6969" t="s">
        <v>14248</v>
      </c>
    </row>
    <row r="6970" spans="1:2" x14ac:dyDescent="0.25">
      <c r="A6970" t="s">
        <v>6995</v>
      </c>
      <c r="B6970" t="s">
        <v>14249</v>
      </c>
    </row>
    <row r="6971" spans="1:2" x14ac:dyDescent="0.25">
      <c r="A6971" t="s">
        <v>6996</v>
      </c>
      <c r="B6971" t="s">
        <v>14250</v>
      </c>
    </row>
    <row r="6972" spans="1:2" x14ac:dyDescent="0.25">
      <c r="A6972" t="s">
        <v>6997</v>
      </c>
      <c r="B6972" t="s">
        <v>14251</v>
      </c>
    </row>
    <row r="6973" spans="1:2" x14ac:dyDescent="0.25">
      <c r="A6973" t="s">
        <v>6998</v>
      </c>
      <c r="B6973" t="s">
        <v>14252</v>
      </c>
    </row>
    <row r="6974" spans="1:2" x14ac:dyDescent="0.25">
      <c r="A6974" t="s">
        <v>6999</v>
      </c>
      <c r="B6974" t="s">
        <v>14253</v>
      </c>
    </row>
    <row r="6975" spans="1:2" x14ac:dyDescent="0.25">
      <c r="A6975" t="s">
        <v>7000</v>
      </c>
      <c r="B6975" t="s">
        <v>14254</v>
      </c>
    </row>
    <row r="6976" spans="1:2" x14ac:dyDescent="0.25">
      <c r="A6976" t="s">
        <v>7001</v>
      </c>
      <c r="B6976" t="s">
        <v>14255</v>
      </c>
    </row>
    <row r="6977" spans="1:2" x14ac:dyDescent="0.25">
      <c r="A6977" t="s">
        <v>7002</v>
      </c>
      <c r="B6977" t="s">
        <v>14256</v>
      </c>
    </row>
    <row r="6978" spans="1:2" x14ac:dyDescent="0.25">
      <c r="A6978" t="s">
        <v>7003</v>
      </c>
      <c r="B6978" t="s">
        <v>14257</v>
      </c>
    </row>
    <row r="6979" spans="1:2" x14ac:dyDescent="0.25">
      <c r="A6979" t="s">
        <v>7004</v>
      </c>
      <c r="B6979" t="s">
        <v>14258</v>
      </c>
    </row>
    <row r="6980" spans="1:2" x14ac:dyDescent="0.25">
      <c r="A6980" t="s">
        <v>7005</v>
      </c>
      <c r="B6980" t="s">
        <v>14259</v>
      </c>
    </row>
    <row r="6981" spans="1:2" x14ac:dyDescent="0.25">
      <c r="A6981" t="s">
        <v>7006</v>
      </c>
      <c r="B6981" t="s">
        <v>14260</v>
      </c>
    </row>
    <row r="6982" spans="1:2" x14ac:dyDescent="0.25">
      <c r="A6982" t="s">
        <v>7007</v>
      </c>
      <c r="B6982" t="s">
        <v>14261</v>
      </c>
    </row>
    <row r="6983" spans="1:2" x14ac:dyDescent="0.25">
      <c r="A6983" t="s">
        <v>7008</v>
      </c>
      <c r="B6983" t="s">
        <v>14262</v>
      </c>
    </row>
    <row r="6984" spans="1:2" x14ac:dyDescent="0.25">
      <c r="A6984" t="s">
        <v>7009</v>
      </c>
      <c r="B6984" t="s">
        <v>14263</v>
      </c>
    </row>
    <row r="6985" spans="1:2" x14ac:dyDescent="0.25">
      <c r="A6985" t="s">
        <v>7010</v>
      </c>
      <c r="B6985" t="s">
        <v>14264</v>
      </c>
    </row>
    <row r="6986" spans="1:2" x14ac:dyDescent="0.25">
      <c r="A6986" t="s">
        <v>7011</v>
      </c>
      <c r="B6986" t="s">
        <v>14265</v>
      </c>
    </row>
    <row r="6987" spans="1:2" x14ac:dyDescent="0.25">
      <c r="A6987" t="s">
        <v>7012</v>
      </c>
      <c r="B6987" t="s">
        <v>14266</v>
      </c>
    </row>
    <row r="6988" spans="1:2" x14ac:dyDescent="0.25">
      <c r="A6988" t="s">
        <v>7013</v>
      </c>
      <c r="B6988" t="s">
        <v>14267</v>
      </c>
    </row>
    <row r="6989" spans="1:2" x14ac:dyDescent="0.25">
      <c r="A6989" t="s">
        <v>7014</v>
      </c>
      <c r="B6989" t="s">
        <v>14268</v>
      </c>
    </row>
    <row r="6990" spans="1:2" x14ac:dyDescent="0.25">
      <c r="A6990" t="s">
        <v>7015</v>
      </c>
      <c r="B6990" t="s">
        <v>14269</v>
      </c>
    </row>
    <row r="6991" spans="1:2" x14ac:dyDescent="0.25">
      <c r="A6991" t="s">
        <v>7016</v>
      </c>
      <c r="B6991" t="s">
        <v>14270</v>
      </c>
    </row>
    <row r="6992" spans="1:2" x14ac:dyDescent="0.25">
      <c r="A6992" t="s">
        <v>7017</v>
      </c>
      <c r="B6992" t="s">
        <v>14271</v>
      </c>
    </row>
    <row r="6993" spans="1:2" x14ac:dyDescent="0.25">
      <c r="A6993" t="s">
        <v>7018</v>
      </c>
      <c r="B6993" t="s">
        <v>14272</v>
      </c>
    </row>
    <row r="6994" spans="1:2" x14ac:dyDescent="0.25">
      <c r="A6994" t="s">
        <v>7019</v>
      </c>
      <c r="B6994" t="s">
        <v>14273</v>
      </c>
    </row>
    <row r="6995" spans="1:2" x14ac:dyDescent="0.25">
      <c r="A6995" t="s">
        <v>7020</v>
      </c>
      <c r="B6995" t="s">
        <v>14274</v>
      </c>
    </row>
    <row r="6996" spans="1:2" x14ac:dyDescent="0.25">
      <c r="A6996" t="s">
        <v>7021</v>
      </c>
      <c r="B6996" t="s">
        <v>14275</v>
      </c>
    </row>
    <row r="6997" spans="1:2" x14ac:dyDescent="0.25">
      <c r="A6997" t="s">
        <v>7022</v>
      </c>
      <c r="B6997" t="s">
        <v>14276</v>
      </c>
    </row>
    <row r="6998" spans="1:2" x14ac:dyDescent="0.25">
      <c r="A6998" t="s">
        <v>7023</v>
      </c>
      <c r="B6998" t="s">
        <v>14277</v>
      </c>
    </row>
    <row r="6999" spans="1:2" x14ac:dyDescent="0.25">
      <c r="A6999" t="s">
        <v>7024</v>
      </c>
      <c r="B6999" t="s">
        <v>14278</v>
      </c>
    </row>
    <row r="7000" spans="1:2" x14ac:dyDescent="0.25">
      <c r="A7000" t="s">
        <v>7025</v>
      </c>
      <c r="B7000" t="s">
        <v>14279</v>
      </c>
    </row>
    <row r="7001" spans="1:2" x14ac:dyDescent="0.25">
      <c r="A7001" t="s">
        <v>7026</v>
      </c>
      <c r="B7001" t="s">
        <v>14280</v>
      </c>
    </row>
    <row r="7002" spans="1:2" x14ac:dyDescent="0.25">
      <c r="A7002" t="s">
        <v>7027</v>
      </c>
      <c r="B7002" t="s">
        <v>14281</v>
      </c>
    </row>
    <row r="7003" spans="1:2" x14ac:dyDescent="0.25">
      <c r="A7003" t="s">
        <v>7028</v>
      </c>
      <c r="B7003" t="s">
        <v>14282</v>
      </c>
    </row>
    <row r="7004" spans="1:2" x14ac:dyDescent="0.25">
      <c r="A7004" t="s">
        <v>7029</v>
      </c>
      <c r="B7004" t="s">
        <v>14283</v>
      </c>
    </row>
    <row r="7005" spans="1:2" x14ac:dyDescent="0.25">
      <c r="A7005" t="s">
        <v>7030</v>
      </c>
      <c r="B7005" t="s">
        <v>14284</v>
      </c>
    </row>
    <row r="7006" spans="1:2" x14ac:dyDescent="0.25">
      <c r="A7006" t="s">
        <v>7031</v>
      </c>
      <c r="B7006" t="s">
        <v>14285</v>
      </c>
    </row>
    <row r="7007" spans="1:2" x14ac:dyDescent="0.25">
      <c r="A7007" t="s">
        <v>7032</v>
      </c>
      <c r="B7007" t="s">
        <v>14286</v>
      </c>
    </row>
    <row r="7008" spans="1:2" x14ac:dyDescent="0.25">
      <c r="A7008" t="s">
        <v>7033</v>
      </c>
      <c r="B7008" t="s">
        <v>14287</v>
      </c>
    </row>
    <row r="7009" spans="1:2" x14ac:dyDescent="0.25">
      <c r="A7009" t="s">
        <v>7034</v>
      </c>
      <c r="B7009" t="s">
        <v>14288</v>
      </c>
    </row>
    <row r="7010" spans="1:2" x14ac:dyDescent="0.25">
      <c r="A7010" t="s">
        <v>7035</v>
      </c>
      <c r="B7010" t="s">
        <v>14289</v>
      </c>
    </row>
    <row r="7011" spans="1:2" x14ac:dyDescent="0.25">
      <c r="A7011" t="s">
        <v>7036</v>
      </c>
      <c r="B7011" t="s">
        <v>14290</v>
      </c>
    </row>
    <row r="7012" spans="1:2" x14ac:dyDescent="0.25">
      <c r="A7012" t="s">
        <v>7037</v>
      </c>
      <c r="B7012" t="s">
        <v>14291</v>
      </c>
    </row>
    <row r="7013" spans="1:2" x14ac:dyDescent="0.25">
      <c r="A7013" t="s">
        <v>7038</v>
      </c>
      <c r="B7013" t="s">
        <v>14292</v>
      </c>
    </row>
    <row r="7014" spans="1:2" x14ac:dyDescent="0.25">
      <c r="A7014" t="s">
        <v>7039</v>
      </c>
      <c r="B7014" t="s">
        <v>14293</v>
      </c>
    </row>
    <row r="7015" spans="1:2" x14ac:dyDescent="0.25">
      <c r="A7015" t="s">
        <v>7040</v>
      </c>
      <c r="B7015" t="s">
        <v>14294</v>
      </c>
    </row>
    <row r="7016" spans="1:2" x14ac:dyDescent="0.25">
      <c r="A7016" t="s">
        <v>7041</v>
      </c>
      <c r="B7016" t="s">
        <v>14295</v>
      </c>
    </row>
    <row r="7017" spans="1:2" x14ac:dyDescent="0.25">
      <c r="A7017" t="s">
        <v>7042</v>
      </c>
      <c r="B7017" t="s">
        <v>14296</v>
      </c>
    </row>
    <row r="7018" spans="1:2" x14ac:dyDescent="0.25">
      <c r="A7018" t="s">
        <v>7043</v>
      </c>
      <c r="B7018" t="s">
        <v>14297</v>
      </c>
    </row>
    <row r="7019" spans="1:2" x14ac:dyDescent="0.25">
      <c r="A7019" t="s">
        <v>7044</v>
      </c>
      <c r="B7019" t="s">
        <v>14298</v>
      </c>
    </row>
    <row r="7020" spans="1:2" x14ac:dyDescent="0.25">
      <c r="A7020" t="s">
        <v>7045</v>
      </c>
      <c r="B7020" t="s">
        <v>14299</v>
      </c>
    </row>
    <row r="7021" spans="1:2" x14ac:dyDescent="0.25">
      <c r="A7021" t="s">
        <v>7046</v>
      </c>
      <c r="B7021" t="s">
        <v>14300</v>
      </c>
    </row>
    <row r="7022" spans="1:2" x14ac:dyDescent="0.25">
      <c r="A7022" t="s">
        <v>7047</v>
      </c>
      <c r="B7022" t="s">
        <v>14301</v>
      </c>
    </row>
    <row r="7023" spans="1:2" x14ac:dyDescent="0.25">
      <c r="A7023" t="s">
        <v>7048</v>
      </c>
      <c r="B7023" t="s">
        <v>14302</v>
      </c>
    </row>
    <row r="7024" spans="1:2" x14ac:dyDescent="0.25">
      <c r="A7024" t="s">
        <v>7049</v>
      </c>
      <c r="B7024" t="s">
        <v>14303</v>
      </c>
    </row>
    <row r="7025" spans="1:2" x14ac:dyDescent="0.25">
      <c r="A7025" t="s">
        <v>7050</v>
      </c>
      <c r="B7025" t="s">
        <v>14304</v>
      </c>
    </row>
    <row r="7026" spans="1:2" x14ac:dyDescent="0.25">
      <c r="A7026" t="s">
        <v>7051</v>
      </c>
      <c r="B7026" t="s">
        <v>14305</v>
      </c>
    </row>
    <row r="7027" spans="1:2" x14ac:dyDescent="0.25">
      <c r="A7027" t="s">
        <v>7052</v>
      </c>
      <c r="B7027" t="s">
        <v>14306</v>
      </c>
    </row>
    <row r="7028" spans="1:2" x14ac:dyDescent="0.25">
      <c r="A7028" t="s">
        <v>7053</v>
      </c>
      <c r="B7028" t="s">
        <v>14307</v>
      </c>
    </row>
    <row r="7029" spans="1:2" x14ac:dyDescent="0.25">
      <c r="A7029" t="s">
        <v>7054</v>
      </c>
      <c r="B7029" t="s">
        <v>14308</v>
      </c>
    </row>
    <row r="7030" spans="1:2" x14ac:dyDescent="0.25">
      <c r="A7030" t="s">
        <v>7055</v>
      </c>
      <c r="B7030" t="s">
        <v>14309</v>
      </c>
    </row>
    <row r="7031" spans="1:2" x14ac:dyDescent="0.25">
      <c r="A7031" t="s">
        <v>7056</v>
      </c>
      <c r="B7031" t="s">
        <v>14310</v>
      </c>
    </row>
    <row r="7032" spans="1:2" x14ac:dyDescent="0.25">
      <c r="A7032" t="s">
        <v>7057</v>
      </c>
      <c r="B7032" t="s">
        <v>14311</v>
      </c>
    </row>
    <row r="7033" spans="1:2" x14ac:dyDescent="0.25">
      <c r="A7033" t="s">
        <v>7058</v>
      </c>
      <c r="B7033" t="s">
        <v>14312</v>
      </c>
    </row>
    <row r="7034" spans="1:2" x14ac:dyDescent="0.25">
      <c r="A7034" t="s">
        <v>7059</v>
      </c>
      <c r="B7034" t="s">
        <v>14313</v>
      </c>
    </row>
    <row r="7035" spans="1:2" x14ac:dyDescent="0.25">
      <c r="A7035" t="s">
        <v>7060</v>
      </c>
      <c r="B7035" t="s">
        <v>14314</v>
      </c>
    </row>
    <row r="7036" spans="1:2" x14ac:dyDescent="0.25">
      <c r="A7036" t="s">
        <v>7061</v>
      </c>
      <c r="B7036" t="s">
        <v>14315</v>
      </c>
    </row>
    <row r="7037" spans="1:2" x14ac:dyDescent="0.25">
      <c r="A7037" t="s">
        <v>7062</v>
      </c>
      <c r="B7037" t="s">
        <v>14316</v>
      </c>
    </row>
    <row r="7038" spans="1:2" x14ac:dyDescent="0.25">
      <c r="A7038" t="s">
        <v>7063</v>
      </c>
      <c r="B7038" t="s">
        <v>14317</v>
      </c>
    </row>
    <row r="7039" spans="1:2" x14ac:dyDescent="0.25">
      <c r="A7039" t="s">
        <v>7064</v>
      </c>
      <c r="B7039" t="s">
        <v>14318</v>
      </c>
    </row>
    <row r="7040" spans="1:2" x14ac:dyDescent="0.25">
      <c r="A7040" t="s">
        <v>7065</v>
      </c>
      <c r="B7040" t="s">
        <v>14319</v>
      </c>
    </row>
    <row r="7041" spans="1:2" x14ac:dyDescent="0.25">
      <c r="A7041" t="s">
        <v>7066</v>
      </c>
      <c r="B7041" t="s">
        <v>14320</v>
      </c>
    </row>
    <row r="7042" spans="1:2" x14ac:dyDescent="0.25">
      <c r="A7042" t="s">
        <v>7067</v>
      </c>
      <c r="B7042" t="s">
        <v>14321</v>
      </c>
    </row>
    <row r="7043" spans="1:2" x14ac:dyDescent="0.25">
      <c r="A7043" t="s">
        <v>7068</v>
      </c>
      <c r="B7043" t="s">
        <v>14322</v>
      </c>
    </row>
    <row r="7044" spans="1:2" x14ac:dyDescent="0.25">
      <c r="A7044" t="s">
        <v>7069</v>
      </c>
      <c r="B7044" t="s">
        <v>14323</v>
      </c>
    </row>
    <row r="7045" spans="1:2" x14ac:dyDescent="0.25">
      <c r="A7045" t="s">
        <v>7070</v>
      </c>
      <c r="B7045" t="s">
        <v>14324</v>
      </c>
    </row>
    <row r="7046" spans="1:2" x14ac:dyDescent="0.25">
      <c r="A7046" t="s">
        <v>7071</v>
      </c>
      <c r="B7046" t="s">
        <v>14325</v>
      </c>
    </row>
    <row r="7047" spans="1:2" x14ac:dyDescent="0.25">
      <c r="A7047" t="s">
        <v>7072</v>
      </c>
      <c r="B7047" t="s">
        <v>14326</v>
      </c>
    </row>
    <row r="7048" spans="1:2" x14ac:dyDescent="0.25">
      <c r="A7048" t="s">
        <v>7073</v>
      </c>
      <c r="B7048" t="s">
        <v>14327</v>
      </c>
    </row>
    <row r="7049" spans="1:2" x14ac:dyDescent="0.25">
      <c r="A7049" t="s">
        <v>7074</v>
      </c>
      <c r="B7049" t="s">
        <v>14328</v>
      </c>
    </row>
    <row r="7050" spans="1:2" x14ac:dyDescent="0.25">
      <c r="A7050" t="s">
        <v>7075</v>
      </c>
      <c r="B7050" t="s">
        <v>14329</v>
      </c>
    </row>
    <row r="7051" spans="1:2" x14ac:dyDescent="0.25">
      <c r="A7051" t="s">
        <v>7076</v>
      </c>
      <c r="B7051" t="s">
        <v>14330</v>
      </c>
    </row>
    <row r="7052" spans="1:2" x14ac:dyDescent="0.25">
      <c r="A7052" t="s">
        <v>7077</v>
      </c>
      <c r="B7052" t="s">
        <v>14331</v>
      </c>
    </row>
    <row r="7053" spans="1:2" x14ac:dyDescent="0.25">
      <c r="A7053" t="s">
        <v>7078</v>
      </c>
      <c r="B7053" t="s">
        <v>14332</v>
      </c>
    </row>
    <row r="7054" spans="1:2" x14ac:dyDescent="0.25">
      <c r="A7054" t="s">
        <v>7079</v>
      </c>
      <c r="B7054" t="s">
        <v>14333</v>
      </c>
    </row>
    <row r="7055" spans="1:2" x14ac:dyDescent="0.25">
      <c r="A7055" t="s">
        <v>7080</v>
      </c>
      <c r="B7055" t="s">
        <v>14334</v>
      </c>
    </row>
    <row r="7056" spans="1:2" x14ac:dyDescent="0.25">
      <c r="A7056" t="s">
        <v>7081</v>
      </c>
      <c r="B7056" t="s">
        <v>14335</v>
      </c>
    </row>
    <row r="7057" spans="1:2" x14ac:dyDescent="0.25">
      <c r="A7057" t="s">
        <v>7082</v>
      </c>
      <c r="B7057" t="s">
        <v>14336</v>
      </c>
    </row>
    <row r="7058" spans="1:2" x14ac:dyDescent="0.25">
      <c r="A7058" t="s">
        <v>7083</v>
      </c>
      <c r="B7058" t="s">
        <v>14337</v>
      </c>
    </row>
    <row r="7059" spans="1:2" x14ac:dyDescent="0.25">
      <c r="A7059" t="s">
        <v>7084</v>
      </c>
      <c r="B7059" t="s">
        <v>14338</v>
      </c>
    </row>
    <row r="7060" spans="1:2" x14ac:dyDescent="0.25">
      <c r="A7060" t="s">
        <v>7085</v>
      </c>
      <c r="B7060" t="s">
        <v>14339</v>
      </c>
    </row>
    <row r="7061" spans="1:2" x14ac:dyDescent="0.25">
      <c r="A7061" t="s">
        <v>7086</v>
      </c>
      <c r="B7061" t="s">
        <v>14339</v>
      </c>
    </row>
    <row r="7062" spans="1:2" x14ac:dyDescent="0.25">
      <c r="A7062" t="s">
        <v>7087</v>
      </c>
      <c r="B7062" t="s">
        <v>14340</v>
      </c>
    </row>
    <row r="7063" spans="1:2" x14ac:dyDescent="0.25">
      <c r="A7063" t="s">
        <v>7088</v>
      </c>
      <c r="B7063" t="s">
        <v>14341</v>
      </c>
    </row>
    <row r="7064" spans="1:2" x14ac:dyDescent="0.25">
      <c r="A7064" t="s">
        <v>7089</v>
      </c>
      <c r="B7064" t="s">
        <v>14342</v>
      </c>
    </row>
    <row r="7065" spans="1:2" x14ac:dyDescent="0.25">
      <c r="A7065" t="s">
        <v>7090</v>
      </c>
      <c r="B7065" t="s">
        <v>14343</v>
      </c>
    </row>
    <row r="7066" spans="1:2" x14ac:dyDescent="0.25">
      <c r="A7066" t="s">
        <v>7091</v>
      </c>
      <c r="B7066" t="s">
        <v>14344</v>
      </c>
    </row>
    <row r="7067" spans="1:2" x14ac:dyDescent="0.25">
      <c r="A7067" t="s">
        <v>7092</v>
      </c>
      <c r="B7067" t="s">
        <v>14345</v>
      </c>
    </row>
    <row r="7068" spans="1:2" x14ac:dyDescent="0.25">
      <c r="A7068" t="s">
        <v>7093</v>
      </c>
      <c r="B7068" t="s">
        <v>14346</v>
      </c>
    </row>
    <row r="7069" spans="1:2" x14ac:dyDescent="0.25">
      <c r="A7069" t="s">
        <v>7094</v>
      </c>
      <c r="B7069" t="s">
        <v>14347</v>
      </c>
    </row>
    <row r="7070" spans="1:2" x14ac:dyDescent="0.25">
      <c r="A7070" t="s">
        <v>7095</v>
      </c>
      <c r="B7070" t="s">
        <v>14348</v>
      </c>
    </row>
    <row r="7071" spans="1:2" x14ac:dyDescent="0.25">
      <c r="A7071" t="s">
        <v>7096</v>
      </c>
      <c r="B7071" t="s">
        <v>14349</v>
      </c>
    </row>
    <row r="7072" spans="1:2" x14ac:dyDescent="0.25">
      <c r="A7072" t="s">
        <v>7097</v>
      </c>
      <c r="B7072" t="s">
        <v>14350</v>
      </c>
    </row>
    <row r="7073" spans="1:2" x14ac:dyDescent="0.25">
      <c r="A7073" t="s">
        <v>7098</v>
      </c>
      <c r="B7073" t="s">
        <v>14351</v>
      </c>
    </row>
    <row r="7074" spans="1:2" x14ac:dyDescent="0.25">
      <c r="A7074" t="s">
        <v>7099</v>
      </c>
      <c r="B7074" t="s">
        <v>14352</v>
      </c>
    </row>
    <row r="7075" spans="1:2" x14ac:dyDescent="0.25">
      <c r="A7075" t="s">
        <v>7100</v>
      </c>
      <c r="B7075" t="s">
        <v>14353</v>
      </c>
    </row>
    <row r="7076" spans="1:2" x14ac:dyDescent="0.25">
      <c r="A7076" t="s">
        <v>7101</v>
      </c>
      <c r="B7076" t="s">
        <v>14354</v>
      </c>
    </row>
    <row r="7077" spans="1:2" x14ac:dyDescent="0.25">
      <c r="A7077" t="s">
        <v>7102</v>
      </c>
      <c r="B7077" t="s">
        <v>14355</v>
      </c>
    </row>
    <row r="7078" spans="1:2" x14ac:dyDescent="0.25">
      <c r="A7078" t="s">
        <v>7103</v>
      </c>
      <c r="B7078" t="s">
        <v>14356</v>
      </c>
    </row>
    <row r="7079" spans="1:2" x14ac:dyDescent="0.25">
      <c r="A7079" t="s">
        <v>7104</v>
      </c>
      <c r="B7079" t="s">
        <v>14357</v>
      </c>
    </row>
    <row r="7080" spans="1:2" x14ac:dyDescent="0.25">
      <c r="A7080" t="s">
        <v>7105</v>
      </c>
      <c r="B7080" t="s">
        <v>14358</v>
      </c>
    </row>
    <row r="7081" spans="1:2" x14ac:dyDescent="0.25">
      <c r="A7081" t="s">
        <v>7106</v>
      </c>
      <c r="B7081" t="s">
        <v>14359</v>
      </c>
    </row>
    <row r="7082" spans="1:2" x14ac:dyDescent="0.25">
      <c r="A7082" t="s">
        <v>7107</v>
      </c>
      <c r="B7082" t="s">
        <v>14360</v>
      </c>
    </row>
    <row r="7083" spans="1:2" x14ac:dyDescent="0.25">
      <c r="A7083" t="s">
        <v>7108</v>
      </c>
      <c r="B7083" t="s">
        <v>14361</v>
      </c>
    </row>
    <row r="7084" spans="1:2" x14ac:dyDescent="0.25">
      <c r="A7084" t="s">
        <v>7109</v>
      </c>
      <c r="B7084" t="s">
        <v>14362</v>
      </c>
    </row>
    <row r="7085" spans="1:2" x14ac:dyDescent="0.25">
      <c r="A7085" t="s">
        <v>7110</v>
      </c>
      <c r="B7085" t="s">
        <v>14363</v>
      </c>
    </row>
    <row r="7086" spans="1:2" x14ac:dyDescent="0.25">
      <c r="A7086" t="s">
        <v>7111</v>
      </c>
      <c r="B7086" t="s">
        <v>14364</v>
      </c>
    </row>
    <row r="7087" spans="1:2" x14ac:dyDescent="0.25">
      <c r="A7087" t="s">
        <v>7112</v>
      </c>
      <c r="B7087" t="s">
        <v>14365</v>
      </c>
    </row>
    <row r="7088" spans="1:2" x14ac:dyDescent="0.25">
      <c r="A7088" t="s">
        <v>7113</v>
      </c>
      <c r="B7088" t="s">
        <v>14366</v>
      </c>
    </row>
    <row r="7089" spans="1:2" x14ac:dyDescent="0.25">
      <c r="A7089" t="s">
        <v>7114</v>
      </c>
      <c r="B7089" t="s">
        <v>14367</v>
      </c>
    </row>
    <row r="7090" spans="1:2" x14ac:dyDescent="0.25">
      <c r="A7090" t="s">
        <v>7115</v>
      </c>
      <c r="B7090" t="s">
        <v>14368</v>
      </c>
    </row>
    <row r="7091" spans="1:2" x14ac:dyDescent="0.25">
      <c r="A7091" t="s">
        <v>7116</v>
      </c>
      <c r="B7091" t="s">
        <v>14369</v>
      </c>
    </row>
    <row r="7092" spans="1:2" x14ac:dyDescent="0.25">
      <c r="A7092" t="s">
        <v>7117</v>
      </c>
      <c r="B7092" t="s">
        <v>14370</v>
      </c>
    </row>
    <row r="7093" spans="1:2" x14ac:dyDescent="0.25">
      <c r="A7093" t="s">
        <v>7118</v>
      </c>
      <c r="B7093" t="s">
        <v>14371</v>
      </c>
    </row>
    <row r="7094" spans="1:2" x14ac:dyDescent="0.25">
      <c r="A7094" t="s">
        <v>7119</v>
      </c>
      <c r="B7094" t="s">
        <v>14372</v>
      </c>
    </row>
    <row r="7095" spans="1:2" x14ac:dyDescent="0.25">
      <c r="A7095" t="s">
        <v>7120</v>
      </c>
      <c r="B7095" t="s">
        <v>14373</v>
      </c>
    </row>
    <row r="7096" spans="1:2" x14ac:dyDescent="0.25">
      <c r="A7096" t="s">
        <v>7121</v>
      </c>
      <c r="B7096" t="s">
        <v>14374</v>
      </c>
    </row>
    <row r="7097" spans="1:2" x14ac:dyDescent="0.25">
      <c r="A7097" t="s">
        <v>7122</v>
      </c>
      <c r="B7097" t="s">
        <v>14375</v>
      </c>
    </row>
    <row r="7098" spans="1:2" x14ac:dyDescent="0.25">
      <c r="A7098" t="s">
        <v>7123</v>
      </c>
      <c r="B7098" t="s">
        <v>14376</v>
      </c>
    </row>
    <row r="7099" spans="1:2" x14ac:dyDescent="0.25">
      <c r="A7099" t="s">
        <v>7124</v>
      </c>
      <c r="B7099" t="s">
        <v>14377</v>
      </c>
    </row>
    <row r="7100" spans="1:2" x14ac:dyDescent="0.25">
      <c r="A7100" t="s">
        <v>7125</v>
      </c>
      <c r="B7100" t="s">
        <v>14378</v>
      </c>
    </row>
    <row r="7101" spans="1:2" x14ac:dyDescent="0.25">
      <c r="A7101" t="s">
        <v>7126</v>
      </c>
      <c r="B7101" t="s">
        <v>14379</v>
      </c>
    </row>
    <row r="7102" spans="1:2" x14ac:dyDescent="0.25">
      <c r="A7102" t="s">
        <v>7127</v>
      </c>
      <c r="B7102" t="s">
        <v>14380</v>
      </c>
    </row>
    <row r="7103" spans="1:2" x14ac:dyDescent="0.25">
      <c r="A7103" t="s">
        <v>7128</v>
      </c>
      <c r="B7103" t="s">
        <v>14381</v>
      </c>
    </row>
    <row r="7104" spans="1:2" x14ac:dyDescent="0.25">
      <c r="A7104" t="s">
        <v>7129</v>
      </c>
      <c r="B7104" t="s">
        <v>14382</v>
      </c>
    </row>
    <row r="7105" spans="1:2" x14ac:dyDescent="0.25">
      <c r="A7105" t="s">
        <v>7130</v>
      </c>
      <c r="B7105" t="s">
        <v>14383</v>
      </c>
    </row>
    <row r="7106" spans="1:2" x14ac:dyDescent="0.25">
      <c r="A7106" t="s">
        <v>7131</v>
      </c>
      <c r="B7106" t="s">
        <v>14384</v>
      </c>
    </row>
    <row r="7107" spans="1:2" x14ac:dyDescent="0.25">
      <c r="A7107" t="s">
        <v>7132</v>
      </c>
      <c r="B7107" t="s">
        <v>14385</v>
      </c>
    </row>
    <row r="7108" spans="1:2" x14ac:dyDescent="0.25">
      <c r="A7108" t="s">
        <v>7133</v>
      </c>
      <c r="B7108" t="s">
        <v>14386</v>
      </c>
    </row>
    <row r="7109" spans="1:2" x14ac:dyDescent="0.25">
      <c r="A7109" t="s">
        <v>7134</v>
      </c>
      <c r="B7109" t="s">
        <v>14387</v>
      </c>
    </row>
    <row r="7110" spans="1:2" x14ac:dyDescent="0.25">
      <c r="A7110" t="s">
        <v>7135</v>
      </c>
      <c r="B7110" t="s">
        <v>14388</v>
      </c>
    </row>
    <row r="7111" spans="1:2" x14ac:dyDescent="0.25">
      <c r="A7111" t="s">
        <v>7136</v>
      </c>
      <c r="B7111" t="s">
        <v>14389</v>
      </c>
    </row>
    <row r="7112" spans="1:2" x14ac:dyDescent="0.25">
      <c r="A7112" t="s">
        <v>7137</v>
      </c>
      <c r="B7112" t="s">
        <v>14390</v>
      </c>
    </row>
    <row r="7113" spans="1:2" x14ac:dyDescent="0.25">
      <c r="A7113" t="s">
        <v>7138</v>
      </c>
      <c r="B7113" t="s">
        <v>14391</v>
      </c>
    </row>
    <row r="7114" spans="1:2" x14ac:dyDescent="0.25">
      <c r="A7114" t="s">
        <v>7139</v>
      </c>
      <c r="B7114" t="s">
        <v>14392</v>
      </c>
    </row>
    <row r="7115" spans="1:2" x14ac:dyDescent="0.25">
      <c r="A7115" t="s">
        <v>7140</v>
      </c>
      <c r="B7115" t="s">
        <v>14393</v>
      </c>
    </row>
    <row r="7116" spans="1:2" x14ac:dyDescent="0.25">
      <c r="A7116" t="s">
        <v>7141</v>
      </c>
      <c r="B7116" t="s">
        <v>14394</v>
      </c>
    </row>
    <row r="7117" spans="1:2" x14ac:dyDescent="0.25">
      <c r="A7117" t="s">
        <v>7142</v>
      </c>
      <c r="B7117" t="s">
        <v>14395</v>
      </c>
    </row>
    <row r="7118" spans="1:2" x14ac:dyDescent="0.25">
      <c r="A7118" t="s">
        <v>7143</v>
      </c>
      <c r="B7118" t="s">
        <v>14396</v>
      </c>
    </row>
    <row r="7119" spans="1:2" x14ac:dyDescent="0.25">
      <c r="A7119" t="s">
        <v>7144</v>
      </c>
      <c r="B7119" t="s">
        <v>14397</v>
      </c>
    </row>
    <row r="7120" spans="1:2" x14ac:dyDescent="0.25">
      <c r="A7120" t="s">
        <v>7145</v>
      </c>
      <c r="B7120" t="s">
        <v>14398</v>
      </c>
    </row>
    <row r="7121" spans="1:2" x14ac:dyDescent="0.25">
      <c r="A7121" t="s">
        <v>7146</v>
      </c>
      <c r="B7121" t="s">
        <v>14399</v>
      </c>
    </row>
    <row r="7122" spans="1:2" x14ac:dyDescent="0.25">
      <c r="A7122" t="s">
        <v>7147</v>
      </c>
      <c r="B7122" t="s">
        <v>14400</v>
      </c>
    </row>
    <row r="7123" spans="1:2" x14ac:dyDescent="0.25">
      <c r="A7123" t="s">
        <v>7148</v>
      </c>
      <c r="B7123" t="s">
        <v>14401</v>
      </c>
    </row>
    <row r="7124" spans="1:2" x14ac:dyDescent="0.25">
      <c r="A7124" t="s">
        <v>7149</v>
      </c>
      <c r="B7124" t="s">
        <v>14402</v>
      </c>
    </row>
    <row r="7125" spans="1:2" x14ac:dyDescent="0.25">
      <c r="A7125" t="s">
        <v>7150</v>
      </c>
      <c r="B7125" t="s">
        <v>14403</v>
      </c>
    </row>
    <row r="7126" spans="1:2" x14ac:dyDescent="0.25">
      <c r="A7126" t="s">
        <v>7151</v>
      </c>
      <c r="B7126" t="s">
        <v>14404</v>
      </c>
    </row>
    <row r="7127" spans="1:2" x14ac:dyDescent="0.25">
      <c r="A7127" t="s">
        <v>7152</v>
      </c>
      <c r="B7127" t="s">
        <v>14405</v>
      </c>
    </row>
    <row r="7128" spans="1:2" x14ac:dyDescent="0.25">
      <c r="A7128" t="s">
        <v>7153</v>
      </c>
      <c r="B7128" t="s">
        <v>14406</v>
      </c>
    </row>
    <row r="7129" spans="1:2" x14ac:dyDescent="0.25">
      <c r="A7129" t="s">
        <v>7154</v>
      </c>
      <c r="B7129" t="s">
        <v>14407</v>
      </c>
    </row>
    <row r="7130" spans="1:2" x14ac:dyDescent="0.25">
      <c r="A7130" t="s">
        <v>7155</v>
      </c>
      <c r="B7130" t="s">
        <v>14408</v>
      </c>
    </row>
    <row r="7131" spans="1:2" x14ac:dyDescent="0.25">
      <c r="A7131" t="s">
        <v>7156</v>
      </c>
      <c r="B7131" t="s">
        <v>14409</v>
      </c>
    </row>
    <row r="7132" spans="1:2" x14ac:dyDescent="0.25">
      <c r="A7132" t="s">
        <v>7157</v>
      </c>
      <c r="B7132" t="s">
        <v>14410</v>
      </c>
    </row>
    <row r="7133" spans="1:2" x14ac:dyDescent="0.25">
      <c r="A7133" t="s">
        <v>7158</v>
      </c>
      <c r="B7133" t="s">
        <v>14411</v>
      </c>
    </row>
    <row r="7134" spans="1:2" x14ac:dyDescent="0.25">
      <c r="A7134" t="s">
        <v>7159</v>
      </c>
      <c r="B7134" t="s">
        <v>14412</v>
      </c>
    </row>
    <row r="7135" spans="1:2" x14ac:dyDescent="0.25">
      <c r="A7135" t="s">
        <v>7160</v>
      </c>
      <c r="B7135" t="s">
        <v>14413</v>
      </c>
    </row>
    <row r="7136" spans="1:2" x14ac:dyDescent="0.25">
      <c r="A7136" t="s">
        <v>7161</v>
      </c>
      <c r="B7136" t="s">
        <v>14414</v>
      </c>
    </row>
    <row r="7137" spans="1:2" x14ac:dyDescent="0.25">
      <c r="A7137" t="s">
        <v>7162</v>
      </c>
      <c r="B7137" t="s">
        <v>14415</v>
      </c>
    </row>
    <row r="7138" spans="1:2" x14ac:dyDescent="0.25">
      <c r="A7138" t="s">
        <v>7163</v>
      </c>
      <c r="B7138" t="s">
        <v>14416</v>
      </c>
    </row>
    <row r="7139" spans="1:2" x14ac:dyDescent="0.25">
      <c r="A7139" t="s">
        <v>7164</v>
      </c>
      <c r="B7139" t="s">
        <v>14417</v>
      </c>
    </row>
    <row r="7140" spans="1:2" x14ac:dyDescent="0.25">
      <c r="A7140" t="s">
        <v>7165</v>
      </c>
      <c r="B7140" t="s">
        <v>14418</v>
      </c>
    </row>
    <row r="7141" spans="1:2" x14ac:dyDescent="0.25">
      <c r="A7141" t="s">
        <v>7166</v>
      </c>
      <c r="B7141" t="s">
        <v>14419</v>
      </c>
    </row>
    <row r="7142" spans="1:2" x14ac:dyDescent="0.25">
      <c r="A7142" t="s">
        <v>7167</v>
      </c>
      <c r="B7142" t="s">
        <v>14420</v>
      </c>
    </row>
    <row r="7143" spans="1:2" x14ac:dyDescent="0.25">
      <c r="A7143" t="s">
        <v>7168</v>
      </c>
      <c r="B7143" t="s">
        <v>14421</v>
      </c>
    </row>
    <row r="7144" spans="1:2" x14ac:dyDescent="0.25">
      <c r="A7144" t="s">
        <v>7169</v>
      </c>
      <c r="B7144" t="s">
        <v>14422</v>
      </c>
    </row>
    <row r="7145" spans="1:2" x14ac:dyDescent="0.25">
      <c r="A7145" t="s">
        <v>7170</v>
      </c>
      <c r="B7145" t="s">
        <v>14423</v>
      </c>
    </row>
    <row r="7146" spans="1:2" x14ac:dyDescent="0.25">
      <c r="A7146" t="s">
        <v>7171</v>
      </c>
      <c r="B7146" t="s">
        <v>14424</v>
      </c>
    </row>
    <row r="7147" spans="1:2" x14ac:dyDescent="0.25">
      <c r="A7147" t="s">
        <v>7172</v>
      </c>
      <c r="B7147" t="s">
        <v>14425</v>
      </c>
    </row>
    <row r="7148" spans="1:2" x14ac:dyDescent="0.25">
      <c r="A7148" t="s">
        <v>7173</v>
      </c>
      <c r="B7148" t="s">
        <v>14426</v>
      </c>
    </row>
    <row r="7149" spans="1:2" x14ac:dyDescent="0.25">
      <c r="A7149" t="s">
        <v>7174</v>
      </c>
      <c r="B7149" t="s">
        <v>14427</v>
      </c>
    </row>
    <row r="7150" spans="1:2" x14ac:dyDescent="0.25">
      <c r="A7150" t="s">
        <v>7175</v>
      </c>
      <c r="B7150" t="s">
        <v>14428</v>
      </c>
    </row>
    <row r="7151" spans="1:2" x14ac:dyDescent="0.25">
      <c r="A7151" t="s">
        <v>7176</v>
      </c>
      <c r="B7151" t="s">
        <v>14429</v>
      </c>
    </row>
    <row r="7152" spans="1:2" x14ac:dyDescent="0.25">
      <c r="A7152" t="s">
        <v>7177</v>
      </c>
      <c r="B7152" t="s">
        <v>14430</v>
      </c>
    </row>
    <row r="7153" spans="1:2" x14ac:dyDescent="0.25">
      <c r="A7153" t="s">
        <v>7178</v>
      </c>
      <c r="B7153" t="s">
        <v>14431</v>
      </c>
    </row>
    <row r="7154" spans="1:2" x14ac:dyDescent="0.25">
      <c r="A7154" t="s">
        <v>7179</v>
      </c>
      <c r="B7154" t="s">
        <v>14432</v>
      </c>
    </row>
    <row r="7155" spans="1:2" x14ac:dyDescent="0.25">
      <c r="A7155" t="s">
        <v>7180</v>
      </c>
      <c r="B7155" t="s">
        <v>14433</v>
      </c>
    </row>
    <row r="7156" spans="1:2" x14ac:dyDescent="0.25">
      <c r="A7156" t="s">
        <v>7181</v>
      </c>
      <c r="B7156" t="s">
        <v>14434</v>
      </c>
    </row>
    <row r="7157" spans="1:2" x14ac:dyDescent="0.25">
      <c r="A7157" t="s">
        <v>7182</v>
      </c>
      <c r="B7157" t="s">
        <v>14435</v>
      </c>
    </row>
    <row r="7158" spans="1:2" x14ac:dyDescent="0.25">
      <c r="A7158" t="s">
        <v>23</v>
      </c>
      <c r="B7158" t="s">
        <v>14436</v>
      </c>
    </row>
    <row r="7159" spans="1:2" x14ac:dyDescent="0.25">
      <c r="A7159" t="s">
        <v>7183</v>
      </c>
      <c r="B7159" t="s">
        <v>14437</v>
      </c>
    </row>
    <row r="7160" spans="1:2" x14ac:dyDescent="0.25">
      <c r="A7160" t="s">
        <v>7184</v>
      </c>
      <c r="B7160" t="s">
        <v>14438</v>
      </c>
    </row>
    <row r="7161" spans="1:2" x14ac:dyDescent="0.25">
      <c r="A7161" t="s">
        <v>7185</v>
      </c>
      <c r="B7161" t="s">
        <v>14439</v>
      </c>
    </row>
    <row r="7162" spans="1:2" x14ac:dyDescent="0.25">
      <c r="A7162" t="s">
        <v>7186</v>
      </c>
      <c r="B7162" t="s">
        <v>14440</v>
      </c>
    </row>
    <row r="7163" spans="1:2" x14ac:dyDescent="0.25">
      <c r="A7163" t="s">
        <v>7187</v>
      </c>
      <c r="B7163" t="s">
        <v>14441</v>
      </c>
    </row>
    <row r="7164" spans="1:2" x14ac:dyDescent="0.25">
      <c r="A7164" t="s">
        <v>7188</v>
      </c>
      <c r="B7164" t="s">
        <v>14442</v>
      </c>
    </row>
    <row r="7165" spans="1:2" x14ac:dyDescent="0.25">
      <c r="A7165" t="s">
        <v>7189</v>
      </c>
      <c r="B7165" t="s">
        <v>14443</v>
      </c>
    </row>
    <row r="7166" spans="1:2" x14ac:dyDescent="0.25">
      <c r="A7166" t="s">
        <v>7190</v>
      </c>
      <c r="B7166" t="s">
        <v>14444</v>
      </c>
    </row>
    <row r="7167" spans="1:2" x14ac:dyDescent="0.25">
      <c r="A7167" t="s">
        <v>7191</v>
      </c>
      <c r="B7167" t="s">
        <v>14445</v>
      </c>
    </row>
    <row r="7168" spans="1:2" x14ac:dyDescent="0.25">
      <c r="A7168" t="s">
        <v>7192</v>
      </c>
      <c r="B7168" t="s">
        <v>14446</v>
      </c>
    </row>
    <row r="7169" spans="1:2" x14ac:dyDescent="0.25">
      <c r="A7169" t="s">
        <v>7193</v>
      </c>
      <c r="B7169" t="s">
        <v>14447</v>
      </c>
    </row>
    <row r="7170" spans="1:2" x14ac:dyDescent="0.25">
      <c r="A7170" t="s">
        <v>7194</v>
      </c>
      <c r="B7170" t="s">
        <v>14448</v>
      </c>
    </row>
    <row r="7171" spans="1:2" x14ac:dyDescent="0.25">
      <c r="A7171" t="s">
        <v>7195</v>
      </c>
      <c r="B7171" t="s">
        <v>14449</v>
      </c>
    </row>
    <row r="7172" spans="1:2" x14ac:dyDescent="0.25">
      <c r="A7172" t="s">
        <v>7196</v>
      </c>
      <c r="B7172" t="s">
        <v>14450</v>
      </c>
    </row>
    <row r="7173" spans="1:2" x14ac:dyDescent="0.25">
      <c r="A7173" t="s">
        <v>7197</v>
      </c>
      <c r="B7173" t="s">
        <v>14451</v>
      </c>
    </row>
    <row r="7174" spans="1:2" x14ac:dyDescent="0.25">
      <c r="A7174" t="s">
        <v>7198</v>
      </c>
      <c r="B7174" t="s">
        <v>14452</v>
      </c>
    </row>
    <row r="7175" spans="1:2" x14ac:dyDescent="0.25">
      <c r="A7175" t="s">
        <v>7199</v>
      </c>
      <c r="B7175" t="s">
        <v>14453</v>
      </c>
    </row>
    <row r="7176" spans="1:2" x14ac:dyDescent="0.25">
      <c r="A7176" t="s">
        <v>7200</v>
      </c>
      <c r="B7176" t="s">
        <v>14454</v>
      </c>
    </row>
    <row r="7177" spans="1:2" x14ac:dyDescent="0.25">
      <c r="A7177" t="s">
        <v>7201</v>
      </c>
      <c r="B7177" t="s">
        <v>14455</v>
      </c>
    </row>
    <row r="7178" spans="1:2" x14ac:dyDescent="0.25">
      <c r="A7178" t="s">
        <v>7202</v>
      </c>
      <c r="B7178" t="s">
        <v>14456</v>
      </c>
    </row>
    <row r="7179" spans="1:2" x14ac:dyDescent="0.25">
      <c r="A7179" t="s">
        <v>7203</v>
      </c>
      <c r="B7179" t="s">
        <v>14457</v>
      </c>
    </row>
    <row r="7180" spans="1:2" x14ac:dyDescent="0.25">
      <c r="A7180" t="s">
        <v>7204</v>
      </c>
      <c r="B7180" t="s">
        <v>14458</v>
      </c>
    </row>
    <row r="7181" spans="1:2" x14ac:dyDescent="0.25">
      <c r="A7181" t="s">
        <v>7205</v>
      </c>
      <c r="B7181" t="s">
        <v>14459</v>
      </c>
    </row>
    <row r="7182" spans="1:2" x14ac:dyDescent="0.25">
      <c r="A7182" t="s">
        <v>7206</v>
      </c>
      <c r="B7182" t="s">
        <v>14460</v>
      </c>
    </row>
    <row r="7183" spans="1:2" x14ac:dyDescent="0.25">
      <c r="A7183" t="s">
        <v>7207</v>
      </c>
      <c r="B7183" t="s">
        <v>14461</v>
      </c>
    </row>
    <row r="7184" spans="1:2" x14ac:dyDescent="0.25">
      <c r="A7184" t="s">
        <v>7208</v>
      </c>
      <c r="B7184" t="s">
        <v>14462</v>
      </c>
    </row>
    <row r="7185" spans="1:2" x14ac:dyDescent="0.25">
      <c r="A7185" t="s">
        <v>7209</v>
      </c>
      <c r="B7185" t="s">
        <v>14463</v>
      </c>
    </row>
    <row r="7186" spans="1:2" x14ac:dyDescent="0.25">
      <c r="A7186" t="s">
        <v>7210</v>
      </c>
      <c r="B7186" t="s">
        <v>14464</v>
      </c>
    </row>
    <row r="7187" spans="1:2" x14ac:dyDescent="0.25">
      <c r="A7187" t="s">
        <v>7211</v>
      </c>
      <c r="B7187" t="s">
        <v>14465</v>
      </c>
    </row>
    <row r="7188" spans="1:2" x14ac:dyDescent="0.25">
      <c r="A7188" t="s">
        <v>7212</v>
      </c>
      <c r="B7188" t="s">
        <v>14466</v>
      </c>
    </row>
    <row r="7189" spans="1:2" x14ac:dyDescent="0.25">
      <c r="A7189" t="s">
        <v>7213</v>
      </c>
      <c r="B7189" t="s">
        <v>14467</v>
      </c>
    </row>
    <row r="7190" spans="1:2" x14ac:dyDescent="0.25">
      <c r="A7190" t="s">
        <v>7214</v>
      </c>
      <c r="B7190" t="s">
        <v>14468</v>
      </c>
    </row>
    <row r="7191" spans="1:2" x14ac:dyDescent="0.25">
      <c r="A7191" t="s">
        <v>7215</v>
      </c>
      <c r="B7191" t="s">
        <v>14469</v>
      </c>
    </row>
    <row r="7192" spans="1:2" x14ac:dyDescent="0.25">
      <c r="A7192" t="s">
        <v>7216</v>
      </c>
      <c r="B7192" t="s">
        <v>14470</v>
      </c>
    </row>
    <row r="7193" spans="1:2" x14ac:dyDescent="0.25">
      <c r="A7193" t="s">
        <v>7217</v>
      </c>
      <c r="B7193" t="s">
        <v>14471</v>
      </c>
    </row>
    <row r="7194" spans="1:2" x14ac:dyDescent="0.25">
      <c r="A7194" t="s">
        <v>7218</v>
      </c>
      <c r="B7194" t="s">
        <v>14472</v>
      </c>
    </row>
    <row r="7195" spans="1:2" x14ac:dyDescent="0.25">
      <c r="A7195" t="s">
        <v>7219</v>
      </c>
      <c r="B7195" t="s">
        <v>14473</v>
      </c>
    </row>
    <row r="7196" spans="1:2" x14ac:dyDescent="0.25">
      <c r="A7196" t="s">
        <v>7220</v>
      </c>
      <c r="B7196" t="s">
        <v>14474</v>
      </c>
    </row>
    <row r="7197" spans="1:2" x14ac:dyDescent="0.25">
      <c r="A7197" t="s">
        <v>7221</v>
      </c>
      <c r="B7197" t="s">
        <v>14475</v>
      </c>
    </row>
    <row r="7198" spans="1:2" x14ac:dyDescent="0.25">
      <c r="A7198" t="s">
        <v>7222</v>
      </c>
      <c r="B7198" t="s">
        <v>14476</v>
      </c>
    </row>
    <row r="7199" spans="1:2" x14ac:dyDescent="0.25">
      <c r="A7199" t="s">
        <v>7223</v>
      </c>
      <c r="B7199" t="s">
        <v>14477</v>
      </c>
    </row>
    <row r="7200" spans="1:2" x14ac:dyDescent="0.25">
      <c r="A7200" t="s">
        <v>7224</v>
      </c>
      <c r="B7200" t="s">
        <v>14478</v>
      </c>
    </row>
    <row r="7201" spans="1:2" x14ac:dyDescent="0.25">
      <c r="A7201" t="s">
        <v>7225</v>
      </c>
      <c r="B7201" t="s">
        <v>14479</v>
      </c>
    </row>
    <row r="7202" spans="1:2" x14ac:dyDescent="0.25">
      <c r="A7202" t="s">
        <v>7226</v>
      </c>
      <c r="B7202" t="s">
        <v>14480</v>
      </c>
    </row>
    <row r="7203" spans="1:2" x14ac:dyDescent="0.25">
      <c r="A7203" t="s">
        <v>7227</v>
      </c>
      <c r="B7203" t="s">
        <v>14481</v>
      </c>
    </row>
    <row r="7204" spans="1:2" x14ac:dyDescent="0.25">
      <c r="A7204" t="s">
        <v>7228</v>
      </c>
      <c r="B7204" t="s">
        <v>14482</v>
      </c>
    </row>
    <row r="7205" spans="1:2" x14ac:dyDescent="0.25">
      <c r="A7205" t="s">
        <v>7229</v>
      </c>
      <c r="B7205" t="s">
        <v>14483</v>
      </c>
    </row>
    <row r="7206" spans="1:2" x14ac:dyDescent="0.25">
      <c r="A7206" t="s">
        <v>7230</v>
      </c>
      <c r="B7206" t="s">
        <v>14484</v>
      </c>
    </row>
    <row r="7207" spans="1:2" x14ac:dyDescent="0.25">
      <c r="A7207" t="s">
        <v>7231</v>
      </c>
      <c r="B7207" t="s">
        <v>14485</v>
      </c>
    </row>
    <row r="7208" spans="1:2" x14ac:dyDescent="0.25">
      <c r="A7208" t="s">
        <v>7232</v>
      </c>
      <c r="B7208" t="s">
        <v>14486</v>
      </c>
    </row>
    <row r="7209" spans="1:2" x14ac:dyDescent="0.25">
      <c r="A7209" t="s">
        <v>7233</v>
      </c>
      <c r="B7209" t="s">
        <v>14487</v>
      </c>
    </row>
    <row r="7210" spans="1:2" x14ac:dyDescent="0.25">
      <c r="A7210" t="s">
        <v>7234</v>
      </c>
      <c r="B7210" t="s">
        <v>14488</v>
      </c>
    </row>
    <row r="7211" spans="1:2" x14ac:dyDescent="0.25">
      <c r="A7211" t="s">
        <v>7235</v>
      </c>
      <c r="B7211" t="s">
        <v>14489</v>
      </c>
    </row>
    <row r="7212" spans="1:2" x14ac:dyDescent="0.25">
      <c r="A7212" t="s">
        <v>7236</v>
      </c>
      <c r="B7212" t="s">
        <v>14490</v>
      </c>
    </row>
    <row r="7213" spans="1:2" x14ac:dyDescent="0.25">
      <c r="A7213" t="s">
        <v>7237</v>
      </c>
      <c r="B7213" t="s">
        <v>14491</v>
      </c>
    </row>
    <row r="7214" spans="1:2" x14ac:dyDescent="0.25">
      <c r="A7214" t="s">
        <v>7238</v>
      </c>
      <c r="B7214" t="s">
        <v>14492</v>
      </c>
    </row>
    <row r="7215" spans="1:2" x14ac:dyDescent="0.25">
      <c r="A7215" t="s">
        <v>7239</v>
      </c>
      <c r="B7215" t="s">
        <v>14493</v>
      </c>
    </row>
    <row r="7216" spans="1:2" x14ac:dyDescent="0.25">
      <c r="A7216" t="s">
        <v>7240</v>
      </c>
      <c r="B7216" t="s">
        <v>14494</v>
      </c>
    </row>
    <row r="7217" spans="1:2" x14ac:dyDescent="0.25">
      <c r="A7217" t="s">
        <v>7241</v>
      </c>
      <c r="B7217" t="s">
        <v>14495</v>
      </c>
    </row>
    <row r="7218" spans="1:2" x14ac:dyDescent="0.25">
      <c r="A7218" t="s">
        <v>7242</v>
      </c>
      <c r="B7218" t="s">
        <v>14496</v>
      </c>
    </row>
    <row r="7219" spans="1:2" x14ac:dyDescent="0.25">
      <c r="A7219" t="s">
        <v>7243</v>
      </c>
      <c r="B7219" t="s">
        <v>14497</v>
      </c>
    </row>
    <row r="7220" spans="1:2" x14ac:dyDescent="0.25">
      <c r="A7220" t="s">
        <v>7244</v>
      </c>
      <c r="B7220" t="s">
        <v>14498</v>
      </c>
    </row>
    <row r="7221" spans="1:2" x14ac:dyDescent="0.25">
      <c r="A7221" t="s">
        <v>7245</v>
      </c>
      <c r="B7221" t="s">
        <v>14499</v>
      </c>
    </row>
    <row r="7222" spans="1:2" x14ac:dyDescent="0.25">
      <c r="A7222" t="s">
        <v>7246</v>
      </c>
      <c r="B7222" t="s">
        <v>14500</v>
      </c>
    </row>
    <row r="7223" spans="1:2" x14ac:dyDescent="0.25">
      <c r="A7223" t="s">
        <v>7247</v>
      </c>
      <c r="B7223" t="s">
        <v>14501</v>
      </c>
    </row>
    <row r="7224" spans="1:2" x14ac:dyDescent="0.25">
      <c r="A7224" t="s">
        <v>7248</v>
      </c>
      <c r="B7224" t="s">
        <v>14502</v>
      </c>
    </row>
    <row r="7225" spans="1:2" x14ac:dyDescent="0.25">
      <c r="A7225" t="s">
        <v>7249</v>
      </c>
      <c r="B7225" t="s">
        <v>14503</v>
      </c>
    </row>
    <row r="7226" spans="1:2" x14ac:dyDescent="0.25">
      <c r="A7226" t="s">
        <v>7250</v>
      </c>
      <c r="B7226" t="s">
        <v>14504</v>
      </c>
    </row>
    <row r="7227" spans="1:2" x14ac:dyDescent="0.25">
      <c r="A7227" t="s">
        <v>7251</v>
      </c>
      <c r="B7227" t="s">
        <v>14505</v>
      </c>
    </row>
    <row r="7228" spans="1:2" x14ac:dyDescent="0.25">
      <c r="A7228" t="s">
        <v>7252</v>
      </c>
      <c r="B7228" t="s">
        <v>14506</v>
      </c>
    </row>
    <row r="7229" spans="1:2" x14ac:dyDescent="0.25">
      <c r="A7229" t="s">
        <v>7253</v>
      </c>
      <c r="B7229" t="s">
        <v>14507</v>
      </c>
    </row>
    <row r="7230" spans="1:2" x14ac:dyDescent="0.25">
      <c r="A7230" t="s">
        <v>7254</v>
      </c>
      <c r="B7230" t="s">
        <v>14508</v>
      </c>
    </row>
    <row r="7231" spans="1:2" x14ac:dyDescent="0.25">
      <c r="A7231" t="s">
        <v>7255</v>
      </c>
      <c r="B7231" t="s">
        <v>14509</v>
      </c>
    </row>
    <row r="7232" spans="1:2" x14ac:dyDescent="0.25">
      <c r="A7232" t="s">
        <v>7256</v>
      </c>
      <c r="B7232" t="s">
        <v>14510</v>
      </c>
    </row>
    <row r="7233" spans="1:2" x14ac:dyDescent="0.25">
      <c r="A7233" t="s">
        <v>7257</v>
      </c>
      <c r="B7233" t="s">
        <v>14511</v>
      </c>
    </row>
    <row r="7234" spans="1:2" x14ac:dyDescent="0.25">
      <c r="A7234" t="s">
        <v>7258</v>
      </c>
      <c r="B7234" t="s">
        <v>14512</v>
      </c>
    </row>
    <row r="7235" spans="1:2" x14ac:dyDescent="0.25">
      <c r="A7235" t="s">
        <v>7259</v>
      </c>
      <c r="B7235" t="s">
        <v>14513</v>
      </c>
    </row>
    <row r="7236" spans="1:2" x14ac:dyDescent="0.25">
      <c r="A7236" t="s">
        <v>7260</v>
      </c>
      <c r="B7236" t="s">
        <v>14514</v>
      </c>
    </row>
    <row r="7237" spans="1:2" x14ac:dyDescent="0.25">
      <c r="A7237" t="s">
        <v>7261</v>
      </c>
      <c r="B7237" t="s">
        <v>14515</v>
      </c>
    </row>
    <row r="7238" spans="1:2" x14ac:dyDescent="0.25">
      <c r="A7238" t="s">
        <v>7262</v>
      </c>
      <c r="B7238" t="s">
        <v>14516</v>
      </c>
    </row>
    <row r="7239" spans="1:2" x14ac:dyDescent="0.25">
      <c r="A7239" t="s">
        <v>7263</v>
      </c>
      <c r="B7239" t="s">
        <v>14517</v>
      </c>
    </row>
    <row r="7240" spans="1:2" x14ac:dyDescent="0.25">
      <c r="A7240" t="s">
        <v>7264</v>
      </c>
      <c r="B7240" t="s">
        <v>14518</v>
      </c>
    </row>
    <row r="7241" spans="1:2" x14ac:dyDescent="0.25">
      <c r="A7241" t="s">
        <v>7265</v>
      </c>
      <c r="B7241" t="s">
        <v>14519</v>
      </c>
    </row>
    <row r="7242" spans="1:2" x14ac:dyDescent="0.25">
      <c r="A7242" t="s">
        <v>7266</v>
      </c>
      <c r="B7242" t="s">
        <v>14520</v>
      </c>
    </row>
    <row r="7243" spans="1:2" x14ac:dyDescent="0.25">
      <c r="A7243" t="s">
        <v>7267</v>
      </c>
      <c r="B7243" t="s">
        <v>14521</v>
      </c>
    </row>
    <row r="7244" spans="1:2" x14ac:dyDescent="0.25">
      <c r="A7244" t="s">
        <v>7268</v>
      </c>
      <c r="B7244" t="s">
        <v>14522</v>
      </c>
    </row>
    <row r="7245" spans="1:2" x14ac:dyDescent="0.25">
      <c r="A7245" t="s">
        <v>7269</v>
      </c>
      <c r="B7245" t="s">
        <v>14523</v>
      </c>
    </row>
    <row r="7246" spans="1:2" x14ac:dyDescent="0.25">
      <c r="A7246" t="s">
        <v>7270</v>
      </c>
      <c r="B7246" t="s">
        <v>14524</v>
      </c>
    </row>
    <row r="7247" spans="1:2" x14ac:dyDescent="0.25">
      <c r="A7247" t="s">
        <v>7271</v>
      </c>
      <c r="B7247" t="s">
        <v>14525</v>
      </c>
    </row>
    <row r="7248" spans="1:2" x14ac:dyDescent="0.25">
      <c r="A7248" t="s">
        <v>7272</v>
      </c>
      <c r="B7248" t="s">
        <v>14526</v>
      </c>
    </row>
    <row r="7249" spans="1:2" x14ac:dyDescent="0.25">
      <c r="A7249" t="s">
        <v>7273</v>
      </c>
      <c r="B7249" t="s">
        <v>14527</v>
      </c>
    </row>
    <row r="7250" spans="1:2" x14ac:dyDescent="0.25">
      <c r="A7250" t="s">
        <v>7274</v>
      </c>
      <c r="B7250" t="s">
        <v>14528</v>
      </c>
    </row>
    <row r="7251" spans="1:2" x14ac:dyDescent="0.25">
      <c r="A7251" t="s">
        <v>7275</v>
      </c>
      <c r="B7251" t="s">
        <v>14529</v>
      </c>
    </row>
    <row r="7252" spans="1:2" x14ac:dyDescent="0.25">
      <c r="A7252" t="s">
        <v>7276</v>
      </c>
      <c r="B7252" t="s">
        <v>14530</v>
      </c>
    </row>
    <row r="7253" spans="1:2" x14ac:dyDescent="0.25">
      <c r="A7253" t="s">
        <v>7277</v>
      </c>
      <c r="B7253" t="s">
        <v>14531</v>
      </c>
    </row>
    <row r="7254" spans="1:2" x14ac:dyDescent="0.25">
      <c r="A7254" t="s">
        <v>7278</v>
      </c>
      <c r="B7254" t="s">
        <v>14532</v>
      </c>
    </row>
    <row r="7255" spans="1:2" x14ac:dyDescent="0.25">
      <c r="A7255" t="s">
        <v>7279</v>
      </c>
      <c r="B7255" t="s">
        <v>14533</v>
      </c>
    </row>
    <row r="7256" spans="1:2" x14ac:dyDescent="0.25">
      <c r="A7256" t="s">
        <v>7280</v>
      </c>
      <c r="B7256" t="s">
        <v>14534</v>
      </c>
    </row>
    <row r="7257" spans="1:2" x14ac:dyDescent="0.25">
      <c r="A7257" t="s">
        <v>7281</v>
      </c>
      <c r="B7257" t="s">
        <v>14535</v>
      </c>
    </row>
    <row r="7258" spans="1:2" x14ac:dyDescent="0.25">
      <c r="A7258" t="s">
        <v>7282</v>
      </c>
      <c r="B7258" t="s">
        <v>14536</v>
      </c>
    </row>
    <row r="7259" spans="1:2" x14ac:dyDescent="0.25">
      <c r="A7259" t="s">
        <v>7283</v>
      </c>
      <c r="B7259" t="s">
        <v>14537</v>
      </c>
    </row>
    <row r="7260" spans="1:2" x14ac:dyDescent="0.25">
      <c r="A7260" t="s">
        <v>7284</v>
      </c>
      <c r="B7260" t="s">
        <v>14538</v>
      </c>
    </row>
    <row r="7261" spans="1:2" x14ac:dyDescent="0.25">
      <c r="A7261" t="s">
        <v>7285</v>
      </c>
      <c r="B7261" t="s">
        <v>14539</v>
      </c>
    </row>
    <row r="7262" spans="1:2" x14ac:dyDescent="0.25">
      <c r="A7262" t="s">
        <v>7286</v>
      </c>
      <c r="B7262" t="s">
        <v>14540</v>
      </c>
    </row>
    <row r="7263" spans="1:2" x14ac:dyDescent="0.25">
      <c r="A7263" t="s">
        <v>7287</v>
      </c>
      <c r="B7263" t="s">
        <v>14541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A7D58F-F880-4521-B342-9954D9975E36}">
  <sheetPr codeName="Sheet4"/>
  <dimension ref="A1"/>
  <sheetViews>
    <sheetView workbookViewId="0"/>
  </sheetViews>
  <sheetFormatPr defaultRowHeight="15.7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17"/>
  <sheetViews>
    <sheetView workbookViewId="0"/>
  </sheetViews>
  <sheetFormatPr defaultColWidth="8.875" defaultRowHeight="15.75" x14ac:dyDescent="0.25"/>
  <cols>
    <col min="1" max="1" width="14.75" style="1" customWidth="1"/>
    <col min="2" max="2" width="9.25" style="1" customWidth="1"/>
    <col min="3" max="16384" width="8.875" style="1"/>
  </cols>
  <sheetData>
    <row r="1" spans="1:2" x14ac:dyDescent="0.25">
      <c r="A1" s="1" t="s">
        <v>8</v>
      </c>
      <c r="B1" s="1" t="s">
        <v>13</v>
      </c>
    </row>
    <row r="2" spans="1:2" x14ac:dyDescent="0.25">
      <c r="A2" s="1" t="s">
        <v>9</v>
      </c>
    </row>
    <row r="3" spans="1:2" x14ac:dyDescent="0.25">
      <c r="A3" s="1" t="s">
        <v>0</v>
      </c>
    </row>
    <row r="4" spans="1:2" x14ac:dyDescent="0.25">
      <c r="A4" s="1" t="s">
        <v>7</v>
      </c>
    </row>
    <row r="5" spans="1:2" x14ac:dyDescent="0.25">
      <c r="A5" s="1" t="s">
        <v>5</v>
      </c>
    </row>
    <row r="6" spans="1:2" x14ac:dyDescent="0.25">
      <c r="A6" s="1" t="s">
        <v>1</v>
      </c>
    </row>
    <row r="7" spans="1:2" x14ac:dyDescent="0.25">
      <c r="A7" s="1" t="s">
        <v>2</v>
      </c>
      <c r="B7" s="1" t="b">
        <v>0</v>
      </c>
    </row>
    <row r="8" spans="1:2" x14ac:dyDescent="0.25">
      <c r="A8" s="1" t="s">
        <v>3</v>
      </c>
      <c r="B8" s="1" t="b">
        <v>0</v>
      </c>
    </row>
    <row r="9" spans="1:2" x14ac:dyDescent="0.25">
      <c r="A9" s="1" t="s">
        <v>14</v>
      </c>
      <c r="B9" s="1" t="b">
        <v>0</v>
      </c>
    </row>
    <row r="13" spans="1:2" x14ac:dyDescent="0.25">
      <c r="A13" s="2" t="s">
        <v>4</v>
      </c>
    </row>
    <row r="14" spans="1:2" x14ac:dyDescent="0.25">
      <c r="A14" s="1" t="s">
        <v>10</v>
      </c>
    </row>
    <row r="15" spans="1:2" x14ac:dyDescent="0.25">
      <c r="A15" s="1" t="s">
        <v>11</v>
      </c>
    </row>
    <row r="16" spans="1:2" x14ac:dyDescent="0.25">
      <c r="A16" s="1" t="s">
        <v>6</v>
      </c>
    </row>
    <row r="17" spans="1:1" x14ac:dyDescent="0.25">
      <c r="A17" s="1" t="s">
        <v>12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user_input_and_overview</vt:lpstr>
      <vt:lpstr>price_data</vt:lpstr>
      <vt:lpstr>comp_metrics</vt:lpstr>
      <vt:lpstr>symbols</vt:lpstr>
      <vt:lpstr>Sheet1</vt:lpstr>
      <vt:lpstr>_xlwings.conf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Yyyyy Jjjjjj</cp:lastModifiedBy>
  <dcterms:created xsi:type="dcterms:W3CDTF">2015-01-25T11:31:25Z</dcterms:created>
  <dcterms:modified xsi:type="dcterms:W3CDTF">2024-01-06T05:18:34Z</dcterms:modified>
</cp:coreProperties>
</file>